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C9C4DE9A-901A-4402-9F60-AACDE07FF94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nline_course_student_data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" l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3" i="1"/>
  <c r="M4" i="1"/>
  <c r="M5" i="1"/>
  <c r="M6" i="1"/>
  <c r="M7" i="1"/>
  <c r="M2" i="1"/>
  <c r="L124" i="1"/>
  <c r="L127" i="1"/>
  <c r="L133" i="1"/>
  <c r="L137" i="1"/>
  <c r="L140" i="1"/>
  <c r="L146" i="1"/>
  <c r="L147" i="1"/>
  <c r="L148" i="1"/>
  <c r="L149" i="1"/>
  <c r="L151" i="1"/>
  <c r="L152" i="1"/>
  <c r="L156" i="1"/>
  <c r="L160" i="1"/>
  <c r="L163" i="1"/>
  <c r="L164" i="1"/>
  <c r="L165" i="1"/>
  <c r="L168" i="1"/>
  <c r="L171" i="1"/>
  <c r="L173" i="1"/>
  <c r="L179" i="1"/>
  <c r="L182" i="1"/>
  <c r="L184" i="1"/>
  <c r="L193" i="1"/>
  <c r="L201" i="1"/>
  <c r="L207" i="1"/>
  <c r="L208" i="1"/>
  <c r="L211" i="1"/>
  <c r="L216" i="1"/>
  <c r="L217" i="1"/>
  <c r="L218" i="1"/>
  <c r="L219" i="1"/>
  <c r="L221" i="1"/>
  <c r="L222" i="1"/>
  <c r="L225" i="1"/>
  <c r="L227" i="1"/>
  <c r="L235" i="1"/>
  <c r="L236" i="1"/>
  <c r="L237" i="1"/>
  <c r="L239" i="1"/>
  <c r="L240" i="1"/>
  <c r="L243" i="1"/>
  <c r="L247" i="1"/>
  <c r="L248" i="1"/>
  <c r="L251" i="1"/>
  <c r="L255" i="1"/>
  <c r="L257" i="1"/>
  <c r="L260" i="1"/>
  <c r="L262" i="1"/>
  <c r="L264" i="1"/>
  <c r="L265" i="1"/>
  <c r="L270" i="1"/>
  <c r="L271" i="1"/>
  <c r="L275" i="1"/>
  <c r="L279" i="1"/>
  <c r="L283" i="1"/>
  <c r="L284" i="1"/>
  <c r="L289" i="1"/>
  <c r="L290" i="1"/>
  <c r="L291" i="1"/>
  <c r="L297" i="1"/>
  <c r="L298" i="1"/>
  <c r="L299" i="1"/>
  <c r="L307" i="1"/>
  <c r="L313" i="1"/>
  <c r="L314" i="1"/>
  <c r="L319" i="1"/>
  <c r="L320" i="1"/>
  <c r="L321" i="1"/>
  <c r="L323" i="1"/>
  <c r="L325" i="1"/>
  <c r="L326" i="1"/>
  <c r="L330" i="1"/>
  <c r="L334" i="1"/>
  <c r="L336" i="1"/>
  <c r="L341" i="1"/>
  <c r="L342" i="1"/>
  <c r="L345" i="1"/>
  <c r="L346" i="1"/>
  <c r="L353" i="1"/>
  <c r="L354" i="1"/>
  <c r="L361" i="1"/>
  <c r="L362" i="1"/>
  <c r="L364" i="1"/>
  <c r="L366" i="1"/>
  <c r="L372" i="1"/>
  <c r="L373" i="1"/>
  <c r="L375" i="1"/>
  <c r="L387" i="1"/>
  <c r="L388" i="1"/>
  <c r="L389" i="1"/>
  <c r="L393" i="1"/>
  <c r="L394" i="1"/>
  <c r="L395" i="1"/>
  <c r="L398" i="1"/>
  <c r="L404" i="1"/>
  <c r="L408" i="1"/>
  <c r="L409" i="1"/>
  <c r="L415" i="1"/>
  <c r="L417" i="1"/>
  <c r="L421" i="1"/>
  <c r="L423" i="1"/>
  <c r="L425" i="1"/>
  <c r="L426" i="1"/>
  <c r="L428" i="1"/>
  <c r="L434" i="1"/>
  <c r="L437" i="1"/>
  <c r="L443" i="1"/>
  <c r="L447" i="1"/>
  <c r="L449" i="1"/>
  <c r="L454" i="1"/>
  <c r="L456" i="1"/>
  <c r="L457" i="1"/>
  <c r="L458" i="1"/>
  <c r="L459" i="1"/>
  <c r="L462" i="1"/>
  <c r="L465" i="1"/>
  <c r="L470" i="1"/>
  <c r="L471" i="1"/>
  <c r="L476" i="1"/>
  <c r="L478" i="1"/>
  <c r="L483" i="1"/>
  <c r="L489" i="1"/>
  <c r="L493" i="1"/>
  <c r="L496" i="1"/>
  <c r="L499" i="1"/>
  <c r="L500" i="1"/>
  <c r="L502" i="1"/>
  <c r="L504" i="1"/>
  <c r="L507" i="1"/>
  <c r="L508" i="1"/>
  <c r="L515" i="1"/>
  <c r="L519" i="1"/>
  <c r="L520" i="1"/>
  <c r="L522" i="1"/>
  <c r="L525" i="1"/>
  <c r="L528" i="1"/>
  <c r="L530" i="1"/>
  <c r="L531" i="1"/>
  <c r="L532" i="1"/>
  <c r="L535" i="1"/>
  <c r="L537" i="1"/>
  <c r="L539" i="1"/>
  <c r="L542" i="1"/>
  <c r="L543" i="1"/>
  <c r="L546" i="1"/>
  <c r="L547" i="1"/>
  <c r="L548" i="1"/>
  <c r="L551" i="1"/>
  <c r="L552" i="1"/>
  <c r="L553" i="1"/>
  <c r="L555" i="1"/>
  <c r="L561" i="1"/>
  <c r="L562" i="1"/>
  <c r="L566" i="1"/>
  <c r="L568" i="1"/>
  <c r="L569" i="1"/>
  <c r="L571" i="1"/>
  <c r="L576" i="1"/>
  <c r="L578" i="1"/>
  <c r="L582" i="1"/>
  <c r="L583" i="1"/>
  <c r="L584" i="1"/>
  <c r="L585" i="1"/>
  <c r="L590" i="1"/>
  <c r="L594" i="1"/>
  <c r="L596" i="1"/>
  <c r="L598" i="1"/>
  <c r="L599" i="1"/>
  <c r="L601" i="1"/>
  <c r="L603" i="1"/>
  <c r="L610" i="1"/>
  <c r="L611" i="1"/>
  <c r="L612" i="1"/>
  <c r="L613" i="1"/>
  <c r="L614" i="1"/>
  <c r="L616" i="1"/>
  <c r="L618" i="1"/>
  <c r="L619" i="1"/>
  <c r="L621" i="1"/>
  <c r="L624" i="1"/>
  <c r="L625" i="1"/>
  <c r="L626" i="1"/>
  <c r="L627" i="1"/>
  <c r="L629" i="1"/>
  <c r="L630" i="1"/>
  <c r="L638" i="1"/>
  <c r="L639" i="1"/>
  <c r="L642" i="1"/>
  <c r="L646" i="1"/>
  <c r="L648" i="1"/>
  <c r="L653" i="1"/>
  <c r="L659" i="1"/>
  <c r="L660" i="1"/>
  <c r="L661" i="1"/>
  <c r="L662" i="1"/>
  <c r="L663" i="1"/>
  <c r="L666" i="1"/>
  <c r="L675" i="1"/>
  <c r="L676" i="1"/>
  <c r="L681" i="1"/>
  <c r="L682" i="1"/>
  <c r="L683" i="1"/>
  <c r="L684" i="1"/>
  <c r="L685" i="1"/>
  <c r="L688" i="1"/>
  <c r="L689" i="1"/>
  <c r="L691" i="1"/>
  <c r="L693" i="1"/>
  <c r="L694" i="1"/>
  <c r="L695" i="1"/>
  <c r="L697" i="1"/>
  <c r="L699" i="1"/>
  <c r="L701" i="1"/>
  <c r="L702" i="1"/>
  <c r="L705" i="1"/>
  <c r="L709" i="1"/>
  <c r="L712" i="1"/>
  <c r="L716" i="1"/>
  <c r="L717" i="1"/>
  <c r="L720" i="1"/>
  <c r="L723" i="1"/>
  <c r="L724" i="1"/>
  <c r="L725" i="1"/>
  <c r="L726" i="1"/>
  <c r="L732" i="1"/>
  <c r="L737" i="1"/>
  <c r="L743" i="1"/>
  <c r="L745" i="1"/>
  <c r="L748" i="1"/>
  <c r="L749" i="1"/>
  <c r="L751" i="1"/>
  <c r="L752" i="1"/>
  <c r="L756" i="1"/>
  <c r="L757" i="1"/>
  <c r="L759" i="1"/>
  <c r="L762" i="1"/>
  <c r="L763" i="1"/>
  <c r="L766" i="1"/>
  <c r="L772" i="1"/>
  <c r="L774" i="1"/>
  <c r="L775" i="1"/>
  <c r="L779" i="1"/>
  <c r="L782" i="1"/>
  <c r="L785" i="1"/>
  <c r="L788" i="1"/>
  <c r="L789" i="1"/>
  <c r="L794" i="1"/>
  <c r="L797" i="1"/>
  <c r="L798" i="1"/>
  <c r="L799" i="1"/>
  <c r="L800" i="1"/>
  <c r="L804" i="1"/>
  <c r="L806" i="1"/>
  <c r="L807" i="1"/>
  <c r="L820" i="1"/>
  <c r="L824" i="1"/>
  <c r="L829" i="1"/>
  <c r="L830" i="1"/>
  <c r="L834" i="1"/>
  <c r="L837" i="1"/>
  <c r="L839" i="1"/>
  <c r="L846" i="1"/>
  <c r="L847" i="1"/>
  <c r="L850" i="1"/>
  <c r="L854" i="1"/>
  <c r="L857" i="1"/>
  <c r="L858" i="1"/>
  <c r="L859" i="1"/>
  <c r="L864" i="1"/>
  <c r="L869" i="1"/>
  <c r="L870" i="1"/>
  <c r="L871" i="1"/>
  <c r="L878" i="1"/>
  <c r="L884" i="1"/>
  <c r="L885" i="1"/>
  <c r="L889" i="1"/>
  <c r="L892" i="1"/>
  <c r="L894" i="1"/>
  <c r="L905" i="1"/>
  <c r="L908" i="1"/>
  <c r="L916" i="1"/>
  <c r="L918" i="1"/>
  <c r="L925" i="1"/>
  <c r="L931" i="1"/>
  <c r="L940" i="1"/>
  <c r="L943" i="1"/>
  <c r="L944" i="1"/>
  <c r="L945" i="1"/>
  <c r="L947" i="1"/>
  <c r="L954" i="1"/>
  <c r="L955" i="1"/>
  <c r="L956" i="1"/>
  <c r="L958" i="1"/>
  <c r="L960" i="1"/>
  <c r="L962" i="1"/>
  <c r="L963" i="1"/>
  <c r="L964" i="1"/>
  <c r="L965" i="1"/>
  <c r="L966" i="1"/>
  <c r="L969" i="1"/>
  <c r="L970" i="1"/>
  <c r="L971" i="1"/>
  <c r="L973" i="1"/>
  <c r="L975" i="1"/>
  <c r="L978" i="1"/>
  <c r="L983" i="1"/>
  <c r="L984" i="1"/>
  <c r="L985" i="1"/>
  <c r="L994" i="1"/>
  <c r="L996" i="1"/>
  <c r="L998" i="1"/>
  <c r="L999" i="1"/>
  <c r="L1009" i="1"/>
  <c r="L1016" i="1"/>
  <c r="L1024" i="1"/>
  <c r="L1027" i="1"/>
  <c r="L1029" i="1"/>
  <c r="L1034" i="1"/>
  <c r="L1035" i="1"/>
  <c r="L1036" i="1"/>
  <c r="L1038" i="1"/>
  <c r="L1039" i="1"/>
  <c r="L1040" i="1"/>
  <c r="L1043" i="1"/>
  <c r="L1044" i="1"/>
  <c r="L1046" i="1"/>
  <c r="L1047" i="1"/>
  <c r="L1052" i="1"/>
  <c r="L1057" i="1"/>
  <c r="L1058" i="1"/>
  <c r="L1069" i="1"/>
  <c r="L1071" i="1"/>
  <c r="L1072" i="1"/>
  <c r="L1074" i="1"/>
  <c r="L1076" i="1"/>
  <c r="L1080" i="1"/>
  <c r="L1081" i="1"/>
  <c r="L1085" i="1"/>
  <c r="L1091" i="1"/>
  <c r="L1092" i="1"/>
  <c r="L1096" i="1"/>
  <c r="L1097" i="1"/>
  <c r="L1103" i="1"/>
  <c r="L1105" i="1"/>
  <c r="L1114" i="1"/>
  <c r="L1116" i="1"/>
  <c r="L1118" i="1"/>
  <c r="L1119" i="1"/>
  <c r="L1129" i="1"/>
  <c r="L1130" i="1"/>
  <c r="L1133" i="1"/>
  <c r="L1135" i="1"/>
  <c r="L1139" i="1"/>
  <c r="L1141" i="1"/>
  <c r="L1142" i="1"/>
  <c r="L1144" i="1"/>
  <c r="L1146" i="1"/>
  <c r="L1149" i="1"/>
  <c r="L1155" i="1"/>
  <c r="L1157" i="1"/>
  <c r="L1161" i="1"/>
  <c r="L1167" i="1"/>
  <c r="L1169" i="1"/>
  <c r="L1176" i="1"/>
  <c r="L1177" i="1"/>
  <c r="L1181" i="1"/>
  <c r="L1182" i="1"/>
  <c r="L1184" i="1"/>
  <c r="L3" i="1"/>
  <c r="L7" i="1"/>
  <c r="L11" i="1"/>
  <c r="L20" i="1"/>
  <c r="L25" i="1"/>
  <c r="L29" i="1"/>
  <c r="L31" i="1"/>
  <c r="L34" i="1"/>
  <c r="L35" i="1"/>
  <c r="L36" i="1"/>
  <c r="L39" i="1"/>
  <c r="L40" i="1"/>
  <c r="L45" i="1"/>
  <c r="L48" i="1"/>
  <c r="L50" i="1"/>
  <c r="L53" i="1"/>
  <c r="L55" i="1"/>
  <c r="L57" i="1"/>
  <c r="L58" i="1"/>
  <c r="L66" i="1"/>
  <c r="L71" i="1"/>
  <c r="L72" i="1"/>
  <c r="L76" i="1"/>
  <c r="L80" i="1"/>
  <c r="L84" i="1"/>
  <c r="L89" i="1"/>
  <c r="L90" i="1"/>
  <c r="L93" i="1"/>
  <c r="L97" i="1"/>
  <c r="L99" i="1"/>
  <c r="L100" i="1"/>
  <c r="L113" i="1"/>
  <c r="L117" i="1"/>
  <c r="L118" i="1"/>
  <c r="L121" i="1"/>
  <c r="L123" i="1"/>
  <c r="L2" i="1"/>
  <c r="L1202" i="1" a="1"/>
  <c r="L1202" i="1" s="1"/>
  <c r="L154" i="1" s="1"/>
  <c r="AB216" i="1"/>
  <c r="AB698" i="1"/>
  <c r="AB858" i="1"/>
  <c r="AB1009" i="1"/>
  <c r="AB13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3" i="1"/>
  <c r="AA4" i="1"/>
  <c r="AA5" i="1"/>
  <c r="AA6" i="1"/>
  <c r="AA7" i="1"/>
  <c r="AA8" i="1"/>
  <c r="AA9" i="1"/>
  <c r="AA10" i="1"/>
  <c r="AA2" i="1"/>
  <c r="V96" i="1"/>
  <c r="W96" i="1" s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3" i="1"/>
  <c r="AD4" i="1"/>
  <c r="AD2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V273" i="1" s="1"/>
  <c r="W273" i="1" s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V834" i="1" s="1"/>
  <c r="W834" i="1" s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2" i="1"/>
  <c r="R3" i="1"/>
  <c r="R4" i="1"/>
  <c r="R5" i="1"/>
  <c r="R6" i="1"/>
  <c r="R7" i="1"/>
  <c r="R8" i="1"/>
  <c r="R9" i="1"/>
  <c r="R10" i="1"/>
  <c r="S10" i="1" s="1"/>
  <c r="R11" i="1"/>
  <c r="V11" i="1" s="1"/>
  <c r="W11" i="1" s="1"/>
  <c r="R12" i="1"/>
  <c r="R2" i="1"/>
  <c r="R13" i="1"/>
  <c r="R14" i="1"/>
  <c r="R15" i="1"/>
  <c r="R16" i="1"/>
  <c r="R17" i="1"/>
  <c r="R18" i="1"/>
  <c r="S18" i="1" s="1"/>
  <c r="R19" i="1"/>
  <c r="R20" i="1"/>
  <c r="R21" i="1"/>
  <c r="R22" i="1"/>
  <c r="R23" i="1"/>
  <c r="R24" i="1"/>
  <c r="R25" i="1"/>
  <c r="R26" i="1"/>
  <c r="R27" i="1"/>
  <c r="R28" i="1"/>
  <c r="R29" i="1"/>
  <c r="S29" i="1" s="1"/>
  <c r="R30" i="1"/>
  <c r="S30" i="1" s="1"/>
  <c r="R31" i="1"/>
  <c r="R32" i="1"/>
  <c r="V32" i="1" s="1"/>
  <c r="W32" i="1" s="1"/>
  <c r="R33" i="1"/>
  <c r="S33" i="1" s="1"/>
  <c r="R34" i="1"/>
  <c r="S34" i="1" s="1"/>
  <c r="R35" i="1"/>
  <c r="S35" i="1" s="1"/>
  <c r="R36" i="1"/>
  <c r="S36" i="1" s="1"/>
  <c r="R37" i="1"/>
  <c r="R38" i="1"/>
  <c r="R39" i="1"/>
  <c r="R40" i="1"/>
  <c r="R41" i="1"/>
  <c r="R42" i="1"/>
  <c r="R43" i="1"/>
  <c r="R44" i="1"/>
  <c r="R45" i="1"/>
  <c r="R46" i="1"/>
  <c r="S46" i="1" s="1"/>
  <c r="R47" i="1"/>
  <c r="S47" i="1" s="1"/>
  <c r="R48" i="1"/>
  <c r="R49" i="1"/>
  <c r="R50" i="1"/>
  <c r="R51" i="1"/>
  <c r="R52" i="1"/>
  <c r="R53" i="1"/>
  <c r="R54" i="1"/>
  <c r="R55" i="1"/>
  <c r="R56" i="1"/>
  <c r="R57" i="1"/>
  <c r="S57" i="1" s="1"/>
  <c r="R58" i="1"/>
  <c r="R59" i="1"/>
  <c r="R60" i="1"/>
  <c r="R61" i="1"/>
  <c r="R62" i="1"/>
  <c r="R63" i="1"/>
  <c r="R64" i="1"/>
  <c r="R65" i="1"/>
  <c r="S65" i="1" s="1"/>
  <c r="R66" i="1"/>
  <c r="S66" i="1" s="1"/>
  <c r="R67" i="1"/>
  <c r="R68" i="1"/>
  <c r="R69" i="1"/>
  <c r="R70" i="1"/>
  <c r="R71" i="1"/>
  <c r="R72" i="1"/>
  <c r="S72" i="1" s="1"/>
  <c r="R73" i="1"/>
  <c r="R74" i="1"/>
  <c r="R75" i="1"/>
  <c r="R76" i="1"/>
  <c r="R77" i="1"/>
  <c r="R78" i="1"/>
  <c r="R79" i="1"/>
  <c r="R80" i="1"/>
  <c r="R81" i="1"/>
  <c r="R82" i="1"/>
  <c r="R83" i="1"/>
  <c r="S83" i="1" s="1"/>
  <c r="R84" i="1"/>
  <c r="S84" i="1" s="1"/>
  <c r="R85" i="1"/>
  <c r="R86" i="1"/>
  <c r="R87" i="1"/>
  <c r="S87" i="1" s="1"/>
  <c r="R88" i="1"/>
  <c r="V88" i="1" s="1"/>
  <c r="W88" i="1" s="1"/>
  <c r="R89" i="1"/>
  <c r="R90" i="1"/>
  <c r="R91" i="1"/>
  <c r="R92" i="1"/>
  <c r="R93" i="1"/>
  <c r="S93" i="1" s="1"/>
  <c r="R94" i="1"/>
  <c r="R95" i="1"/>
  <c r="R96" i="1"/>
  <c r="S96" i="1" s="1"/>
  <c r="R97" i="1"/>
  <c r="R98" i="1"/>
  <c r="R99" i="1"/>
  <c r="R100" i="1"/>
  <c r="R101" i="1"/>
  <c r="S101" i="1" s="1"/>
  <c r="R102" i="1"/>
  <c r="S102" i="1" s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S123" i="1" s="1"/>
  <c r="R124" i="1"/>
  <c r="S124" i="1" s="1"/>
  <c r="R125" i="1"/>
  <c r="S125" i="1" s="1"/>
  <c r="R126" i="1"/>
  <c r="S126" i="1" s="1"/>
  <c r="R127" i="1"/>
  <c r="S127" i="1" s="1"/>
  <c r="R128" i="1"/>
  <c r="S128" i="1" s="1"/>
  <c r="R129" i="1"/>
  <c r="R130" i="1"/>
  <c r="R131" i="1"/>
  <c r="R132" i="1"/>
  <c r="R133" i="1"/>
  <c r="R134" i="1"/>
  <c r="R135" i="1"/>
  <c r="R136" i="1"/>
  <c r="R137" i="1"/>
  <c r="S137" i="1" s="1"/>
  <c r="R138" i="1"/>
  <c r="S138" i="1" s="1"/>
  <c r="R139" i="1"/>
  <c r="R140" i="1"/>
  <c r="R141" i="1"/>
  <c r="R142" i="1"/>
  <c r="R143" i="1"/>
  <c r="R144" i="1"/>
  <c r="R145" i="1"/>
  <c r="R146" i="1"/>
  <c r="R147" i="1"/>
  <c r="R148" i="1"/>
  <c r="R149" i="1"/>
  <c r="S149" i="1" s="1"/>
  <c r="R150" i="1"/>
  <c r="R151" i="1"/>
  <c r="S151" i="1" s="1"/>
  <c r="R152" i="1"/>
  <c r="R153" i="1"/>
  <c r="R154" i="1"/>
  <c r="R155" i="1"/>
  <c r="R156" i="1"/>
  <c r="S156" i="1" s="1"/>
  <c r="R157" i="1"/>
  <c r="R158" i="1"/>
  <c r="R159" i="1"/>
  <c r="R160" i="1"/>
  <c r="R161" i="1"/>
  <c r="R162" i="1"/>
  <c r="R163" i="1"/>
  <c r="S163" i="1" s="1"/>
  <c r="R164" i="1"/>
  <c r="R165" i="1"/>
  <c r="R166" i="1"/>
  <c r="R167" i="1"/>
  <c r="R168" i="1"/>
  <c r="R169" i="1"/>
  <c r="R170" i="1"/>
  <c r="R171" i="1"/>
  <c r="R172" i="1"/>
  <c r="S172" i="1" s="1"/>
  <c r="R173" i="1"/>
  <c r="R174" i="1"/>
  <c r="R175" i="1"/>
  <c r="R176" i="1"/>
  <c r="R177" i="1"/>
  <c r="S177" i="1" s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S192" i="1" s="1"/>
  <c r="R193" i="1"/>
  <c r="R194" i="1"/>
  <c r="R195" i="1"/>
  <c r="S195" i="1" s="1"/>
  <c r="R196" i="1"/>
  <c r="S196" i="1" s="1"/>
  <c r="R197" i="1"/>
  <c r="S197" i="1" s="1"/>
  <c r="R198" i="1"/>
  <c r="S198" i="1" s="1"/>
  <c r="R199" i="1"/>
  <c r="R200" i="1"/>
  <c r="R201" i="1"/>
  <c r="R202" i="1"/>
  <c r="R203" i="1"/>
  <c r="R204" i="1"/>
  <c r="R205" i="1"/>
  <c r="R206" i="1"/>
  <c r="R207" i="1"/>
  <c r="S207" i="1" s="1"/>
  <c r="R208" i="1"/>
  <c r="R209" i="1"/>
  <c r="S209" i="1" s="1"/>
  <c r="R210" i="1"/>
  <c r="R211" i="1"/>
  <c r="R212" i="1"/>
  <c r="R213" i="1"/>
  <c r="R214" i="1"/>
  <c r="R215" i="1"/>
  <c r="R216" i="1"/>
  <c r="S216" i="1" s="1"/>
  <c r="R217" i="1"/>
  <c r="R218" i="1"/>
  <c r="R219" i="1"/>
  <c r="S219" i="1" s="1"/>
  <c r="R220" i="1"/>
  <c r="R221" i="1"/>
  <c r="R222" i="1"/>
  <c r="R223" i="1"/>
  <c r="R224" i="1"/>
  <c r="R225" i="1"/>
  <c r="R226" i="1"/>
  <c r="R227" i="1"/>
  <c r="R228" i="1"/>
  <c r="S228" i="1" s="1"/>
  <c r="R229" i="1"/>
  <c r="R230" i="1"/>
  <c r="R231" i="1"/>
  <c r="R232" i="1"/>
  <c r="R233" i="1"/>
  <c r="R234" i="1"/>
  <c r="S234" i="1" s="1"/>
  <c r="R235" i="1"/>
  <c r="R236" i="1"/>
  <c r="R237" i="1"/>
  <c r="R238" i="1"/>
  <c r="R239" i="1"/>
  <c r="R240" i="1"/>
  <c r="R241" i="1"/>
  <c r="R242" i="1"/>
  <c r="R243" i="1"/>
  <c r="R244" i="1"/>
  <c r="R245" i="1"/>
  <c r="R246" i="1"/>
  <c r="S246" i="1" s="1"/>
  <c r="R247" i="1"/>
  <c r="R248" i="1"/>
  <c r="R249" i="1"/>
  <c r="R250" i="1"/>
  <c r="R251" i="1"/>
  <c r="R252" i="1"/>
  <c r="R253" i="1"/>
  <c r="R254" i="1"/>
  <c r="S254" i="1" s="1"/>
  <c r="R255" i="1"/>
  <c r="S255" i="1" s="1"/>
  <c r="R256" i="1"/>
  <c r="R257" i="1"/>
  <c r="S257" i="1" s="1"/>
  <c r="R258" i="1"/>
  <c r="S258" i="1" s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V274" i="1" s="1"/>
  <c r="W274" i="1" s="1"/>
  <c r="R275" i="1"/>
  <c r="R276" i="1"/>
  <c r="R277" i="1"/>
  <c r="R278" i="1"/>
  <c r="R279" i="1"/>
  <c r="S279" i="1" s="1"/>
  <c r="R280" i="1"/>
  <c r="R281" i="1"/>
  <c r="R282" i="1"/>
  <c r="R283" i="1"/>
  <c r="R284" i="1"/>
  <c r="R285" i="1"/>
  <c r="R286" i="1"/>
  <c r="S286" i="1" s="1"/>
  <c r="R287" i="1"/>
  <c r="S287" i="1" s="1"/>
  <c r="R288" i="1"/>
  <c r="R289" i="1"/>
  <c r="S289" i="1" s="1"/>
  <c r="R290" i="1"/>
  <c r="R291" i="1"/>
  <c r="R292" i="1"/>
  <c r="R293" i="1"/>
  <c r="R294" i="1"/>
  <c r="R295" i="1"/>
  <c r="R296" i="1"/>
  <c r="R297" i="1"/>
  <c r="R298" i="1"/>
  <c r="R299" i="1"/>
  <c r="S299" i="1" s="1"/>
  <c r="R300" i="1"/>
  <c r="R301" i="1"/>
  <c r="R302" i="1"/>
  <c r="R303" i="1"/>
  <c r="R304" i="1"/>
  <c r="R305" i="1"/>
  <c r="S305" i="1" s="1"/>
  <c r="R306" i="1"/>
  <c r="S306" i="1" s="1"/>
  <c r="R307" i="1"/>
  <c r="R308" i="1"/>
  <c r="R309" i="1"/>
  <c r="R310" i="1"/>
  <c r="R311" i="1"/>
  <c r="S311" i="1" s="1"/>
  <c r="R312" i="1"/>
  <c r="S312" i="1" s="1"/>
  <c r="R313" i="1"/>
  <c r="R314" i="1"/>
  <c r="R315" i="1"/>
  <c r="S315" i="1" s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S329" i="1" s="1"/>
  <c r="R330" i="1"/>
  <c r="S330" i="1" s="1"/>
  <c r="R331" i="1"/>
  <c r="R332" i="1"/>
  <c r="R333" i="1"/>
  <c r="R334" i="1"/>
  <c r="R335" i="1"/>
  <c r="S335" i="1" s="1"/>
  <c r="R336" i="1"/>
  <c r="S336" i="1" s="1"/>
  <c r="R337" i="1"/>
  <c r="S337" i="1" s="1"/>
  <c r="R338" i="1"/>
  <c r="S338" i="1" s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S353" i="1" s="1"/>
  <c r="R354" i="1"/>
  <c r="S354" i="1" s="1"/>
  <c r="R355" i="1"/>
  <c r="S355" i="1" s="1"/>
  <c r="R356" i="1"/>
  <c r="S356" i="1" s="1"/>
  <c r="R357" i="1"/>
  <c r="S357" i="1" s="1"/>
  <c r="R358" i="1"/>
  <c r="S358" i="1" s="1"/>
  <c r="R359" i="1"/>
  <c r="R360" i="1"/>
  <c r="R361" i="1"/>
  <c r="R362" i="1"/>
  <c r="S362" i="1" s="1"/>
  <c r="R363" i="1"/>
  <c r="R364" i="1"/>
  <c r="R365" i="1"/>
  <c r="S365" i="1" s="1"/>
  <c r="R366" i="1"/>
  <c r="R367" i="1"/>
  <c r="R368" i="1"/>
  <c r="R369" i="1"/>
  <c r="S369" i="1" s="1"/>
  <c r="R370" i="1"/>
  <c r="R371" i="1"/>
  <c r="S371" i="1" s="1"/>
  <c r="R372" i="1"/>
  <c r="R373" i="1"/>
  <c r="S373" i="1" s="1"/>
  <c r="R374" i="1"/>
  <c r="R375" i="1"/>
  <c r="R376" i="1"/>
  <c r="R377" i="1"/>
  <c r="R378" i="1"/>
  <c r="R379" i="1"/>
  <c r="R380" i="1"/>
  <c r="R381" i="1"/>
  <c r="R382" i="1"/>
  <c r="R383" i="1"/>
  <c r="S383" i="1" s="1"/>
  <c r="R384" i="1"/>
  <c r="S384" i="1" s="1"/>
  <c r="R385" i="1"/>
  <c r="R386" i="1"/>
  <c r="R387" i="1"/>
  <c r="R388" i="1"/>
  <c r="R389" i="1"/>
  <c r="S389" i="1" s="1"/>
  <c r="R390" i="1"/>
  <c r="S390" i="1" s="1"/>
  <c r="R391" i="1"/>
  <c r="S391" i="1" s="1"/>
  <c r="R392" i="1"/>
  <c r="S392" i="1" s="1"/>
  <c r="R393" i="1"/>
  <c r="S393" i="1" s="1"/>
  <c r="R394" i="1"/>
  <c r="S394" i="1" s="1"/>
  <c r="R395" i="1"/>
  <c r="R396" i="1"/>
  <c r="R397" i="1"/>
  <c r="R398" i="1"/>
  <c r="R399" i="1"/>
  <c r="R400" i="1"/>
  <c r="R401" i="1"/>
  <c r="R402" i="1"/>
  <c r="R403" i="1"/>
  <c r="R404" i="1"/>
  <c r="S404" i="1" s="1"/>
  <c r="R405" i="1"/>
  <c r="S405" i="1" s="1"/>
  <c r="R406" i="1"/>
  <c r="R407" i="1"/>
  <c r="R408" i="1"/>
  <c r="R409" i="1"/>
  <c r="R410" i="1"/>
  <c r="R411" i="1"/>
  <c r="R412" i="1"/>
  <c r="S412" i="1" s="1"/>
  <c r="R413" i="1"/>
  <c r="S413" i="1" s="1"/>
  <c r="R414" i="1"/>
  <c r="S414" i="1" s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S440" i="1" s="1"/>
  <c r="R441" i="1"/>
  <c r="S441" i="1" s="1"/>
  <c r="R442" i="1"/>
  <c r="R443" i="1"/>
  <c r="S443" i="1" s="1"/>
  <c r="R444" i="1"/>
  <c r="S444" i="1" s="1"/>
  <c r="R445" i="1"/>
  <c r="S445" i="1" s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S461" i="1" s="1"/>
  <c r="R462" i="1"/>
  <c r="S462" i="1" s="1"/>
  <c r="R463" i="1"/>
  <c r="S463" i="1" s="1"/>
  <c r="R464" i="1"/>
  <c r="S464" i="1" s="1"/>
  <c r="R465" i="1"/>
  <c r="R466" i="1"/>
  <c r="S466" i="1" s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S484" i="1" s="1"/>
  <c r="R485" i="1"/>
  <c r="S485" i="1" s="1"/>
  <c r="R486" i="1"/>
  <c r="S486" i="1" s="1"/>
  <c r="R487" i="1"/>
  <c r="S487" i="1" s="1"/>
  <c r="R488" i="1"/>
  <c r="R489" i="1"/>
  <c r="R490" i="1"/>
  <c r="R491" i="1"/>
  <c r="S491" i="1" s="1"/>
  <c r="R492" i="1"/>
  <c r="S492" i="1" s="1"/>
  <c r="R493" i="1"/>
  <c r="R494" i="1"/>
  <c r="R495" i="1"/>
  <c r="R496" i="1"/>
  <c r="R497" i="1"/>
  <c r="S497" i="1" s="1"/>
  <c r="R498" i="1"/>
  <c r="S498" i="1" s="1"/>
  <c r="R499" i="1"/>
  <c r="S499" i="1" s="1"/>
  <c r="R500" i="1"/>
  <c r="S500" i="1" s="1"/>
  <c r="R501" i="1"/>
  <c r="S501" i="1" s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S522" i="1" s="1"/>
  <c r="R523" i="1"/>
  <c r="S523" i="1" s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S536" i="1" s="1"/>
  <c r="R537" i="1"/>
  <c r="R538" i="1"/>
  <c r="R539" i="1"/>
  <c r="R540" i="1"/>
  <c r="S540" i="1" s="1"/>
  <c r="R541" i="1"/>
  <c r="R542" i="1"/>
  <c r="R543" i="1"/>
  <c r="R544" i="1"/>
  <c r="R545" i="1"/>
  <c r="R546" i="1"/>
  <c r="R547" i="1"/>
  <c r="S547" i="1" s="1"/>
  <c r="R548" i="1"/>
  <c r="S548" i="1" s="1"/>
  <c r="R549" i="1"/>
  <c r="S549" i="1" s="1"/>
  <c r="R550" i="1"/>
  <c r="R551" i="1"/>
  <c r="S551" i="1" s="1"/>
  <c r="R552" i="1"/>
  <c r="S552" i="1" s="1"/>
  <c r="R553" i="1"/>
  <c r="S553" i="1" s="1"/>
  <c r="R554" i="1"/>
  <c r="R555" i="1"/>
  <c r="R556" i="1"/>
  <c r="R557" i="1"/>
  <c r="R558" i="1"/>
  <c r="R559" i="1"/>
  <c r="R560" i="1"/>
  <c r="R561" i="1"/>
  <c r="R562" i="1"/>
  <c r="R563" i="1"/>
  <c r="S563" i="1" s="1"/>
  <c r="R564" i="1"/>
  <c r="R565" i="1"/>
  <c r="R566" i="1"/>
  <c r="R567" i="1"/>
  <c r="R568" i="1"/>
  <c r="R569" i="1"/>
  <c r="S569" i="1" s="1"/>
  <c r="R570" i="1"/>
  <c r="S570" i="1" s="1"/>
  <c r="R571" i="1"/>
  <c r="S571" i="1" s="1"/>
  <c r="R572" i="1"/>
  <c r="S572" i="1" s="1"/>
  <c r="R573" i="1"/>
  <c r="R574" i="1"/>
  <c r="S574" i="1" s="1"/>
  <c r="R575" i="1"/>
  <c r="R576" i="1"/>
  <c r="R577" i="1"/>
  <c r="R578" i="1"/>
  <c r="R579" i="1"/>
  <c r="R580" i="1"/>
  <c r="R581" i="1"/>
  <c r="R582" i="1"/>
  <c r="R583" i="1"/>
  <c r="R584" i="1"/>
  <c r="S584" i="1" s="1"/>
  <c r="R585" i="1"/>
  <c r="S585" i="1" s="1"/>
  <c r="R586" i="1"/>
  <c r="R587" i="1"/>
  <c r="S587" i="1" s="1"/>
  <c r="R588" i="1"/>
  <c r="R589" i="1"/>
  <c r="S589" i="1" s="1"/>
  <c r="R590" i="1"/>
  <c r="S590" i="1" s="1"/>
  <c r="R591" i="1"/>
  <c r="R592" i="1"/>
  <c r="S592" i="1" s="1"/>
  <c r="R593" i="1"/>
  <c r="S593" i="1" s="1"/>
  <c r="R594" i="1"/>
  <c r="S594" i="1" s="1"/>
  <c r="R595" i="1"/>
  <c r="R596" i="1"/>
  <c r="R597" i="1"/>
  <c r="R598" i="1"/>
  <c r="R599" i="1"/>
  <c r="R600" i="1"/>
  <c r="R601" i="1"/>
  <c r="R602" i="1"/>
  <c r="R603" i="1"/>
  <c r="R604" i="1"/>
  <c r="R605" i="1"/>
  <c r="S605" i="1" s="1"/>
  <c r="R606" i="1"/>
  <c r="R607" i="1"/>
  <c r="R608" i="1"/>
  <c r="S608" i="1" s="1"/>
  <c r="R609" i="1"/>
  <c r="R610" i="1"/>
  <c r="R611" i="1"/>
  <c r="S611" i="1" s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S624" i="1" s="1"/>
  <c r="R625" i="1"/>
  <c r="S625" i="1" s="1"/>
  <c r="R626" i="1"/>
  <c r="R627" i="1"/>
  <c r="R628" i="1"/>
  <c r="R629" i="1"/>
  <c r="R630" i="1"/>
  <c r="R631" i="1"/>
  <c r="R632" i="1"/>
  <c r="R633" i="1"/>
  <c r="R634" i="1"/>
  <c r="R635" i="1"/>
  <c r="R636" i="1"/>
  <c r="S636" i="1" s="1"/>
  <c r="R637" i="1"/>
  <c r="S637" i="1" s="1"/>
  <c r="R638" i="1"/>
  <c r="S638" i="1" s="1"/>
  <c r="R639" i="1"/>
  <c r="R640" i="1"/>
  <c r="R641" i="1"/>
  <c r="R642" i="1"/>
  <c r="V642" i="1" s="1"/>
  <c r="W642" i="1" s="1"/>
  <c r="R643" i="1"/>
  <c r="V643" i="1" s="1"/>
  <c r="W643" i="1" s="1"/>
  <c r="R644" i="1"/>
  <c r="S644" i="1" s="1"/>
  <c r="R645" i="1"/>
  <c r="R646" i="1"/>
  <c r="R647" i="1"/>
  <c r="R648" i="1"/>
  <c r="S648" i="1" s="1"/>
  <c r="R649" i="1"/>
  <c r="S649" i="1" s="1"/>
  <c r="R650" i="1"/>
  <c r="R651" i="1"/>
  <c r="R652" i="1"/>
  <c r="R653" i="1"/>
  <c r="R654" i="1"/>
  <c r="R655" i="1"/>
  <c r="R656" i="1"/>
  <c r="R657" i="1"/>
  <c r="R658" i="1"/>
  <c r="R659" i="1"/>
  <c r="S659" i="1" s="1"/>
  <c r="R660" i="1"/>
  <c r="R661" i="1"/>
  <c r="R662" i="1"/>
  <c r="S662" i="1" s="1"/>
  <c r="R663" i="1"/>
  <c r="R664" i="1"/>
  <c r="R665" i="1"/>
  <c r="S665" i="1" s="1"/>
  <c r="R666" i="1"/>
  <c r="S666" i="1" s="1"/>
  <c r="R667" i="1"/>
  <c r="R668" i="1"/>
  <c r="R669" i="1"/>
  <c r="R670" i="1"/>
  <c r="R671" i="1"/>
  <c r="S671" i="1" s="1"/>
  <c r="R672" i="1"/>
  <c r="R673" i="1"/>
  <c r="R674" i="1"/>
  <c r="S674" i="1" s="1"/>
  <c r="R675" i="1"/>
  <c r="R676" i="1"/>
  <c r="R677" i="1"/>
  <c r="S677" i="1" s="1"/>
  <c r="R678" i="1"/>
  <c r="S678" i="1" s="1"/>
  <c r="R679" i="1"/>
  <c r="R680" i="1"/>
  <c r="R681" i="1"/>
  <c r="R682" i="1"/>
  <c r="R683" i="1"/>
  <c r="R684" i="1"/>
  <c r="R685" i="1"/>
  <c r="R686" i="1"/>
  <c r="R687" i="1"/>
  <c r="R688" i="1"/>
  <c r="R689" i="1"/>
  <c r="S689" i="1" s="1"/>
  <c r="R690" i="1"/>
  <c r="R691" i="1"/>
  <c r="S691" i="1" s="1"/>
  <c r="R692" i="1"/>
  <c r="R693" i="1"/>
  <c r="R694" i="1"/>
  <c r="R695" i="1"/>
  <c r="R696" i="1"/>
  <c r="R697" i="1"/>
  <c r="S697" i="1" s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S715" i="1" s="1"/>
  <c r="R716" i="1"/>
  <c r="S716" i="1" s="1"/>
  <c r="R717" i="1"/>
  <c r="R718" i="1"/>
  <c r="R719" i="1"/>
  <c r="R720" i="1"/>
  <c r="S720" i="1" s="1"/>
  <c r="R721" i="1"/>
  <c r="R722" i="1"/>
  <c r="S722" i="1" s="1"/>
  <c r="R723" i="1"/>
  <c r="S723" i="1" s="1"/>
  <c r="R724" i="1"/>
  <c r="R725" i="1"/>
  <c r="R726" i="1"/>
  <c r="R727" i="1"/>
  <c r="R728" i="1"/>
  <c r="R729" i="1"/>
  <c r="R730" i="1"/>
  <c r="R731" i="1"/>
  <c r="S731" i="1" s="1"/>
  <c r="R732" i="1"/>
  <c r="S732" i="1" s="1"/>
  <c r="R733" i="1"/>
  <c r="S733" i="1" s="1"/>
  <c r="R734" i="1"/>
  <c r="S734" i="1" s="1"/>
  <c r="R735" i="1"/>
  <c r="S735" i="1" s="1"/>
  <c r="R736" i="1"/>
  <c r="R737" i="1"/>
  <c r="R738" i="1"/>
  <c r="R739" i="1"/>
  <c r="R740" i="1"/>
  <c r="R741" i="1"/>
  <c r="R742" i="1"/>
  <c r="R743" i="1"/>
  <c r="R744" i="1"/>
  <c r="S744" i="1" s="1"/>
  <c r="R745" i="1"/>
  <c r="R746" i="1"/>
  <c r="R747" i="1"/>
  <c r="S747" i="1" s="1"/>
  <c r="R748" i="1"/>
  <c r="R749" i="1"/>
  <c r="R750" i="1"/>
  <c r="R751" i="1"/>
  <c r="R752" i="1"/>
  <c r="R753" i="1"/>
  <c r="R754" i="1"/>
  <c r="S754" i="1" s="1"/>
  <c r="R755" i="1"/>
  <c r="S755" i="1" s="1"/>
  <c r="R756" i="1"/>
  <c r="S756" i="1" s="1"/>
  <c r="R757" i="1"/>
  <c r="R758" i="1"/>
  <c r="R759" i="1"/>
  <c r="R760" i="1"/>
  <c r="R761" i="1"/>
  <c r="R762" i="1"/>
  <c r="R763" i="1"/>
  <c r="R764" i="1"/>
  <c r="R765" i="1"/>
  <c r="R766" i="1"/>
  <c r="R767" i="1"/>
  <c r="R768" i="1"/>
  <c r="S768" i="1" s="1"/>
  <c r="R769" i="1"/>
  <c r="S769" i="1" s="1"/>
  <c r="R770" i="1"/>
  <c r="R771" i="1"/>
  <c r="R772" i="1"/>
  <c r="R773" i="1"/>
  <c r="R774" i="1"/>
  <c r="S774" i="1" s="1"/>
  <c r="R775" i="1"/>
  <c r="R776" i="1"/>
  <c r="R777" i="1"/>
  <c r="R778" i="1"/>
  <c r="R779" i="1"/>
  <c r="R780" i="1"/>
  <c r="S780" i="1" s="1"/>
  <c r="R781" i="1"/>
  <c r="R782" i="1"/>
  <c r="R783" i="1"/>
  <c r="R784" i="1"/>
  <c r="R785" i="1"/>
  <c r="R786" i="1"/>
  <c r="R787" i="1"/>
  <c r="S787" i="1" s="1"/>
  <c r="R788" i="1"/>
  <c r="R789" i="1"/>
  <c r="S789" i="1" s="1"/>
  <c r="R790" i="1"/>
  <c r="R791" i="1"/>
  <c r="R792" i="1"/>
  <c r="R793" i="1"/>
  <c r="R794" i="1"/>
  <c r="R795" i="1"/>
  <c r="R796" i="1"/>
  <c r="R797" i="1"/>
  <c r="S797" i="1" s="1"/>
  <c r="R798" i="1"/>
  <c r="R799" i="1"/>
  <c r="R800" i="1"/>
  <c r="R801" i="1"/>
  <c r="R802" i="1"/>
  <c r="R803" i="1"/>
  <c r="S803" i="1" s="1"/>
  <c r="R804" i="1"/>
  <c r="S804" i="1" s="1"/>
  <c r="R805" i="1"/>
  <c r="S805" i="1" s="1"/>
  <c r="R806" i="1"/>
  <c r="S806" i="1" s="1"/>
  <c r="R807" i="1"/>
  <c r="S807" i="1" s="1"/>
  <c r="R808" i="1"/>
  <c r="R809" i="1"/>
  <c r="R810" i="1"/>
  <c r="R811" i="1"/>
  <c r="R812" i="1"/>
  <c r="R813" i="1"/>
  <c r="R814" i="1"/>
  <c r="R815" i="1"/>
  <c r="R816" i="1"/>
  <c r="S816" i="1" s="1"/>
  <c r="R817" i="1"/>
  <c r="R818" i="1"/>
  <c r="R819" i="1"/>
  <c r="R820" i="1"/>
  <c r="R821" i="1"/>
  <c r="S821" i="1" s="1"/>
  <c r="R822" i="1"/>
  <c r="R823" i="1"/>
  <c r="R824" i="1"/>
  <c r="R825" i="1"/>
  <c r="R826" i="1"/>
  <c r="S826" i="1" s="1"/>
  <c r="R827" i="1"/>
  <c r="S827" i="1" s="1"/>
  <c r="R828" i="1"/>
  <c r="S828" i="1" s="1"/>
  <c r="R829" i="1"/>
  <c r="R830" i="1"/>
  <c r="R831" i="1"/>
  <c r="R832" i="1"/>
  <c r="R833" i="1"/>
  <c r="R834" i="1"/>
  <c r="R835" i="1"/>
  <c r="R836" i="1"/>
  <c r="R837" i="1"/>
  <c r="S837" i="1" s="1"/>
  <c r="R838" i="1"/>
  <c r="S838" i="1" s="1"/>
  <c r="R839" i="1"/>
  <c r="S839" i="1" s="1"/>
  <c r="R840" i="1"/>
  <c r="S840" i="1" s="1"/>
  <c r="R841" i="1"/>
  <c r="R842" i="1"/>
  <c r="R843" i="1"/>
  <c r="R844" i="1"/>
  <c r="S844" i="1" s="1"/>
  <c r="R845" i="1"/>
  <c r="S845" i="1" s="1"/>
  <c r="R846" i="1"/>
  <c r="S846" i="1" s="1"/>
  <c r="R847" i="1"/>
  <c r="R848" i="1"/>
  <c r="R849" i="1"/>
  <c r="R850" i="1"/>
  <c r="R851" i="1"/>
  <c r="S851" i="1" s="1"/>
  <c r="R852" i="1"/>
  <c r="S852" i="1" s="1"/>
  <c r="R853" i="1"/>
  <c r="R854" i="1"/>
  <c r="R855" i="1"/>
  <c r="R856" i="1"/>
  <c r="R857" i="1"/>
  <c r="R858" i="1"/>
  <c r="S858" i="1" s="1"/>
  <c r="R859" i="1"/>
  <c r="S859" i="1" s="1"/>
  <c r="R860" i="1"/>
  <c r="S860" i="1" s="1"/>
  <c r="R861" i="1"/>
  <c r="R862" i="1"/>
  <c r="R863" i="1"/>
  <c r="R864" i="1"/>
  <c r="S864" i="1" s="1"/>
  <c r="R865" i="1"/>
  <c r="R866" i="1"/>
  <c r="R867" i="1"/>
  <c r="R868" i="1"/>
  <c r="R869" i="1"/>
  <c r="S869" i="1" s="1"/>
  <c r="R870" i="1"/>
  <c r="S870" i="1" s="1"/>
  <c r="R871" i="1"/>
  <c r="R872" i="1"/>
  <c r="R873" i="1"/>
  <c r="R874" i="1"/>
  <c r="R875" i="1"/>
  <c r="R876" i="1"/>
  <c r="S876" i="1" s="1"/>
  <c r="R877" i="1"/>
  <c r="R878" i="1"/>
  <c r="S878" i="1" s="1"/>
  <c r="R879" i="1"/>
  <c r="S879" i="1" s="1"/>
  <c r="R880" i="1"/>
  <c r="S880" i="1" s="1"/>
  <c r="R881" i="1"/>
  <c r="R882" i="1"/>
  <c r="R883" i="1"/>
  <c r="R884" i="1"/>
  <c r="R885" i="1"/>
  <c r="R886" i="1"/>
  <c r="R887" i="1"/>
  <c r="S887" i="1" s="1"/>
  <c r="R888" i="1"/>
  <c r="R889" i="1"/>
  <c r="S889" i="1" s="1"/>
  <c r="R890" i="1"/>
  <c r="S890" i="1" s="1"/>
  <c r="R891" i="1"/>
  <c r="S891" i="1" s="1"/>
  <c r="R892" i="1"/>
  <c r="R893" i="1"/>
  <c r="S893" i="1" s="1"/>
  <c r="R894" i="1"/>
  <c r="R895" i="1"/>
  <c r="R896" i="1"/>
  <c r="R897" i="1"/>
  <c r="S897" i="1" s="1"/>
  <c r="R898" i="1"/>
  <c r="R899" i="1"/>
  <c r="R900" i="1"/>
  <c r="S900" i="1" s="1"/>
  <c r="R901" i="1"/>
  <c r="R902" i="1"/>
  <c r="R903" i="1"/>
  <c r="S903" i="1" s="1"/>
  <c r="R904" i="1"/>
  <c r="R905" i="1"/>
  <c r="R906" i="1"/>
  <c r="R907" i="1"/>
  <c r="R908" i="1"/>
  <c r="R909" i="1"/>
  <c r="R910" i="1"/>
  <c r="R911" i="1"/>
  <c r="S911" i="1" s="1"/>
  <c r="R912" i="1"/>
  <c r="R913" i="1"/>
  <c r="S913" i="1" s="1"/>
  <c r="R914" i="1"/>
  <c r="S914" i="1" s="1"/>
  <c r="R915" i="1"/>
  <c r="R916" i="1"/>
  <c r="R917" i="1"/>
  <c r="R918" i="1"/>
  <c r="R919" i="1"/>
  <c r="R920" i="1"/>
  <c r="R921" i="1"/>
  <c r="R922" i="1"/>
  <c r="R923" i="1"/>
  <c r="R924" i="1"/>
  <c r="R925" i="1"/>
  <c r="S925" i="1" s="1"/>
  <c r="R926" i="1"/>
  <c r="S926" i="1" s="1"/>
  <c r="R927" i="1"/>
  <c r="S927" i="1" s="1"/>
  <c r="R928" i="1"/>
  <c r="S928" i="1" s="1"/>
  <c r="R929" i="1"/>
  <c r="S929" i="1" s="1"/>
  <c r="R930" i="1"/>
  <c r="S930" i="1" s="1"/>
  <c r="R931" i="1"/>
  <c r="R932" i="1"/>
  <c r="S932" i="1" s="1"/>
  <c r="R933" i="1"/>
  <c r="S933" i="1" s="1"/>
  <c r="R934" i="1"/>
  <c r="S934" i="1" s="1"/>
  <c r="R935" i="1"/>
  <c r="S935" i="1" s="1"/>
  <c r="R936" i="1"/>
  <c r="S936" i="1" s="1"/>
  <c r="R937" i="1"/>
  <c r="R938" i="1"/>
  <c r="R939" i="1"/>
  <c r="R940" i="1"/>
  <c r="R941" i="1"/>
  <c r="S941" i="1" s="1"/>
  <c r="R942" i="1"/>
  <c r="R943" i="1"/>
  <c r="R944" i="1"/>
  <c r="R945" i="1"/>
  <c r="R946" i="1"/>
  <c r="R947" i="1"/>
  <c r="R948" i="1"/>
  <c r="S948" i="1" s="1"/>
  <c r="R949" i="1"/>
  <c r="S949" i="1" s="1"/>
  <c r="R950" i="1"/>
  <c r="R951" i="1"/>
  <c r="R952" i="1"/>
  <c r="R953" i="1"/>
  <c r="R954" i="1"/>
  <c r="R955" i="1"/>
  <c r="R956" i="1"/>
  <c r="R957" i="1"/>
  <c r="R958" i="1"/>
  <c r="R959" i="1"/>
  <c r="R960" i="1"/>
  <c r="S960" i="1" s="1"/>
  <c r="R961" i="1"/>
  <c r="R962" i="1"/>
  <c r="R963" i="1"/>
  <c r="R964" i="1"/>
  <c r="R965" i="1"/>
  <c r="R966" i="1"/>
  <c r="S966" i="1" s="1"/>
  <c r="R967" i="1"/>
  <c r="R968" i="1"/>
  <c r="R969" i="1"/>
  <c r="R970" i="1"/>
  <c r="R971" i="1"/>
  <c r="S971" i="1" s="1"/>
  <c r="R972" i="1"/>
  <c r="R973" i="1"/>
  <c r="R974" i="1"/>
  <c r="R975" i="1"/>
  <c r="R976" i="1"/>
  <c r="R977" i="1"/>
  <c r="R978" i="1"/>
  <c r="R979" i="1"/>
  <c r="R980" i="1"/>
  <c r="S980" i="1" s="1"/>
  <c r="R981" i="1"/>
  <c r="S981" i="1" s="1"/>
  <c r="R982" i="1"/>
  <c r="R983" i="1"/>
  <c r="S983" i="1" s="1"/>
  <c r="R984" i="1"/>
  <c r="R985" i="1"/>
  <c r="S985" i="1" s="1"/>
  <c r="R986" i="1"/>
  <c r="R987" i="1"/>
  <c r="R988" i="1"/>
  <c r="R989" i="1"/>
  <c r="R990" i="1"/>
  <c r="S990" i="1" s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S1005" i="1" s="1"/>
  <c r="R1006" i="1"/>
  <c r="R1007" i="1"/>
  <c r="R1008" i="1"/>
  <c r="R1009" i="1"/>
  <c r="S1009" i="1" s="1"/>
  <c r="R1010" i="1"/>
  <c r="R1011" i="1"/>
  <c r="R1012" i="1"/>
  <c r="R1013" i="1"/>
  <c r="S1013" i="1" s="1"/>
  <c r="R1014" i="1"/>
  <c r="S1014" i="1" s="1"/>
  <c r="R1015" i="1"/>
  <c r="R1016" i="1"/>
  <c r="R1017" i="1"/>
  <c r="R1018" i="1"/>
  <c r="S1018" i="1" s="1"/>
  <c r="R1019" i="1"/>
  <c r="S1019" i="1" s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S1050" i="1" s="1"/>
  <c r="R1051" i="1"/>
  <c r="R1052" i="1"/>
  <c r="R1053" i="1"/>
  <c r="R1054" i="1"/>
  <c r="R1055" i="1"/>
  <c r="R1056" i="1"/>
  <c r="R1057" i="1"/>
  <c r="S1057" i="1" s="1"/>
  <c r="R1058" i="1"/>
  <c r="R1059" i="1"/>
  <c r="S1059" i="1" s="1"/>
  <c r="R1060" i="1"/>
  <c r="R1061" i="1"/>
  <c r="R1062" i="1"/>
  <c r="S1062" i="1" s="1"/>
  <c r="R1063" i="1"/>
  <c r="R1064" i="1"/>
  <c r="R1065" i="1"/>
  <c r="R1066" i="1"/>
  <c r="R1067" i="1"/>
  <c r="R1068" i="1"/>
  <c r="R1069" i="1"/>
  <c r="R1070" i="1"/>
  <c r="S1070" i="1" s="1"/>
  <c r="R1071" i="1"/>
  <c r="S1071" i="1" s="1"/>
  <c r="R1072" i="1"/>
  <c r="S1072" i="1" s="1"/>
  <c r="R1073" i="1"/>
  <c r="S1073" i="1" s="1"/>
  <c r="R1074" i="1"/>
  <c r="S1074" i="1" s="1"/>
  <c r="R1075" i="1"/>
  <c r="S1075" i="1" s="1"/>
  <c r="R1076" i="1"/>
  <c r="S1076" i="1" s="1"/>
  <c r="R1077" i="1"/>
  <c r="S1077" i="1" s="1"/>
  <c r="R1078" i="1"/>
  <c r="S1078" i="1" s="1"/>
  <c r="R1079" i="1"/>
  <c r="S1079" i="1" s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S1091" i="1" s="1"/>
  <c r="R1092" i="1"/>
  <c r="S1092" i="1" s="1"/>
  <c r="R1093" i="1"/>
  <c r="S1093" i="1" s="1"/>
  <c r="R1094" i="1"/>
  <c r="R1095" i="1"/>
  <c r="R1096" i="1"/>
  <c r="S1096" i="1" s="1"/>
  <c r="R1097" i="1"/>
  <c r="S1097" i="1" s="1"/>
  <c r="R1098" i="1"/>
  <c r="S1098" i="1" s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S1110" i="1" s="1"/>
  <c r="R1111" i="1"/>
  <c r="S1111" i="1" s="1"/>
  <c r="R1112" i="1"/>
  <c r="R1113" i="1"/>
  <c r="R1114" i="1"/>
  <c r="R1115" i="1"/>
  <c r="R1116" i="1"/>
  <c r="S1116" i="1" s="1"/>
  <c r="R1117" i="1"/>
  <c r="R1118" i="1"/>
  <c r="R1119" i="1"/>
  <c r="R1120" i="1"/>
  <c r="R1121" i="1"/>
  <c r="R1122" i="1"/>
  <c r="R1123" i="1"/>
  <c r="S1123" i="1" s="1"/>
  <c r="R1124" i="1"/>
  <c r="R1125" i="1"/>
  <c r="R1126" i="1"/>
  <c r="R1127" i="1"/>
  <c r="S1127" i="1" s="1"/>
  <c r="R1128" i="1"/>
  <c r="S1128" i="1" s="1"/>
  <c r="R1129" i="1"/>
  <c r="S1129" i="1" s="1"/>
  <c r="R1130" i="1"/>
  <c r="R1131" i="1"/>
  <c r="S1131" i="1" s="1"/>
  <c r="R1132" i="1"/>
  <c r="R1133" i="1"/>
  <c r="R1134" i="1"/>
  <c r="R1135" i="1"/>
  <c r="R1136" i="1"/>
  <c r="R1137" i="1"/>
  <c r="R1138" i="1"/>
  <c r="R1139" i="1"/>
  <c r="S1139" i="1" s="1"/>
  <c r="R1140" i="1"/>
  <c r="V1140" i="1" s="1"/>
  <c r="W1140" i="1" s="1"/>
  <c r="R1141" i="1"/>
  <c r="R1142" i="1"/>
  <c r="R1143" i="1"/>
  <c r="R1144" i="1"/>
  <c r="R1145" i="1"/>
  <c r="S1145" i="1" s="1"/>
  <c r="R1146" i="1"/>
  <c r="R1147" i="1"/>
  <c r="S1147" i="1" s="1"/>
  <c r="R1148" i="1"/>
  <c r="S1148" i="1" s="1"/>
  <c r="R1149" i="1"/>
  <c r="R1150" i="1"/>
  <c r="S1150" i="1" s="1"/>
  <c r="R1151" i="1"/>
  <c r="S1151" i="1" s="1"/>
  <c r="R1152" i="1"/>
  <c r="S1152" i="1" s="1"/>
  <c r="R1153" i="1"/>
  <c r="R1154" i="1"/>
  <c r="R1155" i="1"/>
  <c r="R1156" i="1"/>
  <c r="V1156" i="1" s="1"/>
  <c r="W1156" i="1" s="1"/>
  <c r="R1157" i="1"/>
  <c r="R1158" i="1"/>
  <c r="R1159" i="1"/>
  <c r="R1160" i="1"/>
  <c r="R1161" i="1"/>
  <c r="R1162" i="1"/>
  <c r="R1163" i="1"/>
  <c r="R1164" i="1"/>
  <c r="R1165" i="1"/>
  <c r="R1166" i="1"/>
  <c r="R1167" i="1"/>
  <c r="S1167" i="1" s="1"/>
  <c r="R1168" i="1"/>
  <c r="S1168" i="1" s="1"/>
  <c r="R1169" i="1"/>
  <c r="S1169" i="1" s="1"/>
  <c r="R1170" i="1"/>
  <c r="S1170" i="1" s="1"/>
  <c r="R1171" i="1"/>
  <c r="R1172" i="1"/>
  <c r="R1173" i="1"/>
  <c r="R1174" i="1"/>
  <c r="R1175" i="1"/>
  <c r="S1175" i="1" s="1"/>
  <c r="R1176" i="1"/>
  <c r="V1176" i="1" s="1"/>
  <c r="W1176" i="1" s="1"/>
  <c r="R1177" i="1"/>
  <c r="V1177" i="1" s="1"/>
  <c r="W1177" i="1" s="1"/>
  <c r="R1178" i="1"/>
  <c r="S1178" i="1" s="1"/>
  <c r="R1179" i="1"/>
  <c r="R1180" i="1"/>
  <c r="S1180" i="1" s="1"/>
  <c r="R1181" i="1"/>
  <c r="S1181" i="1" s="1"/>
  <c r="R1182" i="1"/>
  <c r="R1183" i="1"/>
  <c r="R1184" i="1"/>
  <c r="R1185" i="1"/>
  <c r="R1186" i="1"/>
  <c r="R1187" i="1"/>
  <c r="R1188" i="1"/>
  <c r="S1188" i="1" s="1"/>
  <c r="R1189" i="1"/>
  <c r="R1190" i="1"/>
  <c r="R1191" i="1"/>
  <c r="R1192" i="1"/>
  <c r="R1193" i="1"/>
  <c r="S1193" i="1" s="1"/>
  <c r="R1194" i="1"/>
  <c r="S1194" i="1" s="1"/>
  <c r="R1195" i="1"/>
  <c r="R1196" i="1"/>
  <c r="R1197" i="1"/>
  <c r="R1198" i="1"/>
  <c r="R1199" i="1"/>
  <c r="R1200" i="1"/>
  <c r="S1200" i="1" s="1"/>
  <c r="R1201" i="1"/>
  <c r="S1201" i="1" s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3" i="1"/>
  <c r="J4" i="1"/>
  <c r="J5" i="1"/>
  <c r="J6" i="1"/>
  <c r="J7" i="1"/>
  <c r="J2" i="1"/>
  <c r="Y25" i="1"/>
  <c r="Y26" i="1"/>
  <c r="AB26" i="1" s="1"/>
  <c r="Y27" i="1"/>
  <c r="AB27" i="1" s="1"/>
  <c r="Y28" i="1"/>
  <c r="AB28" i="1" s="1"/>
  <c r="Y29" i="1"/>
  <c r="AB29" i="1" s="1"/>
  <c r="Y30" i="1"/>
  <c r="AB30" i="1" s="1"/>
  <c r="Y31" i="1"/>
  <c r="AB31" i="1" s="1"/>
  <c r="Y32" i="1"/>
  <c r="AB32" i="1" s="1"/>
  <c r="Y33" i="1"/>
  <c r="AB33" i="1" s="1"/>
  <c r="Y34" i="1"/>
  <c r="Y35" i="1"/>
  <c r="Y36" i="1"/>
  <c r="Y37" i="1"/>
  <c r="Y38" i="1"/>
  <c r="Y39" i="1"/>
  <c r="Y40" i="1"/>
  <c r="Y41" i="1"/>
  <c r="Y42" i="1"/>
  <c r="Y43" i="1"/>
  <c r="Y44" i="1"/>
  <c r="AB44" i="1" s="1"/>
  <c r="Y45" i="1"/>
  <c r="AB45" i="1" s="1"/>
  <c r="Y46" i="1"/>
  <c r="AB46" i="1" s="1"/>
  <c r="Y47" i="1"/>
  <c r="AB47" i="1" s="1"/>
  <c r="Y48" i="1"/>
  <c r="AB48" i="1" s="1"/>
  <c r="Y49" i="1"/>
  <c r="AB49" i="1" s="1"/>
  <c r="Y50" i="1"/>
  <c r="AB50" i="1" s="1"/>
  <c r="Y51" i="1"/>
  <c r="AB51" i="1" s="1"/>
  <c r="Y52" i="1"/>
  <c r="Y53" i="1"/>
  <c r="Y54" i="1"/>
  <c r="Y55" i="1"/>
  <c r="Y56" i="1"/>
  <c r="Y57" i="1"/>
  <c r="Y58" i="1"/>
  <c r="Y59" i="1"/>
  <c r="Y60" i="1"/>
  <c r="Y61" i="1"/>
  <c r="Y62" i="1"/>
  <c r="AB62" i="1" s="1"/>
  <c r="Y63" i="1"/>
  <c r="AB63" i="1" s="1"/>
  <c r="Y64" i="1"/>
  <c r="AB64" i="1" s="1"/>
  <c r="Y65" i="1"/>
  <c r="AB65" i="1" s="1"/>
  <c r="Y66" i="1"/>
  <c r="AB66" i="1" s="1"/>
  <c r="Y67" i="1"/>
  <c r="AB67" i="1" s="1"/>
  <c r="Y68" i="1"/>
  <c r="AB68" i="1" s="1"/>
  <c r="Y69" i="1"/>
  <c r="AB69" i="1" s="1"/>
  <c r="Y70" i="1"/>
  <c r="Y71" i="1"/>
  <c r="Y72" i="1"/>
  <c r="Y73" i="1"/>
  <c r="Y74" i="1"/>
  <c r="Y75" i="1"/>
  <c r="Y76" i="1"/>
  <c r="Y77" i="1"/>
  <c r="Y78" i="1"/>
  <c r="Y79" i="1"/>
  <c r="Y80" i="1"/>
  <c r="AB80" i="1" s="1"/>
  <c r="Y81" i="1"/>
  <c r="AB81" i="1" s="1"/>
  <c r="Y82" i="1"/>
  <c r="AB82" i="1" s="1"/>
  <c r="Y83" i="1"/>
  <c r="AB83" i="1" s="1"/>
  <c r="Y84" i="1"/>
  <c r="AB84" i="1" s="1"/>
  <c r="Y85" i="1"/>
  <c r="AB85" i="1" s="1"/>
  <c r="Y86" i="1"/>
  <c r="AB86" i="1" s="1"/>
  <c r="Y87" i="1"/>
  <c r="AB87" i="1" s="1"/>
  <c r="Y88" i="1"/>
  <c r="Y89" i="1"/>
  <c r="Y90" i="1"/>
  <c r="Y91" i="1"/>
  <c r="AB91" i="1" s="1"/>
  <c r="Y92" i="1"/>
  <c r="AB92" i="1" s="1"/>
  <c r="Y93" i="1"/>
  <c r="Y94" i="1"/>
  <c r="Y95" i="1"/>
  <c r="Y96" i="1"/>
  <c r="Y97" i="1"/>
  <c r="Y98" i="1"/>
  <c r="AB98" i="1" s="1"/>
  <c r="Y99" i="1"/>
  <c r="AB99" i="1" s="1"/>
  <c r="Y100" i="1"/>
  <c r="AB100" i="1" s="1"/>
  <c r="Y101" i="1"/>
  <c r="AB101" i="1" s="1"/>
  <c r="Y102" i="1"/>
  <c r="AB102" i="1" s="1"/>
  <c r="Y103" i="1"/>
  <c r="AB103" i="1" s="1"/>
  <c r="Y104" i="1"/>
  <c r="AB104" i="1" s="1"/>
  <c r="Y105" i="1"/>
  <c r="AB105" i="1" s="1"/>
  <c r="Y106" i="1"/>
  <c r="AB106" i="1" s="1"/>
  <c r="Y107" i="1"/>
  <c r="Y108" i="1"/>
  <c r="Y109" i="1"/>
  <c r="Y110" i="1"/>
  <c r="Y111" i="1"/>
  <c r="Y112" i="1"/>
  <c r="Y113" i="1"/>
  <c r="Y114" i="1"/>
  <c r="AB114" i="1" s="1"/>
  <c r="Y115" i="1"/>
  <c r="Y116" i="1"/>
  <c r="AB116" i="1" s="1"/>
  <c r="Y117" i="1"/>
  <c r="AB117" i="1" s="1"/>
  <c r="Y118" i="1"/>
  <c r="AB118" i="1" s="1"/>
  <c r="Y119" i="1"/>
  <c r="AB119" i="1" s="1"/>
  <c r="Y120" i="1"/>
  <c r="AB120" i="1" s="1"/>
  <c r="Y121" i="1"/>
  <c r="AB121" i="1" s="1"/>
  <c r="Y122" i="1"/>
  <c r="AB122" i="1" s="1"/>
  <c r="Y123" i="1"/>
  <c r="AB123" i="1" s="1"/>
  <c r="Y124" i="1"/>
  <c r="Y125" i="1"/>
  <c r="Y126" i="1"/>
  <c r="Y127" i="1"/>
  <c r="Y128" i="1"/>
  <c r="Y129" i="1"/>
  <c r="Y130" i="1"/>
  <c r="Y131" i="1"/>
  <c r="Y132" i="1"/>
  <c r="Y133" i="1"/>
  <c r="Y134" i="1"/>
  <c r="AB134" i="1" s="1"/>
  <c r="Y135" i="1"/>
  <c r="AB135" i="1" s="1"/>
  <c r="Y136" i="1"/>
  <c r="AB136" i="1" s="1"/>
  <c r="Y137" i="1"/>
  <c r="AB137" i="1" s="1"/>
  <c r="Y138" i="1"/>
  <c r="AB138" i="1" s="1"/>
  <c r="Y139" i="1"/>
  <c r="AB139" i="1" s="1"/>
  <c r="Y140" i="1"/>
  <c r="AB140" i="1" s="1"/>
  <c r="Y141" i="1"/>
  <c r="AB141" i="1" s="1"/>
  <c r="Y142" i="1"/>
  <c r="AB142" i="1" s="1"/>
  <c r="Y143" i="1"/>
  <c r="AB143" i="1" s="1"/>
  <c r="Y144" i="1"/>
  <c r="AB144" i="1" s="1"/>
  <c r="Y145" i="1"/>
  <c r="Y146" i="1"/>
  <c r="AB146" i="1" s="1"/>
  <c r="Y147" i="1"/>
  <c r="Y148" i="1"/>
  <c r="Y149" i="1"/>
  <c r="Y150" i="1"/>
  <c r="Y151" i="1"/>
  <c r="Y152" i="1"/>
  <c r="AB152" i="1" s="1"/>
  <c r="Y153" i="1"/>
  <c r="AB153" i="1" s="1"/>
  <c r="Y154" i="1"/>
  <c r="AB154" i="1" s="1"/>
  <c r="Y155" i="1"/>
  <c r="AB155" i="1" s="1"/>
  <c r="Y156" i="1"/>
  <c r="AB156" i="1" s="1"/>
  <c r="Y157" i="1"/>
  <c r="AB157" i="1" s="1"/>
  <c r="Y158" i="1"/>
  <c r="AB158" i="1" s="1"/>
  <c r="Y159" i="1"/>
  <c r="AB159" i="1" s="1"/>
  <c r="Y160" i="1"/>
  <c r="Y161" i="1"/>
  <c r="Y162" i="1"/>
  <c r="Y163" i="1"/>
  <c r="Y164" i="1"/>
  <c r="Y165" i="1"/>
  <c r="Y166" i="1"/>
  <c r="Y167" i="1"/>
  <c r="Y168" i="1"/>
  <c r="Y169" i="1"/>
  <c r="Y170" i="1"/>
  <c r="AB170" i="1" s="1"/>
  <c r="Y171" i="1"/>
  <c r="AB171" i="1" s="1"/>
  <c r="Y172" i="1"/>
  <c r="AB172" i="1" s="1"/>
  <c r="Y173" i="1"/>
  <c r="AB173" i="1" s="1"/>
  <c r="Y174" i="1"/>
  <c r="AB174" i="1" s="1"/>
  <c r="Y175" i="1"/>
  <c r="AB175" i="1" s="1"/>
  <c r="Y176" i="1"/>
  <c r="AB176" i="1" s="1"/>
  <c r="Y177" i="1"/>
  <c r="AB177" i="1" s="1"/>
  <c r="Y178" i="1"/>
  <c r="Y179" i="1"/>
  <c r="Y180" i="1"/>
  <c r="Y181" i="1"/>
  <c r="Y182" i="1"/>
  <c r="Y183" i="1"/>
  <c r="Y184" i="1"/>
  <c r="Y185" i="1"/>
  <c r="Y186" i="1"/>
  <c r="Y187" i="1"/>
  <c r="Y188" i="1"/>
  <c r="AB188" i="1" s="1"/>
  <c r="Y189" i="1"/>
  <c r="AB189" i="1" s="1"/>
  <c r="Y190" i="1"/>
  <c r="AB190" i="1" s="1"/>
  <c r="Y191" i="1"/>
  <c r="AB191" i="1" s="1"/>
  <c r="Y192" i="1"/>
  <c r="AB192" i="1" s="1"/>
  <c r="Y193" i="1"/>
  <c r="AB193" i="1" s="1"/>
  <c r="Y194" i="1"/>
  <c r="AB194" i="1" s="1"/>
  <c r="Y195" i="1"/>
  <c r="AB195" i="1" s="1"/>
  <c r="Y196" i="1"/>
  <c r="AB196" i="1" s="1"/>
  <c r="Y197" i="1"/>
  <c r="AB197" i="1" s="1"/>
  <c r="Y198" i="1"/>
  <c r="AB198" i="1" s="1"/>
  <c r="Y199" i="1"/>
  <c r="AB199" i="1" s="1"/>
  <c r="Y200" i="1"/>
  <c r="Y201" i="1"/>
  <c r="Y202" i="1"/>
  <c r="Y203" i="1"/>
  <c r="Y204" i="1"/>
  <c r="Y205" i="1"/>
  <c r="Y206" i="1"/>
  <c r="AB206" i="1" s="1"/>
  <c r="Y207" i="1"/>
  <c r="AB207" i="1" s="1"/>
  <c r="Y208" i="1"/>
  <c r="AB208" i="1" s="1"/>
  <c r="Y209" i="1"/>
  <c r="AB209" i="1" s="1"/>
  <c r="Y210" i="1"/>
  <c r="AB210" i="1" s="1"/>
  <c r="Y211" i="1"/>
  <c r="AB211" i="1" s="1"/>
  <c r="Y212" i="1"/>
  <c r="AB212" i="1" s="1"/>
  <c r="Y213" i="1"/>
  <c r="AB213" i="1" s="1"/>
  <c r="Y214" i="1"/>
  <c r="Y215" i="1"/>
  <c r="AB215" i="1" s="1"/>
  <c r="Y216" i="1"/>
  <c r="Y217" i="1"/>
  <c r="AB217" i="1" s="1"/>
  <c r="Y218" i="1"/>
  <c r="Y219" i="1"/>
  <c r="Y220" i="1"/>
  <c r="Y221" i="1"/>
  <c r="Y222" i="1"/>
  <c r="Y223" i="1"/>
  <c r="Y224" i="1"/>
  <c r="AB224" i="1" s="1"/>
  <c r="Y225" i="1"/>
  <c r="AB225" i="1" s="1"/>
  <c r="Y226" i="1"/>
  <c r="AB226" i="1" s="1"/>
  <c r="Y227" i="1"/>
  <c r="AB227" i="1" s="1"/>
  <c r="Y228" i="1"/>
  <c r="AB228" i="1" s="1"/>
  <c r="Y229" i="1"/>
  <c r="AB229" i="1" s="1"/>
  <c r="Y230" i="1"/>
  <c r="AB230" i="1" s="1"/>
  <c r="Y231" i="1"/>
  <c r="AB231" i="1" s="1"/>
  <c r="Y232" i="1"/>
  <c r="Y233" i="1"/>
  <c r="Y234" i="1"/>
  <c r="Y235" i="1"/>
  <c r="Y236" i="1"/>
  <c r="Y237" i="1"/>
  <c r="Y238" i="1"/>
  <c r="Y239" i="1"/>
  <c r="Y240" i="1"/>
  <c r="Y241" i="1"/>
  <c r="Y242" i="1"/>
  <c r="AB242" i="1" s="1"/>
  <c r="Y243" i="1"/>
  <c r="AB243" i="1" s="1"/>
  <c r="Y244" i="1"/>
  <c r="AB244" i="1" s="1"/>
  <c r="Y245" i="1"/>
  <c r="AB245" i="1" s="1"/>
  <c r="Y246" i="1"/>
  <c r="AB246" i="1" s="1"/>
  <c r="Y247" i="1"/>
  <c r="AB247" i="1" s="1"/>
  <c r="Y248" i="1"/>
  <c r="AB248" i="1" s="1"/>
  <c r="Y249" i="1"/>
  <c r="AB249" i="1" s="1"/>
  <c r="Y250" i="1"/>
  <c r="Y251" i="1"/>
  <c r="Y252" i="1"/>
  <c r="Y253" i="1"/>
  <c r="Y254" i="1"/>
  <c r="Y255" i="1"/>
  <c r="Y256" i="1"/>
  <c r="Y257" i="1"/>
  <c r="Y258" i="1"/>
  <c r="Y259" i="1"/>
  <c r="Y260" i="1"/>
  <c r="AB260" i="1" s="1"/>
  <c r="Y261" i="1"/>
  <c r="AB261" i="1" s="1"/>
  <c r="Y262" i="1"/>
  <c r="AB262" i="1" s="1"/>
  <c r="Y263" i="1"/>
  <c r="AB263" i="1" s="1"/>
  <c r="Y264" i="1"/>
  <c r="AB264" i="1" s="1"/>
  <c r="Y265" i="1"/>
  <c r="AB265" i="1" s="1"/>
  <c r="Y266" i="1"/>
  <c r="AB266" i="1" s="1"/>
  <c r="Y267" i="1"/>
  <c r="AB267" i="1" s="1"/>
  <c r="Y268" i="1"/>
  <c r="Y269" i="1"/>
  <c r="AB269" i="1" s="1"/>
  <c r="Y270" i="1"/>
  <c r="AB270" i="1" s="1"/>
  <c r="Y271" i="1"/>
  <c r="AB271" i="1" s="1"/>
  <c r="Y272" i="1"/>
  <c r="Y273" i="1"/>
  <c r="Y274" i="1"/>
  <c r="Y275" i="1"/>
  <c r="Y276" i="1"/>
  <c r="Y277" i="1"/>
  <c r="Y278" i="1"/>
  <c r="AB278" i="1" s="1"/>
  <c r="Y279" i="1"/>
  <c r="AB279" i="1" s="1"/>
  <c r="Y280" i="1"/>
  <c r="AB280" i="1" s="1"/>
  <c r="Y281" i="1"/>
  <c r="AB281" i="1" s="1"/>
  <c r="Y282" i="1"/>
  <c r="AB282" i="1" s="1"/>
  <c r="Y283" i="1"/>
  <c r="AB283" i="1" s="1"/>
  <c r="Y284" i="1"/>
  <c r="AB284" i="1" s="1"/>
  <c r="Y285" i="1"/>
  <c r="AB285" i="1" s="1"/>
  <c r="Y286" i="1"/>
  <c r="Y287" i="1"/>
  <c r="Y288" i="1"/>
  <c r="Y289" i="1"/>
  <c r="Y290" i="1"/>
  <c r="Y291" i="1"/>
  <c r="Y292" i="1"/>
  <c r="Y293" i="1"/>
  <c r="Y294" i="1"/>
  <c r="AB294" i="1" s="1"/>
  <c r="Y295" i="1"/>
  <c r="Y296" i="1"/>
  <c r="AB296" i="1" s="1"/>
  <c r="Y297" i="1"/>
  <c r="AB297" i="1" s="1"/>
  <c r="Y298" i="1"/>
  <c r="AB298" i="1" s="1"/>
  <c r="Y299" i="1"/>
  <c r="AB299" i="1" s="1"/>
  <c r="Y300" i="1"/>
  <c r="AB300" i="1" s="1"/>
  <c r="Y301" i="1"/>
  <c r="AB301" i="1" s="1"/>
  <c r="Y302" i="1"/>
  <c r="AB302" i="1" s="1"/>
  <c r="Y303" i="1"/>
  <c r="AB303" i="1" s="1"/>
  <c r="Y304" i="1"/>
  <c r="Y305" i="1"/>
  <c r="Y306" i="1"/>
  <c r="Y307" i="1"/>
  <c r="Y308" i="1"/>
  <c r="Y309" i="1"/>
  <c r="Y310" i="1"/>
  <c r="Y311" i="1"/>
  <c r="Y312" i="1"/>
  <c r="Y313" i="1"/>
  <c r="AB313" i="1" s="1"/>
  <c r="Y314" i="1"/>
  <c r="AB314" i="1" s="1"/>
  <c r="Y315" i="1"/>
  <c r="AB315" i="1" s="1"/>
  <c r="Y316" i="1"/>
  <c r="AB316" i="1" s="1"/>
  <c r="Y317" i="1"/>
  <c r="AB317" i="1" s="1"/>
  <c r="Y318" i="1"/>
  <c r="AB318" i="1" s="1"/>
  <c r="Y319" i="1"/>
  <c r="AB319" i="1" s="1"/>
  <c r="Y320" i="1"/>
  <c r="AB320" i="1" s="1"/>
  <c r="Y321" i="1"/>
  <c r="AB321" i="1" s="1"/>
  <c r="Y322" i="1"/>
  <c r="Y323" i="1"/>
  <c r="Y324" i="1"/>
  <c r="Y325" i="1"/>
  <c r="Y326" i="1"/>
  <c r="Y327" i="1"/>
  <c r="Y328" i="1"/>
  <c r="Y329" i="1"/>
  <c r="Y330" i="1"/>
  <c r="Y331" i="1"/>
  <c r="Y332" i="1"/>
  <c r="AB332" i="1" s="1"/>
  <c r="Y333" i="1"/>
  <c r="AB333" i="1" s="1"/>
  <c r="Y334" i="1"/>
  <c r="AB334" i="1" s="1"/>
  <c r="Y335" i="1"/>
  <c r="AB335" i="1" s="1"/>
  <c r="Y336" i="1"/>
  <c r="AB336" i="1" s="1"/>
  <c r="Y337" i="1"/>
  <c r="AB337" i="1" s="1"/>
  <c r="Y338" i="1"/>
  <c r="AB338" i="1" s="1"/>
  <c r="Y339" i="1"/>
  <c r="AB339" i="1" s="1"/>
  <c r="Y340" i="1"/>
  <c r="Y341" i="1"/>
  <c r="Y342" i="1"/>
  <c r="Y343" i="1"/>
  <c r="Y344" i="1"/>
  <c r="Y345" i="1"/>
  <c r="Y346" i="1"/>
  <c r="Y347" i="1"/>
  <c r="Y348" i="1"/>
  <c r="Y349" i="1"/>
  <c r="Y350" i="1"/>
  <c r="AB350" i="1" s="1"/>
  <c r="Y351" i="1"/>
  <c r="AB351" i="1" s="1"/>
  <c r="Y352" i="1"/>
  <c r="AB352" i="1" s="1"/>
  <c r="Y353" i="1"/>
  <c r="AB353" i="1" s="1"/>
  <c r="Y354" i="1"/>
  <c r="AB354" i="1" s="1"/>
  <c r="Y355" i="1"/>
  <c r="AB355" i="1" s="1"/>
  <c r="Y356" i="1"/>
  <c r="AB356" i="1" s="1"/>
  <c r="Y357" i="1"/>
  <c r="AB357" i="1" s="1"/>
  <c r="Y358" i="1"/>
  <c r="Y359" i="1"/>
  <c r="Y360" i="1"/>
  <c r="Y361" i="1"/>
  <c r="Y362" i="1"/>
  <c r="Y363" i="1"/>
  <c r="Y364" i="1"/>
  <c r="Y365" i="1"/>
  <c r="Y366" i="1"/>
  <c r="Y367" i="1"/>
  <c r="Y368" i="1"/>
  <c r="AB368" i="1" s="1"/>
  <c r="Y369" i="1"/>
  <c r="AB369" i="1" s="1"/>
  <c r="Y370" i="1"/>
  <c r="AB370" i="1" s="1"/>
  <c r="Y371" i="1"/>
  <c r="AB371" i="1" s="1"/>
  <c r="Y372" i="1"/>
  <c r="AB372" i="1" s="1"/>
  <c r="Y373" i="1"/>
  <c r="AB373" i="1" s="1"/>
  <c r="Y374" i="1"/>
  <c r="AB374" i="1" s="1"/>
  <c r="Y375" i="1"/>
  <c r="AB375" i="1" s="1"/>
  <c r="Y376" i="1"/>
  <c r="Y377" i="1"/>
  <c r="Y378" i="1"/>
  <c r="Y379" i="1"/>
  <c r="Y380" i="1"/>
  <c r="Y381" i="1"/>
  <c r="Y382" i="1"/>
  <c r="Y383" i="1"/>
  <c r="Y384" i="1"/>
  <c r="Y385" i="1"/>
  <c r="Y386" i="1"/>
  <c r="AB386" i="1" s="1"/>
  <c r="Y387" i="1"/>
  <c r="AB387" i="1" s="1"/>
  <c r="Y388" i="1"/>
  <c r="AB388" i="1" s="1"/>
  <c r="Y389" i="1"/>
  <c r="AB389" i="1" s="1"/>
  <c r="Y390" i="1"/>
  <c r="AB390" i="1" s="1"/>
  <c r="Y391" i="1"/>
  <c r="AB391" i="1" s="1"/>
  <c r="Y392" i="1"/>
  <c r="AB392" i="1" s="1"/>
  <c r="Y393" i="1"/>
  <c r="AB393" i="1" s="1"/>
  <c r="Y394" i="1"/>
  <c r="AB394" i="1" s="1"/>
  <c r="Y395" i="1"/>
  <c r="Y396" i="1"/>
  <c r="Y397" i="1"/>
  <c r="Y398" i="1"/>
  <c r="Y399" i="1"/>
  <c r="Y400" i="1"/>
  <c r="Y401" i="1"/>
  <c r="Y402" i="1"/>
  <c r="Y403" i="1"/>
  <c r="Y404" i="1"/>
  <c r="AB404" i="1" s="1"/>
  <c r="Y405" i="1"/>
  <c r="AB405" i="1" s="1"/>
  <c r="Y406" i="1"/>
  <c r="AB406" i="1" s="1"/>
  <c r="Y407" i="1"/>
  <c r="AB407" i="1" s="1"/>
  <c r="Y408" i="1"/>
  <c r="AB408" i="1" s="1"/>
  <c r="Y409" i="1"/>
  <c r="AB409" i="1" s="1"/>
  <c r="Y410" i="1"/>
  <c r="AB410" i="1" s="1"/>
  <c r="Y411" i="1"/>
  <c r="AB411" i="1" s="1"/>
  <c r="Y412" i="1"/>
  <c r="Y413" i="1"/>
  <c r="Y414" i="1"/>
  <c r="Y415" i="1"/>
  <c r="Y416" i="1"/>
  <c r="Y417" i="1"/>
  <c r="Y418" i="1"/>
  <c r="Y419" i="1"/>
  <c r="Y420" i="1"/>
  <c r="Y421" i="1"/>
  <c r="Y422" i="1"/>
  <c r="AB422" i="1" s="1"/>
  <c r="Y423" i="1"/>
  <c r="AB423" i="1" s="1"/>
  <c r="Y424" i="1"/>
  <c r="AB424" i="1" s="1"/>
  <c r="Y425" i="1"/>
  <c r="AB425" i="1" s="1"/>
  <c r="Y426" i="1"/>
  <c r="AB426" i="1" s="1"/>
  <c r="Y427" i="1"/>
  <c r="AB427" i="1" s="1"/>
  <c r="Y428" i="1"/>
  <c r="AB428" i="1" s="1"/>
  <c r="Y429" i="1"/>
  <c r="AB429" i="1" s="1"/>
  <c r="Y430" i="1"/>
  <c r="Y431" i="1"/>
  <c r="Y432" i="1"/>
  <c r="Y433" i="1"/>
  <c r="Y434" i="1"/>
  <c r="Y435" i="1"/>
  <c r="Y436" i="1"/>
  <c r="Y437" i="1"/>
  <c r="Y438" i="1"/>
  <c r="Y439" i="1"/>
  <c r="Y440" i="1"/>
  <c r="AB440" i="1" s="1"/>
  <c r="Y441" i="1"/>
  <c r="AB441" i="1" s="1"/>
  <c r="Y442" i="1"/>
  <c r="AB442" i="1" s="1"/>
  <c r="Y443" i="1"/>
  <c r="AB443" i="1" s="1"/>
  <c r="Y444" i="1"/>
  <c r="AB444" i="1" s="1"/>
  <c r="Y445" i="1"/>
  <c r="AB445" i="1" s="1"/>
  <c r="Y446" i="1"/>
  <c r="AB446" i="1" s="1"/>
  <c r="Y447" i="1"/>
  <c r="AB447" i="1" s="1"/>
  <c r="Y448" i="1"/>
  <c r="Y449" i="1"/>
  <c r="Y450" i="1"/>
  <c r="Y451" i="1"/>
  <c r="Y452" i="1"/>
  <c r="Y453" i="1"/>
  <c r="Y454" i="1"/>
  <c r="Y455" i="1"/>
  <c r="Y456" i="1"/>
  <c r="Y457" i="1"/>
  <c r="AB457" i="1" s="1"/>
  <c r="Y458" i="1"/>
  <c r="AB458" i="1" s="1"/>
  <c r="Y459" i="1"/>
  <c r="AB459" i="1" s="1"/>
  <c r="Y460" i="1"/>
  <c r="AB460" i="1" s="1"/>
  <c r="Y461" i="1"/>
  <c r="AB461" i="1" s="1"/>
  <c r="Y462" i="1"/>
  <c r="AB462" i="1" s="1"/>
  <c r="Y463" i="1"/>
  <c r="AB463" i="1" s="1"/>
  <c r="Y464" i="1"/>
  <c r="AB464" i="1" s="1"/>
  <c r="Y465" i="1"/>
  <c r="AB465" i="1" s="1"/>
  <c r="Y466" i="1"/>
  <c r="Y467" i="1"/>
  <c r="Y468" i="1"/>
  <c r="Y469" i="1"/>
  <c r="Y470" i="1"/>
  <c r="Y471" i="1"/>
  <c r="Y472" i="1"/>
  <c r="Y473" i="1"/>
  <c r="Y474" i="1"/>
  <c r="AB474" i="1" s="1"/>
  <c r="Y475" i="1"/>
  <c r="Y476" i="1"/>
  <c r="AB476" i="1" s="1"/>
  <c r="Y477" i="1"/>
  <c r="AB477" i="1" s="1"/>
  <c r="Y478" i="1"/>
  <c r="AB478" i="1" s="1"/>
  <c r="Y479" i="1"/>
  <c r="AB479" i="1" s="1"/>
  <c r="Y480" i="1"/>
  <c r="AB480" i="1" s="1"/>
  <c r="Y481" i="1"/>
  <c r="AB481" i="1" s="1"/>
  <c r="Y482" i="1"/>
  <c r="AB482" i="1" s="1"/>
  <c r="Y483" i="1"/>
  <c r="AB483" i="1" s="1"/>
  <c r="Y484" i="1"/>
  <c r="Y485" i="1"/>
  <c r="Y486" i="1"/>
  <c r="Y487" i="1"/>
  <c r="Y488" i="1"/>
  <c r="Y489" i="1"/>
  <c r="Y490" i="1"/>
  <c r="Y491" i="1"/>
  <c r="Y492" i="1"/>
  <c r="Y493" i="1"/>
  <c r="Y494" i="1"/>
  <c r="AB494" i="1" s="1"/>
  <c r="Y495" i="1"/>
  <c r="AB495" i="1" s="1"/>
  <c r="Y496" i="1"/>
  <c r="AB496" i="1" s="1"/>
  <c r="Y497" i="1"/>
  <c r="AB497" i="1" s="1"/>
  <c r="Y498" i="1"/>
  <c r="AB498" i="1" s="1"/>
  <c r="Y499" i="1"/>
  <c r="AB499" i="1" s="1"/>
  <c r="Y500" i="1"/>
  <c r="AB500" i="1" s="1"/>
  <c r="Y501" i="1"/>
  <c r="AB501" i="1" s="1"/>
  <c r="Y502" i="1"/>
  <c r="Y503" i="1"/>
  <c r="Y504" i="1"/>
  <c r="Y505" i="1"/>
  <c r="Y506" i="1"/>
  <c r="Y507" i="1"/>
  <c r="Y508" i="1"/>
  <c r="Y509" i="1"/>
  <c r="Y510" i="1"/>
  <c r="Y511" i="1"/>
  <c r="Y512" i="1"/>
  <c r="AB512" i="1" s="1"/>
  <c r="Y513" i="1"/>
  <c r="AB513" i="1" s="1"/>
  <c r="Y514" i="1"/>
  <c r="AB514" i="1" s="1"/>
  <c r="Y515" i="1"/>
  <c r="AB515" i="1" s="1"/>
  <c r="Y516" i="1"/>
  <c r="AB516" i="1" s="1"/>
  <c r="Y517" i="1"/>
  <c r="AB517" i="1" s="1"/>
  <c r="Y518" i="1"/>
  <c r="AB518" i="1" s="1"/>
  <c r="Y519" i="1"/>
  <c r="AB519" i="1" s="1"/>
  <c r="Y520" i="1"/>
  <c r="Y521" i="1"/>
  <c r="Y522" i="1"/>
  <c r="Y523" i="1"/>
  <c r="Y524" i="1"/>
  <c r="Y525" i="1"/>
  <c r="Y526" i="1"/>
  <c r="Y527" i="1"/>
  <c r="Y528" i="1"/>
  <c r="Y529" i="1"/>
  <c r="Y530" i="1"/>
  <c r="AB530" i="1" s="1"/>
  <c r="Y531" i="1"/>
  <c r="AB531" i="1" s="1"/>
  <c r="Y532" i="1"/>
  <c r="AB532" i="1" s="1"/>
  <c r="Y533" i="1"/>
  <c r="AB533" i="1" s="1"/>
  <c r="Y534" i="1"/>
  <c r="AB534" i="1" s="1"/>
  <c r="Y535" i="1"/>
  <c r="AB535" i="1" s="1"/>
  <c r="Y536" i="1"/>
  <c r="AB536" i="1" s="1"/>
  <c r="Y537" i="1"/>
  <c r="AB537" i="1" s="1"/>
  <c r="Y538" i="1"/>
  <c r="Y539" i="1"/>
  <c r="Y540" i="1"/>
  <c r="Y541" i="1"/>
  <c r="Y542" i="1"/>
  <c r="Y543" i="1"/>
  <c r="Y544" i="1"/>
  <c r="Y545" i="1"/>
  <c r="Y546" i="1"/>
  <c r="AB546" i="1" s="1"/>
  <c r="Y547" i="1"/>
  <c r="Y548" i="1"/>
  <c r="AB548" i="1" s="1"/>
  <c r="Y549" i="1"/>
  <c r="AB549" i="1" s="1"/>
  <c r="Y550" i="1"/>
  <c r="AB550" i="1" s="1"/>
  <c r="Y551" i="1"/>
  <c r="AB551" i="1" s="1"/>
  <c r="Y552" i="1"/>
  <c r="AB552" i="1" s="1"/>
  <c r="Y553" i="1"/>
  <c r="AB553" i="1" s="1"/>
  <c r="Y554" i="1"/>
  <c r="AB554" i="1" s="1"/>
  <c r="Y555" i="1"/>
  <c r="AB555" i="1" s="1"/>
  <c r="Y556" i="1"/>
  <c r="Y557" i="1"/>
  <c r="AB557" i="1" s="1"/>
  <c r="Y558" i="1"/>
  <c r="Y559" i="1"/>
  <c r="Y560" i="1"/>
  <c r="Y561" i="1"/>
  <c r="Y562" i="1"/>
  <c r="Y563" i="1"/>
  <c r="Y564" i="1"/>
  <c r="Y565" i="1"/>
  <c r="Y566" i="1"/>
  <c r="AB566" i="1" s="1"/>
  <c r="Y567" i="1"/>
  <c r="AB567" i="1" s="1"/>
  <c r="Y568" i="1"/>
  <c r="AB568" i="1" s="1"/>
  <c r="Y569" i="1"/>
  <c r="AB569" i="1" s="1"/>
  <c r="Y570" i="1"/>
  <c r="AB570" i="1" s="1"/>
  <c r="Y571" i="1"/>
  <c r="AB571" i="1" s="1"/>
  <c r="Y572" i="1"/>
  <c r="AB572" i="1" s="1"/>
  <c r="Y573" i="1"/>
  <c r="AB573" i="1" s="1"/>
  <c r="Y574" i="1"/>
  <c r="Y575" i="1"/>
  <c r="Y576" i="1"/>
  <c r="AB576" i="1" s="1"/>
  <c r="Y577" i="1"/>
  <c r="Y578" i="1"/>
  <c r="AB578" i="1" s="1"/>
  <c r="Y579" i="1"/>
  <c r="AB579" i="1" s="1"/>
  <c r="Y580" i="1"/>
  <c r="AB580" i="1" s="1"/>
  <c r="Y581" i="1"/>
  <c r="Y582" i="1"/>
  <c r="AB582" i="1" s="1"/>
  <c r="Y583" i="1"/>
  <c r="Y584" i="1"/>
  <c r="AB584" i="1" s="1"/>
  <c r="Y585" i="1"/>
  <c r="AB585" i="1" s="1"/>
  <c r="Y586" i="1"/>
  <c r="AB586" i="1" s="1"/>
  <c r="Y587" i="1"/>
  <c r="AB587" i="1" s="1"/>
  <c r="Y588" i="1"/>
  <c r="AB588" i="1" s="1"/>
  <c r="Y589" i="1"/>
  <c r="AB589" i="1" s="1"/>
  <c r="Y590" i="1"/>
  <c r="AB590" i="1" s="1"/>
  <c r="Y591" i="1"/>
  <c r="AB591" i="1" s="1"/>
  <c r="Y592" i="1"/>
  <c r="Y593" i="1"/>
  <c r="Y594" i="1"/>
  <c r="Y595" i="1"/>
  <c r="Y596" i="1"/>
  <c r="Y597" i="1"/>
  <c r="Y598" i="1"/>
  <c r="Y599" i="1"/>
  <c r="Y600" i="1"/>
  <c r="AB600" i="1" s="1"/>
  <c r="Y601" i="1"/>
  <c r="Y602" i="1"/>
  <c r="AB602" i="1" s="1"/>
  <c r="Y603" i="1"/>
  <c r="AB603" i="1" s="1"/>
  <c r="Y604" i="1"/>
  <c r="AB604" i="1" s="1"/>
  <c r="Y605" i="1"/>
  <c r="AB605" i="1" s="1"/>
  <c r="Y606" i="1"/>
  <c r="AB606" i="1" s="1"/>
  <c r="Y607" i="1"/>
  <c r="AB607" i="1" s="1"/>
  <c r="Y608" i="1"/>
  <c r="AB608" i="1" s="1"/>
  <c r="Y609" i="1"/>
  <c r="AB609" i="1" s="1"/>
  <c r="Y610" i="1"/>
  <c r="Y611" i="1"/>
  <c r="Y612" i="1"/>
  <c r="Y613" i="1"/>
  <c r="Y614" i="1"/>
  <c r="Y615" i="1"/>
  <c r="Y616" i="1"/>
  <c r="Y617" i="1"/>
  <c r="Y618" i="1"/>
  <c r="AB618" i="1" s="1"/>
  <c r="Y619" i="1"/>
  <c r="Y620" i="1"/>
  <c r="AB620" i="1" s="1"/>
  <c r="Y621" i="1"/>
  <c r="AB621" i="1" s="1"/>
  <c r="Y622" i="1"/>
  <c r="AB622" i="1" s="1"/>
  <c r="Y623" i="1"/>
  <c r="AB623" i="1" s="1"/>
  <c r="Y624" i="1"/>
  <c r="AB624" i="1" s="1"/>
  <c r="Y625" i="1"/>
  <c r="AB625" i="1" s="1"/>
  <c r="Y626" i="1"/>
  <c r="AB626" i="1" s="1"/>
  <c r="Y627" i="1"/>
  <c r="AB627" i="1" s="1"/>
  <c r="Y628" i="1"/>
  <c r="Y629" i="1"/>
  <c r="AB629" i="1" s="1"/>
  <c r="Y630" i="1"/>
  <c r="Y631" i="1"/>
  <c r="AB631" i="1" s="1"/>
  <c r="Y632" i="1"/>
  <c r="AB632" i="1" s="1"/>
  <c r="Y633" i="1"/>
  <c r="AB633" i="1" s="1"/>
  <c r="Y634" i="1"/>
  <c r="Y635" i="1"/>
  <c r="Y636" i="1"/>
  <c r="Y637" i="1"/>
  <c r="AB637" i="1" s="1"/>
  <c r="Y638" i="1"/>
  <c r="AB638" i="1" s="1"/>
  <c r="Y639" i="1"/>
  <c r="AB639" i="1" s="1"/>
  <c r="Y640" i="1"/>
  <c r="AB640" i="1" s="1"/>
  <c r="Y641" i="1"/>
  <c r="AB641" i="1" s="1"/>
  <c r="Y642" i="1"/>
  <c r="AB642" i="1" s="1"/>
  <c r="Y643" i="1"/>
  <c r="AB643" i="1" s="1"/>
  <c r="Y644" i="1"/>
  <c r="AB644" i="1" s="1"/>
  <c r="Y645" i="1"/>
  <c r="AB645" i="1" s="1"/>
  <c r="Y646" i="1"/>
  <c r="Y647" i="1"/>
  <c r="Y648" i="1"/>
  <c r="Y649" i="1"/>
  <c r="Y650" i="1"/>
  <c r="Y651" i="1"/>
  <c r="Y652" i="1"/>
  <c r="Y653" i="1"/>
  <c r="Y654" i="1"/>
  <c r="Y655" i="1"/>
  <c r="Y656" i="1"/>
  <c r="AB656" i="1" s="1"/>
  <c r="Y657" i="1"/>
  <c r="AB657" i="1" s="1"/>
  <c r="Y658" i="1"/>
  <c r="AB658" i="1" s="1"/>
  <c r="Y659" i="1"/>
  <c r="AB659" i="1" s="1"/>
  <c r="Y660" i="1"/>
  <c r="AB660" i="1" s="1"/>
  <c r="Y661" i="1"/>
  <c r="AB661" i="1" s="1"/>
  <c r="Y662" i="1"/>
  <c r="AB662" i="1" s="1"/>
  <c r="Y663" i="1"/>
  <c r="AB663" i="1" s="1"/>
  <c r="Y664" i="1"/>
  <c r="Y665" i="1"/>
  <c r="Y666" i="1"/>
  <c r="Y667" i="1"/>
  <c r="Y668" i="1"/>
  <c r="Y669" i="1"/>
  <c r="Y670" i="1"/>
  <c r="Y671" i="1"/>
  <c r="Y672" i="1"/>
  <c r="AB672" i="1" s="1"/>
  <c r="Y673" i="1"/>
  <c r="Y674" i="1"/>
  <c r="AB674" i="1" s="1"/>
  <c r="Y675" i="1"/>
  <c r="AB675" i="1" s="1"/>
  <c r="Y676" i="1"/>
  <c r="AB676" i="1" s="1"/>
  <c r="Y677" i="1"/>
  <c r="AB677" i="1" s="1"/>
  <c r="Y678" i="1"/>
  <c r="AB678" i="1" s="1"/>
  <c r="Y679" i="1"/>
  <c r="AB679" i="1" s="1"/>
  <c r="Y680" i="1"/>
  <c r="AB680" i="1" s="1"/>
  <c r="Y681" i="1"/>
  <c r="AB681" i="1" s="1"/>
  <c r="Y682" i="1"/>
  <c r="Y683" i="1"/>
  <c r="Y684" i="1"/>
  <c r="Y685" i="1"/>
  <c r="Y686" i="1"/>
  <c r="Y687" i="1"/>
  <c r="Y688" i="1"/>
  <c r="Y689" i="1"/>
  <c r="Y690" i="1"/>
  <c r="Y691" i="1"/>
  <c r="Y692" i="1"/>
  <c r="AB692" i="1" s="1"/>
  <c r="Y693" i="1"/>
  <c r="AB693" i="1" s="1"/>
  <c r="Y694" i="1"/>
  <c r="AB694" i="1" s="1"/>
  <c r="Y695" i="1"/>
  <c r="AB695" i="1" s="1"/>
  <c r="Y696" i="1"/>
  <c r="AB696" i="1" s="1"/>
  <c r="Y697" i="1"/>
  <c r="AB697" i="1" s="1"/>
  <c r="Y698" i="1"/>
  <c r="Y699" i="1"/>
  <c r="AB699" i="1" s="1"/>
  <c r="Y700" i="1"/>
  <c r="Y701" i="1"/>
  <c r="Y702" i="1"/>
  <c r="Y703" i="1"/>
  <c r="Y704" i="1"/>
  <c r="Y705" i="1"/>
  <c r="Y706" i="1"/>
  <c r="Y707" i="1"/>
  <c r="Y708" i="1"/>
  <c r="Y709" i="1"/>
  <c r="Y710" i="1"/>
  <c r="AB710" i="1" s="1"/>
  <c r="Y711" i="1"/>
  <c r="AB711" i="1" s="1"/>
  <c r="Y712" i="1"/>
  <c r="AB712" i="1" s="1"/>
  <c r="Y713" i="1"/>
  <c r="AB713" i="1" s="1"/>
  <c r="Y714" i="1"/>
  <c r="AB714" i="1" s="1"/>
  <c r="Y715" i="1"/>
  <c r="AB715" i="1" s="1"/>
  <c r="Y716" i="1"/>
  <c r="AB716" i="1" s="1"/>
  <c r="Y717" i="1"/>
  <c r="AB717" i="1" s="1"/>
  <c r="Y718" i="1"/>
  <c r="Y719" i="1"/>
  <c r="Y720" i="1"/>
  <c r="Y721" i="1"/>
  <c r="Y722" i="1"/>
  <c r="Y723" i="1"/>
  <c r="Y724" i="1"/>
  <c r="Y725" i="1"/>
  <c r="Y726" i="1"/>
  <c r="Y727" i="1"/>
  <c r="Y728" i="1"/>
  <c r="AB728" i="1" s="1"/>
  <c r="Y729" i="1"/>
  <c r="AB729" i="1" s="1"/>
  <c r="Y730" i="1"/>
  <c r="AB730" i="1" s="1"/>
  <c r="Y731" i="1"/>
  <c r="AB731" i="1" s="1"/>
  <c r="Y732" i="1"/>
  <c r="AB732" i="1" s="1"/>
  <c r="Y733" i="1"/>
  <c r="AB733" i="1" s="1"/>
  <c r="Y734" i="1"/>
  <c r="AB734" i="1" s="1"/>
  <c r="Y735" i="1"/>
  <c r="AB735" i="1" s="1"/>
  <c r="Y736" i="1"/>
  <c r="AB736" i="1" s="1"/>
  <c r="Y737" i="1"/>
  <c r="AB737" i="1" s="1"/>
  <c r="Y738" i="1"/>
  <c r="Y739" i="1"/>
  <c r="AB739" i="1" s="1"/>
  <c r="Y740" i="1"/>
  <c r="Y741" i="1"/>
  <c r="Y742" i="1"/>
  <c r="Y743" i="1"/>
  <c r="Y744" i="1"/>
  <c r="Y745" i="1"/>
  <c r="Y746" i="1"/>
  <c r="AB746" i="1" s="1"/>
  <c r="Y747" i="1"/>
  <c r="AB747" i="1" s="1"/>
  <c r="Y748" i="1"/>
  <c r="AB748" i="1" s="1"/>
  <c r="Y749" i="1"/>
  <c r="AB749" i="1" s="1"/>
  <c r="Y750" i="1"/>
  <c r="AB750" i="1" s="1"/>
  <c r="Y751" i="1"/>
  <c r="AB751" i="1" s="1"/>
  <c r="Y752" i="1"/>
  <c r="AB752" i="1" s="1"/>
  <c r="Y753" i="1"/>
  <c r="AB753" i="1" s="1"/>
  <c r="Y754" i="1"/>
  <c r="Y755" i="1"/>
  <c r="Y756" i="1"/>
  <c r="Y757" i="1"/>
  <c r="Y758" i="1"/>
  <c r="Y759" i="1"/>
  <c r="Y760" i="1"/>
  <c r="Y761" i="1"/>
  <c r="Y762" i="1"/>
  <c r="Y763" i="1"/>
  <c r="Y764" i="1"/>
  <c r="AB764" i="1" s="1"/>
  <c r="Y765" i="1"/>
  <c r="AB765" i="1" s="1"/>
  <c r="Y766" i="1"/>
  <c r="AB766" i="1" s="1"/>
  <c r="Y767" i="1"/>
  <c r="AB767" i="1" s="1"/>
  <c r="Y768" i="1"/>
  <c r="AB768" i="1" s="1"/>
  <c r="Y769" i="1"/>
  <c r="AB769" i="1" s="1"/>
  <c r="Y770" i="1"/>
  <c r="AB770" i="1" s="1"/>
  <c r="Y771" i="1"/>
  <c r="AB771" i="1" s="1"/>
  <c r="Y772" i="1"/>
  <c r="Y773" i="1"/>
  <c r="Y774" i="1"/>
  <c r="Y775" i="1"/>
  <c r="Y776" i="1"/>
  <c r="Y777" i="1"/>
  <c r="Y778" i="1"/>
  <c r="Y779" i="1"/>
  <c r="Y780" i="1"/>
  <c r="AB780" i="1" s="1"/>
  <c r="Y781" i="1"/>
  <c r="Y782" i="1"/>
  <c r="AB782" i="1" s="1"/>
  <c r="Y783" i="1"/>
  <c r="AB783" i="1" s="1"/>
  <c r="Y784" i="1"/>
  <c r="AB784" i="1" s="1"/>
  <c r="Y785" i="1"/>
  <c r="AB785" i="1" s="1"/>
  <c r="Y786" i="1"/>
  <c r="AB786" i="1" s="1"/>
  <c r="Y787" i="1"/>
  <c r="AB787" i="1" s="1"/>
  <c r="Y788" i="1"/>
  <c r="AB788" i="1" s="1"/>
  <c r="Y789" i="1"/>
  <c r="AB789" i="1" s="1"/>
  <c r="Y790" i="1"/>
  <c r="Y791" i="1"/>
  <c r="Y792" i="1"/>
  <c r="Y793" i="1"/>
  <c r="Y794" i="1"/>
  <c r="Y795" i="1"/>
  <c r="Y796" i="1"/>
  <c r="Y797" i="1"/>
  <c r="Y798" i="1"/>
  <c r="Y799" i="1"/>
  <c r="Y800" i="1"/>
  <c r="AB800" i="1" s="1"/>
  <c r="Y801" i="1"/>
  <c r="AB801" i="1" s="1"/>
  <c r="Y802" i="1"/>
  <c r="AB802" i="1" s="1"/>
  <c r="Y803" i="1"/>
  <c r="AB803" i="1" s="1"/>
  <c r="Y804" i="1"/>
  <c r="AB804" i="1" s="1"/>
  <c r="Y805" i="1"/>
  <c r="AB805" i="1" s="1"/>
  <c r="Y806" i="1"/>
  <c r="AB806" i="1" s="1"/>
  <c r="Y807" i="1"/>
  <c r="AB807" i="1" s="1"/>
  <c r="Y808" i="1"/>
  <c r="AB808" i="1" s="1"/>
  <c r="Y809" i="1"/>
  <c r="AB809" i="1" s="1"/>
  <c r="Y810" i="1"/>
  <c r="Y811" i="1"/>
  <c r="AB811" i="1" s="1"/>
  <c r="Y812" i="1"/>
  <c r="Y813" i="1"/>
  <c r="Y814" i="1"/>
  <c r="Y815" i="1"/>
  <c r="Y816" i="1"/>
  <c r="AB816" i="1" s="1"/>
  <c r="Y817" i="1"/>
  <c r="Y818" i="1"/>
  <c r="AB818" i="1" s="1"/>
  <c r="Y819" i="1"/>
  <c r="AB819" i="1" s="1"/>
  <c r="Y820" i="1"/>
  <c r="AB820" i="1" s="1"/>
  <c r="Y821" i="1"/>
  <c r="AB821" i="1" s="1"/>
  <c r="Y822" i="1"/>
  <c r="AB822" i="1" s="1"/>
  <c r="Y823" i="1"/>
  <c r="AB823" i="1" s="1"/>
  <c r="Y824" i="1"/>
  <c r="AB824" i="1" s="1"/>
  <c r="Y825" i="1"/>
  <c r="AB825" i="1" s="1"/>
  <c r="Y826" i="1"/>
  <c r="Y827" i="1"/>
  <c r="Y828" i="1"/>
  <c r="Y829" i="1"/>
  <c r="Y830" i="1"/>
  <c r="Y831" i="1"/>
  <c r="Y832" i="1"/>
  <c r="Y833" i="1"/>
  <c r="Y834" i="1"/>
  <c r="Y835" i="1"/>
  <c r="Y836" i="1"/>
  <c r="AB836" i="1" s="1"/>
  <c r="Y837" i="1"/>
  <c r="AB837" i="1" s="1"/>
  <c r="Y838" i="1"/>
  <c r="AB838" i="1" s="1"/>
  <c r="Y839" i="1"/>
  <c r="AB839" i="1" s="1"/>
  <c r="Y840" i="1"/>
  <c r="AB840" i="1" s="1"/>
  <c r="Y841" i="1"/>
  <c r="AB841" i="1" s="1"/>
  <c r="Y842" i="1"/>
  <c r="AB842" i="1" s="1"/>
  <c r="Y843" i="1"/>
  <c r="AB843" i="1" s="1"/>
  <c r="Y844" i="1"/>
  <c r="Y845" i="1"/>
  <c r="Y846" i="1"/>
  <c r="Y847" i="1"/>
  <c r="Y848" i="1"/>
  <c r="Y849" i="1"/>
  <c r="Y850" i="1"/>
  <c r="Y851" i="1"/>
  <c r="Y852" i="1"/>
  <c r="Y853" i="1"/>
  <c r="AB853" i="1" s="1"/>
  <c r="Y854" i="1"/>
  <c r="AB854" i="1" s="1"/>
  <c r="Y855" i="1"/>
  <c r="AB855" i="1" s="1"/>
  <c r="Y856" i="1"/>
  <c r="AB856" i="1" s="1"/>
  <c r="Y857" i="1"/>
  <c r="AB857" i="1" s="1"/>
  <c r="Y858" i="1"/>
  <c r="Y859" i="1"/>
  <c r="AB859" i="1" s="1"/>
  <c r="Y860" i="1"/>
  <c r="AB860" i="1" s="1"/>
  <c r="Y861" i="1"/>
  <c r="AB861" i="1" s="1"/>
  <c r="Y862" i="1"/>
  <c r="Y863" i="1"/>
  <c r="Y864" i="1"/>
  <c r="Y865" i="1"/>
  <c r="Y866" i="1"/>
  <c r="Y867" i="1"/>
  <c r="Y868" i="1"/>
  <c r="Y869" i="1"/>
  <c r="Y870" i="1"/>
  <c r="Y871" i="1"/>
  <c r="Y872" i="1"/>
  <c r="AB872" i="1" s="1"/>
  <c r="Y873" i="1"/>
  <c r="AB873" i="1" s="1"/>
  <c r="Y874" i="1"/>
  <c r="AB874" i="1" s="1"/>
  <c r="Y875" i="1"/>
  <c r="AB875" i="1" s="1"/>
  <c r="Y876" i="1"/>
  <c r="AB876" i="1" s="1"/>
  <c r="Y877" i="1"/>
  <c r="AB877" i="1" s="1"/>
  <c r="Y878" i="1"/>
  <c r="AB878" i="1" s="1"/>
  <c r="Y879" i="1"/>
  <c r="AB879" i="1" s="1"/>
  <c r="Y880" i="1"/>
  <c r="Y881" i="1"/>
  <c r="Y882" i="1"/>
  <c r="Y883" i="1"/>
  <c r="Y884" i="1"/>
  <c r="Y885" i="1"/>
  <c r="Y886" i="1"/>
  <c r="Y887" i="1"/>
  <c r="Y888" i="1"/>
  <c r="AB888" i="1" s="1"/>
  <c r="Y889" i="1"/>
  <c r="Y890" i="1"/>
  <c r="AB890" i="1" s="1"/>
  <c r="Y891" i="1"/>
  <c r="AB891" i="1" s="1"/>
  <c r="Y892" i="1"/>
  <c r="AB892" i="1" s="1"/>
  <c r="Y893" i="1"/>
  <c r="AB893" i="1" s="1"/>
  <c r="Y894" i="1"/>
  <c r="AB894" i="1" s="1"/>
  <c r="Y895" i="1"/>
  <c r="AB895" i="1" s="1"/>
  <c r="Y896" i="1"/>
  <c r="AB896" i="1" s="1"/>
  <c r="Y897" i="1"/>
  <c r="AB897" i="1" s="1"/>
  <c r="Y898" i="1"/>
  <c r="Y899" i="1"/>
  <c r="Y900" i="1"/>
  <c r="Y901" i="1"/>
  <c r="Y902" i="1"/>
  <c r="Y903" i="1"/>
  <c r="Y904" i="1"/>
  <c r="Y905" i="1"/>
  <c r="Y906" i="1"/>
  <c r="Y907" i="1"/>
  <c r="Y908" i="1"/>
  <c r="AB908" i="1" s="1"/>
  <c r="Y909" i="1"/>
  <c r="AB909" i="1" s="1"/>
  <c r="Y910" i="1"/>
  <c r="AB910" i="1" s="1"/>
  <c r="Y911" i="1"/>
  <c r="AB911" i="1" s="1"/>
  <c r="Y912" i="1"/>
  <c r="AB912" i="1" s="1"/>
  <c r="Y913" i="1"/>
  <c r="AB913" i="1" s="1"/>
  <c r="Y914" i="1"/>
  <c r="AB914" i="1" s="1"/>
  <c r="Y915" i="1"/>
  <c r="AB915" i="1" s="1"/>
  <c r="Y916" i="1"/>
  <c r="Y917" i="1"/>
  <c r="Y918" i="1"/>
  <c r="Y919" i="1"/>
  <c r="Y920" i="1"/>
  <c r="Y921" i="1"/>
  <c r="Y922" i="1"/>
  <c r="Y923" i="1"/>
  <c r="Y924" i="1"/>
  <c r="Y925" i="1"/>
  <c r="Y926" i="1"/>
  <c r="AB926" i="1" s="1"/>
  <c r="Y927" i="1"/>
  <c r="AB927" i="1" s="1"/>
  <c r="Y928" i="1"/>
  <c r="AB928" i="1" s="1"/>
  <c r="Y929" i="1"/>
  <c r="AB929" i="1" s="1"/>
  <c r="Y930" i="1"/>
  <c r="AB930" i="1" s="1"/>
  <c r="Y931" i="1"/>
  <c r="AB931" i="1" s="1"/>
  <c r="Y932" i="1"/>
  <c r="AB932" i="1" s="1"/>
  <c r="Y933" i="1"/>
  <c r="AB933" i="1" s="1"/>
  <c r="Y934" i="1"/>
  <c r="Y935" i="1"/>
  <c r="Y936" i="1"/>
  <c r="Y937" i="1"/>
  <c r="Y938" i="1"/>
  <c r="Y939" i="1"/>
  <c r="Y940" i="1"/>
  <c r="Y941" i="1"/>
  <c r="Y942" i="1"/>
  <c r="Y943" i="1"/>
  <c r="Y944" i="1"/>
  <c r="AB944" i="1" s="1"/>
  <c r="Y945" i="1"/>
  <c r="AB945" i="1" s="1"/>
  <c r="Y946" i="1"/>
  <c r="AB946" i="1" s="1"/>
  <c r="Y947" i="1"/>
  <c r="AB947" i="1" s="1"/>
  <c r="Y948" i="1"/>
  <c r="AB948" i="1" s="1"/>
  <c r="Y949" i="1"/>
  <c r="AB949" i="1" s="1"/>
  <c r="Y950" i="1"/>
  <c r="AB950" i="1" s="1"/>
  <c r="Y951" i="1"/>
  <c r="AB951" i="1" s="1"/>
  <c r="Y952" i="1"/>
  <c r="Y953" i="1"/>
  <c r="Y954" i="1"/>
  <c r="Y955" i="1"/>
  <c r="Y956" i="1"/>
  <c r="Y957" i="1"/>
  <c r="Y958" i="1"/>
  <c r="Y959" i="1"/>
  <c r="Y960" i="1"/>
  <c r="Y961" i="1"/>
  <c r="Y962" i="1"/>
  <c r="AB962" i="1" s="1"/>
  <c r="Y963" i="1"/>
  <c r="AB963" i="1" s="1"/>
  <c r="Y964" i="1"/>
  <c r="AB964" i="1" s="1"/>
  <c r="Y965" i="1"/>
  <c r="AB965" i="1" s="1"/>
  <c r="Y966" i="1"/>
  <c r="AB966" i="1" s="1"/>
  <c r="Y967" i="1"/>
  <c r="AB967" i="1" s="1"/>
  <c r="Y968" i="1"/>
  <c r="AB968" i="1" s="1"/>
  <c r="Y969" i="1"/>
  <c r="AB969" i="1" s="1"/>
  <c r="Y970" i="1"/>
  <c r="Y971" i="1"/>
  <c r="Y972" i="1"/>
  <c r="Y973" i="1"/>
  <c r="Y974" i="1"/>
  <c r="Y975" i="1"/>
  <c r="Y976" i="1"/>
  <c r="Y977" i="1"/>
  <c r="Y978" i="1"/>
  <c r="Y979" i="1"/>
  <c r="Y980" i="1"/>
  <c r="AB980" i="1" s="1"/>
  <c r="Y981" i="1"/>
  <c r="AB981" i="1" s="1"/>
  <c r="Y982" i="1"/>
  <c r="AB982" i="1" s="1"/>
  <c r="Y983" i="1"/>
  <c r="AB983" i="1" s="1"/>
  <c r="Y984" i="1"/>
  <c r="AB984" i="1" s="1"/>
  <c r="Y985" i="1"/>
  <c r="AB985" i="1" s="1"/>
  <c r="Y986" i="1"/>
  <c r="AB986" i="1" s="1"/>
  <c r="Y987" i="1"/>
  <c r="AB987" i="1" s="1"/>
  <c r="Y988" i="1"/>
  <c r="AB988" i="1" s="1"/>
  <c r="Y989" i="1"/>
  <c r="AB989" i="1" s="1"/>
  <c r="Y990" i="1"/>
  <c r="Y991" i="1"/>
  <c r="Y992" i="1"/>
  <c r="Y993" i="1"/>
  <c r="Y994" i="1"/>
  <c r="Y995" i="1"/>
  <c r="Y996" i="1"/>
  <c r="Y997" i="1"/>
  <c r="Y998" i="1"/>
  <c r="AB998" i="1" s="1"/>
  <c r="Y999" i="1"/>
  <c r="AB999" i="1" s="1"/>
  <c r="Y1000" i="1"/>
  <c r="AB1000" i="1" s="1"/>
  <c r="Y1001" i="1"/>
  <c r="AB1001" i="1" s="1"/>
  <c r="Y1002" i="1"/>
  <c r="AB1002" i="1" s="1"/>
  <c r="Y1003" i="1"/>
  <c r="AB1003" i="1" s="1"/>
  <c r="Y1004" i="1"/>
  <c r="AB1004" i="1" s="1"/>
  <c r="Y1005" i="1"/>
  <c r="AB1005" i="1" s="1"/>
  <c r="Y1006" i="1"/>
  <c r="Y1007" i="1"/>
  <c r="Y1008" i="1"/>
  <c r="Y1009" i="1"/>
  <c r="Y1010" i="1"/>
  <c r="Y1011" i="1"/>
  <c r="Y1012" i="1"/>
  <c r="Y1013" i="1"/>
  <c r="Y1014" i="1"/>
  <c r="AB1014" i="1" s="1"/>
  <c r="Y1015" i="1"/>
  <c r="Y1016" i="1"/>
  <c r="AB1016" i="1" s="1"/>
  <c r="Y1017" i="1"/>
  <c r="AB1017" i="1" s="1"/>
  <c r="Y1018" i="1"/>
  <c r="AB1018" i="1" s="1"/>
  <c r="Y1019" i="1"/>
  <c r="AB1019" i="1" s="1"/>
  <c r="Y1020" i="1"/>
  <c r="AB1020" i="1" s="1"/>
  <c r="Y1021" i="1"/>
  <c r="AB1021" i="1" s="1"/>
  <c r="Y1022" i="1"/>
  <c r="AB1022" i="1" s="1"/>
  <c r="Y1023" i="1"/>
  <c r="AB1023" i="1" s="1"/>
  <c r="Y1024" i="1"/>
  <c r="Y1025" i="1"/>
  <c r="Y1026" i="1"/>
  <c r="Y1027" i="1"/>
  <c r="Y1028" i="1"/>
  <c r="Y1029" i="1"/>
  <c r="Y1030" i="1"/>
  <c r="Y1031" i="1"/>
  <c r="Y1032" i="1"/>
  <c r="Y1033" i="1"/>
  <c r="Y1034" i="1"/>
  <c r="AB1034" i="1" s="1"/>
  <c r="Y1035" i="1"/>
  <c r="AB1035" i="1" s="1"/>
  <c r="Y1036" i="1"/>
  <c r="AB1036" i="1" s="1"/>
  <c r="Y1037" i="1"/>
  <c r="AB1037" i="1" s="1"/>
  <c r="Y1038" i="1"/>
  <c r="AB1038" i="1" s="1"/>
  <c r="Y1039" i="1"/>
  <c r="AB1039" i="1" s="1"/>
  <c r="Y1040" i="1"/>
  <c r="AB1040" i="1" s="1"/>
  <c r="Y1041" i="1"/>
  <c r="AB1041" i="1" s="1"/>
  <c r="Y1042" i="1"/>
  <c r="AB1042" i="1" s="1"/>
  <c r="Y1043" i="1"/>
  <c r="AB1043" i="1" s="1"/>
  <c r="Y1044" i="1"/>
  <c r="Y1045" i="1"/>
  <c r="AB1045" i="1" s="1"/>
  <c r="Y1046" i="1"/>
  <c r="AB1046" i="1" s="1"/>
  <c r="Y1047" i="1"/>
  <c r="AB1047" i="1" s="1"/>
  <c r="Y1048" i="1"/>
  <c r="Y1049" i="1"/>
  <c r="Y1050" i="1"/>
  <c r="Y1051" i="1"/>
  <c r="Y1052" i="1"/>
  <c r="AB1052" i="1" s="1"/>
  <c r="Y1053" i="1"/>
  <c r="AB1053" i="1" s="1"/>
  <c r="Y1054" i="1"/>
  <c r="AB1054" i="1" s="1"/>
  <c r="Y1055" i="1"/>
  <c r="AB1055" i="1" s="1"/>
  <c r="Y1056" i="1"/>
  <c r="AB1056" i="1" s="1"/>
  <c r="Y1057" i="1"/>
  <c r="AB1057" i="1" s="1"/>
  <c r="Y1058" i="1"/>
  <c r="AB1058" i="1" s="1"/>
  <c r="Y1059" i="1"/>
  <c r="AB1059" i="1" s="1"/>
  <c r="Y1060" i="1"/>
  <c r="Y1061" i="1"/>
  <c r="Y1062" i="1"/>
  <c r="Y1063" i="1"/>
  <c r="Y1064" i="1"/>
  <c r="Y1065" i="1"/>
  <c r="Y1066" i="1"/>
  <c r="Y1067" i="1"/>
  <c r="Y1068" i="1"/>
  <c r="AB1068" i="1" s="1"/>
  <c r="Y1069" i="1"/>
  <c r="Y1070" i="1"/>
  <c r="AB1070" i="1" s="1"/>
  <c r="Y1071" i="1"/>
  <c r="AB1071" i="1" s="1"/>
  <c r="Y1072" i="1"/>
  <c r="AB1072" i="1" s="1"/>
  <c r="Y1073" i="1"/>
  <c r="AB1073" i="1" s="1"/>
  <c r="Y1074" i="1"/>
  <c r="AB1074" i="1" s="1"/>
  <c r="Y1075" i="1"/>
  <c r="AB1075" i="1" s="1"/>
  <c r="Y1076" i="1"/>
  <c r="AB1076" i="1" s="1"/>
  <c r="Y1077" i="1"/>
  <c r="AB1077" i="1" s="1"/>
  <c r="Y1078" i="1"/>
  <c r="Y1079" i="1"/>
  <c r="Y1080" i="1"/>
  <c r="Y1081" i="1"/>
  <c r="Y1082" i="1"/>
  <c r="Y1083" i="1"/>
  <c r="Y1084" i="1"/>
  <c r="Y1085" i="1"/>
  <c r="Y1086" i="1"/>
  <c r="Y1087" i="1"/>
  <c r="Y1088" i="1"/>
  <c r="AB1088" i="1" s="1"/>
  <c r="Y1089" i="1"/>
  <c r="AB1089" i="1" s="1"/>
  <c r="Y1090" i="1"/>
  <c r="AB1090" i="1" s="1"/>
  <c r="Y1091" i="1"/>
  <c r="AB1091" i="1" s="1"/>
  <c r="Y1092" i="1"/>
  <c r="AB1092" i="1" s="1"/>
  <c r="Y1093" i="1"/>
  <c r="AB1093" i="1" s="1"/>
  <c r="Y1094" i="1"/>
  <c r="AB1094" i="1" s="1"/>
  <c r="Y1095" i="1"/>
  <c r="AB1095" i="1" s="1"/>
  <c r="Y1096" i="1"/>
  <c r="AB1096" i="1" s="1"/>
  <c r="Y1097" i="1"/>
  <c r="AB1097" i="1" s="1"/>
  <c r="Y1098" i="1"/>
  <c r="Y1099" i="1"/>
  <c r="AB1099" i="1" s="1"/>
  <c r="Y1100" i="1"/>
  <c r="AB1100" i="1" s="1"/>
  <c r="Y1101" i="1"/>
  <c r="Y1102" i="1"/>
  <c r="Y1103" i="1"/>
  <c r="Y1104" i="1"/>
  <c r="Y1105" i="1"/>
  <c r="Y1106" i="1"/>
  <c r="AB1106" i="1" s="1"/>
  <c r="Y1107" i="1"/>
  <c r="AB1107" i="1" s="1"/>
  <c r="Y1108" i="1"/>
  <c r="AB1108" i="1" s="1"/>
  <c r="Y1109" i="1"/>
  <c r="AB1109" i="1" s="1"/>
  <c r="Y1110" i="1"/>
  <c r="AB1110" i="1" s="1"/>
  <c r="Y1111" i="1"/>
  <c r="AB1111" i="1" s="1"/>
  <c r="Y1112" i="1"/>
  <c r="AB1112" i="1" s="1"/>
  <c r="Y1113" i="1"/>
  <c r="AB1113" i="1" s="1"/>
  <c r="Y1114" i="1"/>
  <c r="Y1115" i="1"/>
  <c r="Y1116" i="1"/>
  <c r="Y1117" i="1"/>
  <c r="Y1118" i="1"/>
  <c r="Y1119" i="1"/>
  <c r="Y1120" i="1"/>
  <c r="Y1121" i="1"/>
  <c r="Y1122" i="1"/>
  <c r="Y1123" i="1"/>
  <c r="Y1124" i="1"/>
  <c r="AB1124" i="1" s="1"/>
  <c r="Y1125" i="1"/>
  <c r="AB1125" i="1" s="1"/>
  <c r="Y1126" i="1"/>
  <c r="AB1126" i="1" s="1"/>
  <c r="Y1127" i="1"/>
  <c r="AB1127" i="1" s="1"/>
  <c r="Y1128" i="1"/>
  <c r="AB1128" i="1" s="1"/>
  <c r="Y1129" i="1"/>
  <c r="AB1129" i="1" s="1"/>
  <c r="Y1130" i="1"/>
  <c r="AB1130" i="1" s="1"/>
  <c r="Y1131" i="1"/>
  <c r="AB1131" i="1" s="1"/>
  <c r="Y1132" i="1"/>
  <c r="Y1133" i="1"/>
  <c r="Y1134" i="1"/>
  <c r="Y1135" i="1"/>
  <c r="Y1136" i="1"/>
  <c r="Y1137" i="1"/>
  <c r="Y1138" i="1"/>
  <c r="Y1139" i="1"/>
  <c r="Y1140" i="1"/>
  <c r="Y1141" i="1"/>
  <c r="Y1142" i="1"/>
  <c r="AB1142" i="1" s="1"/>
  <c r="Y1143" i="1"/>
  <c r="AB1143" i="1" s="1"/>
  <c r="Y1144" i="1"/>
  <c r="AB1144" i="1" s="1"/>
  <c r="Y1145" i="1"/>
  <c r="AB1145" i="1" s="1"/>
  <c r="Y1146" i="1"/>
  <c r="AB1146" i="1" s="1"/>
  <c r="Y1147" i="1"/>
  <c r="AB1147" i="1" s="1"/>
  <c r="Y1148" i="1"/>
  <c r="AB1148" i="1" s="1"/>
  <c r="Y1149" i="1"/>
  <c r="AB1149" i="1" s="1"/>
  <c r="Y1150" i="1"/>
  <c r="Y1151" i="1"/>
  <c r="Y1152" i="1"/>
  <c r="Y1153" i="1"/>
  <c r="Y1154" i="1"/>
  <c r="Y1155" i="1"/>
  <c r="Y1156" i="1"/>
  <c r="Y1157" i="1"/>
  <c r="AB1157" i="1" s="1"/>
  <c r="Y1158" i="1"/>
  <c r="AB1158" i="1" s="1"/>
  <c r="Y1159" i="1"/>
  <c r="Y1160" i="1"/>
  <c r="AB1160" i="1" s="1"/>
  <c r="Y1161" i="1"/>
  <c r="AB1161" i="1" s="1"/>
  <c r="Y1162" i="1"/>
  <c r="AB1162" i="1" s="1"/>
  <c r="Y1163" i="1"/>
  <c r="AB1163" i="1" s="1"/>
  <c r="Y1164" i="1"/>
  <c r="AB1164" i="1" s="1"/>
  <c r="Y1165" i="1"/>
  <c r="AB1165" i="1" s="1"/>
  <c r="Y1166" i="1"/>
  <c r="AB1166" i="1" s="1"/>
  <c r="Y1167" i="1"/>
  <c r="AB1167" i="1" s="1"/>
  <c r="Y1168" i="1"/>
  <c r="Y1169" i="1"/>
  <c r="Y1170" i="1"/>
  <c r="Y1171" i="1"/>
  <c r="Y1172" i="1"/>
  <c r="Y1173" i="1"/>
  <c r="Y1174" i="1"/>
  <c r="Y1175" i="1"/>
  <c r="Y1176" i="1"/>
  <c r="Y1177" i="1"/>
  <c r="Y1178" i="1"/>
  <c r="AB1178" i="1" s="1"/>
  <c r="Y1179" i="1"/>
  <c r="AB1179" i="1" s="1"/>
  <c r="Y1180" i="1"/>
  <c r="AB1180" i="1" s="1"/>
  <c r="Y1181" i="1"/>
  <c r="AB1181" i="1" s="1"/>
  <c r="Y1182" i="1"/>
  <c r="AB1182" i="1" s="1"/>
  <c r="Y1183" i="1"/>
  <c r="AB1183" i="1" s="1"/>
  <c r="Y1184" i="1"/>
  <c r="AB1184" i="1" s="1"/>
  <c r="Y1185" i="1"/>
  <c r="AB1185" i="1" s="1"/>
  <c r="Y1186" i="1"/>
  <c r="Y1187" i="1"/>
  <c r="AB1187" i="1" s="1"/>
  <c r="Y1188" i="1"/>
  <c r="AB1188" i="1" s="1"/>
  <c r="Y1189" i="1"/>
  <c r="AB1189" i="1" s="1"/>
  <c r="Y1190" i="1"/>
  <c r="AB1190" i="1" s="1"/>
  <c r="Y1191" i="1"/>
  <c r="Y1192" i="1"/>
  <c r="Y1193" i="1"/>
  <c r="AB1193" i="1" s="1"/>
  <c r="Y1194" i="1"/>
  <c r="Y1195" i="1"/>
  <c r="Y1196" i="1"/>
  <c r="AB1196" i="1" s="1"/>
  <c r="Y1197" i="1"/>
  <c r="AB1197" i="1" s="1"/>
  <c r="Y1198" i="1"/>
  <c r="AB1198" i="1" s="1"/>
  <c r="Y1199" i="1"/>
  <c r="AB1199" i="1" s="1"/>
  <c r="Y1200" i="1"/>
  <c r="AB1200" i="1" s="1"/>
  <c r="Y1201" i="1"/>
  <c r="AB1201" i="1" s="1"/>
  <c r="Y7" i="1"/>
  <c r="Y8" i="1"/>
  <c r="Y9" i="1"/>
  <c r="Y10" i="1"/>
  <c r="Y11" i="1"/>
  <c r="Y12" i="1"/>
  <c r="AB12" i="1" s="1"/>
  <c r="Y13" i="1"/>
  <c r="Y14" i="1"/>
  <c r="AB14" i="1" s="1"/>
  <c r="Y15" i="1"/>
  <c r="AB15" i="1" s="1"/>
  <c r="Y16" i="1"/>
  <c r="AB16" i="1" s="1"/>
  <c r="Y17" i="1"/>
  <c r="AB17" i="1" s="1"/>
  <c r="Y18" i="1"/>
  <c r="AB18" i="1" s="1"/>
  <c r="Y19" i="1"/>
  <c r="AB19" i="1" s="1"/>
  <c r="Y20" i="1"/>
  <c r="AB20" i="1" s="1"/>
  <c r="Y21" i="1"/>
  <c r="AB21" i="1" s="1"/>
  <c r="Y22" i="1"/>
  <c r="AB22" i="1" s="1"/>
  <c r="Y23" i="1"/>
  <c r="Y24" i="1"/>
  <c r="Y3" i="1"/>
  <c r="AB3" i="1" s="1"/>
  <c r="Y4" i="1"/>
  <c r="AB4" i="1" s="1"/>
  <c r="Y5" i="1"/>
  <c r="Y6" i="1"/>
  <c r="Y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" i="1"/>
  <c r="H4" i="1"/>
  <c r="H5" i="1"/>
  <c r="H6" i="1"/>
  <c r="H2" i="1"/>
  <c r="E2" i="1" a="1"/>
  <c r="F136" i="1" s="1"/>
  <c r="C2" i="1" a="1"/>
  <c r="C2" i="1" s="1"/>
  <c r="V636" i="1" l="1"/>
  <c r="W636" i="1" s="1"/>
  <c r="L110" i="1"/>
  <c r="L75" i="1"/>
  <c r="L43" i="1"/>
  <c r="L1111" i="1"/>
  <c r="L1015" i="1"/>
  <c r="L896" i="1"/>
  <c r="L865" i="1"/>
  <c r="L796" i="1"/>
  <c r="L680" i="1"/>
  <c r="L652" i="1"/>
  <c r="L622" i="1"/>
  <c r="L544" i="1"/>
  <c r="L491" i="1"/>
  <c r="L347" i="1"/>
  <c r="L229" i="1"/>
  <c r="L195" i="1"/>
  <c r="L162" i="1"/>
  <c r="L136" i="1"/>
  <c r="AB1051" i="1"/>
  <c r="AB673" i="1"/>
  <c r="V356" i="1"/>
  <c r="W356" i="1" s="1"/>
  <c r="L109" i="1"/>
  <c r="L1140" i="1"/>
  <c r="L1110" i="1"/>
  <c r="L1014" i="1"/>
  <c r="L930" i="1"/>
  <c r="L895" i="1"/>
  <c r="L730" i="1"/>
  <c r="L679" i="1"/>
  <c r="L591" i="1"/>
  <c r="L567" i="1"/>
  <c r="L490" i="1"/>
  <c r="L380" i="1"/>
  <c r="L256" i="1"/>
  <c r="L194" i="1"/>
  <c r="L135" i="1"/>
  <c r="AB1195" i="1"/>
  <c r="AB1141" i="1"/>
  <c r="AB1087" i="1"/>
  <c r="AB997" i="1"/>
  <c r="AB943" i="1"/>
  <c r="AB889" i="1"/>
  <c r="AB835" i="1"/>
  <c r="AB781" i="1"/>
  <c r="AB709" i="1"/>
  <c r="V338" i="1"/>
  <c r="W338" i="1" s="1"/>
  <c r="AB11" i="1"/>
  <c r="L108" i="1"/>
  <c r="L4" i="1"/>
  <c r="L1166" i="1"/>
  <c r="L1106" i="1"/>
  <c r="L1042" i="1"/>
  <c r="L1013" i="1"/>
  <c r="L929" i="1"/>
  <c r="L828" i="1"/>
  <c r="L729" i="1"/>
  <c r="L678" i="1"/>
  <c r="L517" i="1"/>
  <c r="L453" i="1"/>
  <c r="L318" i="1"/>
  <c r="L159" i="1"/>
  <c r="L134" i="1"/>
  <c r="AB1177" i="1"/>
  <c r="AB1123" i="1"/>
  <c r="AB1033" i="1"/>
  <c r="AB979" i="1"/>
  <c r="AB925" i="1"/>
  <c r="AB871" i="1"/>
  <c r="AB817" i="1"/>
  <c r="AB763" i="1"/>
  <c r="AB655" i="1"/>
  <c r="V330" i="1"/>
  <c r="W330" i="1" s="1"/>
  <c r="L107" i="1"/>
  <c r="L70" i="1"/>
  <c r="L1165" i="1"/>
  <c r="L1138" i="1"/>
  <c r="L1012" i="1"/>
  <c r="L825" i="1"/>
  <c r="L758" i="1"/>
  <c r="L698" i="1"/>
  <c r="L677" i="1"/>
  <c r="L645" i="1"/>
  <c r="L589" i="1"/>
  <c r="L565" i="1"/>
  <c r="L541" i="1"/>
  <c r="L516" i="1"/>
  <c r="L488" i="1"/>
  <c r="L452" i="1"/>
  <c r="L410" i="1"/>
  <c r="L317" i="1"/>
  <c r="L285" i="1"/>
  <c r="L254" i="1"/>
  <c r="L189" i="1"/>
  <c r="L158" i="1"/>
  <c r="AB1069" i="1"/>
  <c r="AB727" i="1"/>
  <c r="V329" i="1"/>
  <c r="W329" i="1" s="1"/>
  <c r="L1201" i="1"/>
  <c r="L1164" i="1"/>
  <c r="L1137" i="1"/>
  <c r="L1104" i="1"/>
  <c r="L921" i="1"/>
  <c r="L644" i="1"/>
  <c r="L588" i="1"/>
  <c r="L564" i="1"/>
  <c r="L316" i="1"/>
  <c r="L253" i="1"/>
  <c r="L188" i="1"/>
  <c r="L157" i="1"/>
  <c r="V311" i="1"/>
  <c r="W311" i="1" s="1"/>
  <c r="L63" i="1"/>
  <c r="L1200" i="1"/>
  <c r="L1163" i="1"/>
  <c r="L1136" i="1"/>
  <c r="L1070" i="1"/>
  <c r="L974" i="1"/>
  <c r="L952" i="1"/>
  <c r="L920" i="1"/>
  <c r="L887" i="1"/>
  <c r="L856" i="1"/>
  <c r="L783" i="1"/>
  <c r="L615" i="1"/>
  <c r="L587" i="1"/>
  <c r="L563" i="1"/>
  <c r="L511" i="1"/>
  <c r="L370" i="1"/>
  <c r="L339" i="1"/>
  <c r="L315" i="1"/>
  <c r="L220" i="1"/>
  <c r="L186" i="1"/>
  <c r="L62" i="1"/>
  <c r="L33" i="1"/>
  <c r="L1192" i="1"/>
  <c r="L1162" i="1"/>
  <c r="L1102" i="1"/>
  <c r="L951" i="1"/>
  <c r="L886" i="1"/>
  <c r="L855" i="1"/>
  <c r="L810" i="1"/>
  <c r="L753" i="1"/>
  <c r="L671" i="1"/>
  <c r="L640" i="1"/>
  <c r="L586" i="1"/>
  <c r="L536" i="1"/>
  <c r="L510" i="1"/>
  <c r="L477" i="1"/>
  <c r="L407" i="1"/>
  <c r="L369" i="1"/>
  <c r="L338" i="1"/>
  <c r="V33" i="1"/>
  <c r="W33" i="1" s="1"/>
  <c r="AB1176" i="1"/>
  <c r="AB1140" i="1"/>
  <c r="AB906" i="1"/>
  <c r="AB852" i="1"/>
  <c r="AB510" i="1"/>
  <c r="AB222" i="1"/>
  <c r="AB150" i="1"/>
  <c r="L32" i="1"/>
  <c r="L1191" i="1"/>
  <c r="L1066" i="1"/>
  <c r="L997" i="1"/>
  <c r="L972" i="1"/>
  <c r="L950" i="1"/>
  <c r="L781" i="1"/>
  <c r="L722" i="1"/>
  <c r="L670" i="1"/>
  <c r="L439" i="1"/>
  <c r="L368" i="1"/>
  <c r="L337" i="1"/>
  <c r="L278" i="1"/>
  <c r="V284" i="1"/>
  <c r="W284" i="1" s="1"/>
  <c r="V266" i="1"/>
  <c r="W266" i="1" s="1"/>
  <c r="V248" i="1"/>
  <c r="W248" i="1" s="1"/>
  <c r="V176" i="1"/>
  <c r="W176" i="1" s="1"/>
  <c r="V122" i="1"/>
  <c r="W122" i="1" s="1"/>
  <c r="V104" i="1"/>
  <c r="W104" i="1" s="1"/>
  <c r="V86" i="1"/>
  <c r="W86" i="1" s="1"/>
  <c r="V68" i="1"/>
  <c r="W68" i="1" s="1"/>
  <c r="V1139" i="1"/>
  <c r="W1139" i="1" s="1"/>
  <c r="V977" i="1"/>
  <c r="W977" i="1" s="1"/>
  <c r="V959" i="1"/>
  <c r="W959" i="1" s="1"/>
  <c r="V905" i="1"/>
  <c r="W905" i="1" s="1"/>
  <c r="V365" i="1"/>
  <c r="W365" i="1" s="1"/>
  <c r="AB1139" i="1"/>
  <c r="AB1085" i="1"/>
  <c r="AB1067" i="1"/>
  <c r="AB1049" i="1"/>
  <c r="AB1013" i="1"/>
  <c r="AB851" i="1"/>
  <c r="AB815" i="1"/>
  <c r="AB707" i="1"/>
  <c r="AB671" i="1"/>
  <c r="AB635" i="1"/>
  <c r="AB599" i="1"/>
  <c r="AB581" i="1"/>
  <c r="AB545" i="1"/>
  <c r="AB491" i="1"/>
  <c r="AB455" i="1"/>
  <c r="AB383" i="1"/>
  <c r="AB347" i="1"/>
  <c r="AB293" i="1"/>
  <c r="AB239" i="1"/>
  <c r="AB185" i="1"/>
  <c r="AB149" i="1"/>
  <c r="L1186" i="1"/>
  <c r="L1160" i="1"/>
  <c r="L1131" i="1"/>
  <c r="L1065" i="1"/>
  <c r="L949" i="1"/>
  <c r="L914" i="1"/>
  <c r="L780" i="1"/>
  <c r="L669" i="1"/>
  <c r="L472" i="1"/>
  <c r="L438" i="1"/>
  <c r="L399" i="1"/>
  <c r="L367" i="1"/>
  <c r="L312" i="1"/>
  <c r="L277" i="1"/>
  <c r="L246" i="1"/>
  <c r="AB2" i="1"/>
  <c r="AB1192" i="1"/>
  <c r="AB1156" i="1"/>
  <c r="AB1138" i="1"/>
  <c r="AB1084" i="1"/>
  <c r="AB1066" i="1"/>
  <c r="AB1048" i="1"/>
  <c r="AB1012" i="1"/>
  <c r="AB976" i="1"/>
  <c r="AB958" i="1"/>
  <c r="AB850" i="1"/>
  <c r="AB814" i="1"/>
  <c r="AB706" i="1"/>
  <c r="AB670" i="1"/>
  <c r="AB634" i="1"/>
  <c r="AB508" i="1"/>
  <c r="AB454" i="1"/>
  <c r="AB310" i="1"/>
  <c r="AB292" i="1"/>
  <c r="AB238" i="1"/>
  <c r="AB184" i="1"/>
  <c r="AB148" i="1"/>
  <c r="AB112" i="1"/>
  <c r="AB76" i="1"/>
  <c r="L56" i="1"/>
  <c r="L30" i="1"/>
  <c r="L1185" i="1"/>
  <c r="L1159" i="1"/>
  <c r="L1094" i="1"/>
  <c r="L995" i="1"/>
  <c r="L948" i="1"/>
  <c r="L913" i="1"/>
  <c r="L883" i="1"/>
  <c r="L848" i="1"/>
  <c r="L805" i="1"/>
  <c r="L690" i="1"/>
  <c r="L668" i="1"/>
  <c r="L634" i="1"/>
  <c r="L335" i="1"/>
  <c r="L311" i="1"/>
  <c r="L177" i="1"/>
  <c r="AB10" i="1"/>
  <c r="AB1191" i="1"/>
  <c r="AB1155" i="1"/>
  <c r="AB1137" i="1"/>
  <c r="AB1101" i="1"/>
  <c r="AB1083" i="1"/>
  <c r="AB1065" i="1"/>
  <c r="AB1011" i="1"/>
  <c r="AB975" i="1"/>
  <c r="AB939" i="1"/>
  <c r="AB849" i="1"/>
  <c r="AB813" i="1"/>
  <c r="AB705" i="1"/>
  <c r="AB669" i="1"/>
  <c r="AB651" i="1"/>
  <c r="AB507" i="1"/>
  <c r="AB489" i="1"/>
  <c r="AB453" i="1"/>
  <c r="AB417" i="1"/>
  <c r="AB309" i="1"/>
  <c r="AB291" i="1"/>
  <c r="AB273" i="1"/>
  <c r="AB237" i="1"/>
  <c r="AB183" i="1"/>
  <c r="AB111" i="1"/>
  <c r="L119" i="1"/>
  <c r="L88" i="1"/>
  <c r="L1158" i="1"/>
  <c r="L1093" i="1"/>
  <c r="L912" i="1"/>
  <c r="L778" i="1"/>
  <c r="L633" i="1"/>
  <c r="L436" i="1"/>
  <c r="L365" i="1"/>
  <c r="L272" i="1"/>
  <c r="L176" i="1"/>
  <c r="V425" i="1"/>
  <c r="W425" i="1" s="1"/>
  <c r="V317" i="1"/>
  <c r="W317" i="1" s="1"/>
  <c r="V470" i="1"/>
  <c r="W470" i="1" s="1"/>
  <c r="V362" i="1"/>
  <c r="W362" i="1" s="1"/>
  <c r="V128" i="1"/>
  <c r="W128" i="1" s="1"/>
  <c r="V110" i="1"/>
  <c r="W110" i="1" s="1"/>
  <c r="V20" i="1"/>
  <c r="W20" i="1" s="1"/>
  <c r="AB9" i="1"/>
  <c r="AB1154" i="1"/>
  <c r="AB1136" i="1"/>
  <c r="AB1118" i="1"/>
  <c r="AB1064" i="1"/>
  <c r="AB1010" i="1"/>
  <c r="AB992" i="1"/>
  <c r="AB974" i="1"/>
  <c r="AB938" i="1"/>
  <c r="AB920" i="1"/>
  <c r="AB650" i="1"/>
  <c r="AB524" i="1"/>
  <c r="AB506" i="1"/>
  <c r="AB452" i="1"/>
  <c r="AB416" i="1"/>
  <c r="AB308" i="1"/>
  <c r="AB290" i="1"/>
  <c r="AB272" i="1"/>
  <c r="AB236" i="1"/>
  <c r="AB200" i="1"/>
  <c r="AB164" i="1"/>
  <c r="AB74" i="1"/>
  <c r="L87" i="1"/>
  <c r="L54" i="1"/>
  <c r="L1183" i="1"/>
  <c r="L1126" i="1"/>
  <c r="L1056" i="1"/>
  <c r="L1026" i="1"/>
  <c r="L993" i="1"/>
  <c r="L968" i="1"/>
  <c r="L911" i="1"/>
  <c r="L874" i="1"/>
  <c r="L803" i="1"/>
  <c r="L777" i="1"/>
  <c r="L746" i="1"/>
  <c r="L715" i="1"/>
  <c r="L632" i="1"/>
  <c r="L468" i="1"/>
  <c r="L435" i="1"/>
  <c r="L333" i="1"/>
  <c r="L301" i="1"/>
  <c r="L210" i="1"/>
  <c r="V784" i="1"/>
  <c r="W784" i="1" s="1"/>
  <c r="V730" i="1"/>
  <c r="W730" i="1" s="1"/>
  <c r="V955" i="1"/>
  <c r="W955" i="1" s="1"/>
  <c r="V523" i="1"/>
  <c r="W523" i="1" s="1"/>
  <c r="V1148" i="1"/>
  <c r="W1148" i="1" s="1"/>
  <c r="AB1171" i="1"/>
  <c r="AB1153" i="1"/>
  <c r="AB1135" i="1"/>
  <c r="AB1117" i="1"/>
  <c r="AB1063" i="1"/>
  <c r="AB1027" i="1"/>
  <c r="AB991" i="1"/>
  <c r="AB973" i="1"/>
  <c r="AB937" i="1"/>
  <c r="AB919" i="1"/>
  <c r="AB901" i="1"/>
  <c r="AB847" i="1"/>
  <c r="AB793" i="1"/>
  <c r="AB757" i="1"/>
  <c r="AB667" i="1"/>
  <c r="AB523" i="1"/>
  <c r="AB505" i="1"/>
  <c r="AB487" i="1"/>
  <c r="AB451" i="1"/>
  <c r="AB433" i="1"/>
  <c r="AB415" i="1"/>
  <c r="AB379" i="1"/>
  <c r="AB307" i="1"/>
  <c r="AB289" i="1"/>
  <c r="AB235" i="1"/>
  <c r="AB163" i="1"/>
  <c r="AB73" i="1"/>
  <c r="AB55" i="1"/>
  <c r="AB37" i="1"/>
  <c r="L21" i="1"/>
  <c r="L1156" i="1"/>
  <c r="L1125" i="1"/>
  <c r="L1055" i="1"/>
  <c r="L992" i="1"/>
  <c r="L967" i="1"/>
  <c r="L873" i="1"/>
  <c r="L802" i="1"/>
  <c r="L776" i="1"/>
  <c r="L714" i="1"/>
  <c r="L687" i="1"/>
  <c r="L550" i="1"/>
  <c r="L527" i="1"/>
  <c r="L332" i="1"/>
  <c r="L209" i="1"/>
  <c r="L144" i="1"/>
  <c r="V954" i="1"/>
  <c r="W954" i="1" s="1"/>
  <c r="V900" i="1"/>
  <c r="W900" i="1" s="1"/>
  <c r="V864" i="1"/>
  <c r="W864" i="1" s="1"/>
  <c r="V522" i="1"/>
  <c r="W522" i="1" s="1"/>
  <c r="V468" i="1"/>
  <c r="W468" i="1" s="1"/>
  <c r="V306" i="1"/>
  <c r="W306" i="1" s="1"/>
  <c r="AB7" i="1"/>
  <c r="AB1170" i="1"/>
  <c r="AB1152" i="1"/>
  <c r="AB1134" i="1"/>
  <c r="AB1116" i="1"/>
  <c r="AB648" i="1"/>
  <c r="AB612" i="1"/>
  <c r="AB594" i="1"/>
  <c r="AB558" i="1"/>
  <c r="AB540" i="1"/>
  <c r="AB522" i="1"/>
  <c r="AB504" i="1"/>
  <c r="AB486" i="1"/>
  <c r="AB450" i="1"/>
  <c r="AB432" i="1"/>
  <c r="AB414" i="1"/>
  <c r="AB378" i="1"/>
  <c r="AB360" i="1"/>
  <c r="AB288" i="1"/>
  <c r="AB162" i="1"/>
  <c r="AB90" i="1"/>
  <c r="AB72" i="1"/>
  <c r="AB54" i="1"/>
  <c r="AB36" i="1"/>
  <c r="L116" i="1"/>
  <c r="L83" i="1"/>
  <c r="L52" i="1"/>
  <c r="L1023" i="1"/>
  <c r="L991" i="1"/>
  <c r="L872" i="1"/>
  <c r="L838" i="1"/>
  <c r="L801" i="1"/>
  <c r="L573" i="1"/>
  <c r="L549" i="1"/>
  <c r="L526" i="1"/>
  <c r="L498" i="1"/>
  <c r="L464" i="1"/>
  <c r="L392" i="1"/>
  <c r="L141" i="1"/>
  <c r="AB295" i="1"/>
  <c r="AB277" i="1"/>
  <c r="AB259" i="1"/>
  <c r="AB241" i="1"/>
  <c r="AB223" i="1"/>
  <c r="AB205" i="1"/>
  <c r="AB187" i="1"/>
  <c r="AB169" i="1"/>
  <c r="AB151" i="1"/>
  <c r="AB133" i="1"/>
  <c r="AB115" i="1"/>
  <c r="AB97" i="1"/>
  <c r="AB79" i="1"/>
  <c r="AB61" i="1"/>
  <c r="AB43" i="1"/>
  <c r="AB25" i="1"/>
  <c r="V899" i="1"/>
  <c r="W899" i="1" s="1"/>
  <c r="V611" i="1"/>
  <c r="W611" i="1" s="1"/>
  <c r="V467" i="1"/>
  <c r="W467" i="1" s="1"/>
  <c r="V305" i="1"/>
  <c r="W305" i="1" s="1"/>
  <c r="V780" i="1"/>
  <c r="W780" i="1" s="1"/>
  <c r="AB6" i="1"/>
  <c r="AB1169" i="1"/>
  <c r="AB1151" i="1"/>
  <c r="AB1133" i="1"/>
  <c r="AB1115" i="1"/>
  <c r="AB1079" i="1"/>
  <c r="AB1061" i="1"/>
  <c r="AB1025" i="1"/>
  <c r="AB1007" i="1"/>
  <c r="AB971" i="1"/>
  <c r="AB953" i="1"/>
  <c r="AB935" i="1"/>
  <c r="AB917" i="1"/>
  <c r="AB899" i="1"/>
  <c r="AB881" i="1"/>
  <c r="AB845" i="1"/>
  <c r="AB827" i="1"/>
  <c r="AB791" i="1"/>
  <c r="AB773" i="1"/>
  <c r="AB755" i="1"/>
  <c r="AB719" i="1"/>
  <c r="AB701" i="1"/>
  <c r="AB683" i="1"/>
  <c r="AB665" i="1"/>
  <c r="AB593" i="1"/>
  <c r="AB539" i="1"/>
  <c r="AB521" i="1"/>
  <c r="AB503" i="1"/>
  <c r="AB485" i="1"/>
  <c r="AB449" i="1"/>
  <c r="AB431" i="1"/>
  <c r="AB413" i="1"/>
  <c r="AB377" i="1"/>
  <c r="AB341" i="1"/>
  <c r="AB305" i="1"/>
  <c r="AB233" i="1"/>
  <c r="AB161" i="1"/>
  <c r="AB125" i="1"/>
  <c r="AB89" i="1"/>
  <c r="AB71" i="1"/>
  <c r="AB53" i="1"/>
  <c r="AB35" i="1"/>
  <c r="L115" i="1"/>
  <c r="L19" i="1"/>
  <c r="L1180" i="1"/>
  <c r="L1084" i="1"/>
  <c r="L1050" i="1"/>
  <c r="L1019" i="1"/>
  <c r="L990" i="1"/>
  <c r="L904" i="1"/>
  <c r="L740" i="1"/>
  <c r="L710" i="1"/>
  <c r="L572" i="1"/>
  <c r="L497" i="1"/>
  <c r="L427" i="1"/>
  <c r="L391" i="1"/>
  <c r="L360" i="1"/>
  <c r="L167" i="1"/>
  <c r="AB619" i="1"/>
  <c r="AB601" i="1"/>
  <c r="AB583" i="1"/>
  <c r="AB565" i="1"/>
  <c r="AB547" i="1"/>
  <c r="AB529" i="1"/>
  <c r="AB511" i="1"/>
  <c r="AB493" i="1"/>
  <c r="AB475" i="1"/>
  <c r="AB439" i="1"/>
  <c r="AB421" i="1"/>
  <c r="AB403" i="1"/>
  <c r="AB385" i="1"/>
  <c r="AB367" i="1"/>
  <c r="AB349" i="1"/>
  <c r="AB331" i="1"/>
  <c r="V43" i="1"/>
  <c r="W43" i="1" s="1"/>
  <c r="V808" i="1"/>
  <c r="W808" i="1" s="1"/>
  <c r="V610" i="1"/>
  <c r="W610" i="1" s="1"/>
  <c r="V689" i="1"/>
  <c r="W689" i="1" s="1"/>
  <c r="AB5" i="1"/>
  <c r="AB1186" i="1"/>
  <c r="AB1168" i="1"/>
  <c r="AB1150" i="1"/>
  <c r="AB1132" i="1"/>
  <c r="AB1114" i="1"/>
  <c r="AB1078" i="1"/>
  <c r="AB1060" i="1"/>
  <c r="AB1024" i="1"/>
  <c r="AB1006" i="1"/>
  <c r="AB970" i="1"/>
  <c r="AB952" i="1"/>
  <c r="AB934" i="1"/>
  <c r="AB916" i="1"/>
  <c r="AB898" i="1"/>
  <c r="AB880" i="1"/>
  <c r="AB844" i="1"/>
  <c r="AB826" i="1"/>
  <c r="AB790" i="1"/>
  <c r="AB772" i="1"/>
  <c r="AB718" i="1"/>
  <c r="AB646" i="1"/>
  <c r="AB610" i="1"/>
  <c r="AB574" i="1"/>
  <c r="AB538" i="1"/>
  <c r="AB502" i="1"/>
  <c r="AB484" i="1"/>
  <c r="AB466" i="1"/>
  <c r="AB430" i="1"/>
  <c r="AB412" i="1"/>
  <c r="AB376" i="1"/>
  <c r="AB358" i="1"/>
  <c r="AB322" i="1"/>
  <c r="AB286" i="1"/>
  <c r="AB250" i="1"/>
  <c r="AB214" i="1"/>
  <c r="AB178" i="1"/>
  <c r="AB160" i="1"/>
  <c r="AB88" i="1"/>
  <c r="AB70" i="1"/>
  <c r="AB52" i="1"/>
  <c r="AB34" i="1"/>
  <c r="L79" i="1"/>
  <c r="L15" i="1"/>
  <c r="L1179" i="1"/>
  <c r="L1083" i="1"/>
  <c r="L1018" i="1"/>
  <c r="L988" i="1"/>
  <c r="L939" i="1"/>
  <c r="L900" i="1"/>
  <c r="L836" i="1"/>
  <c r="L739" i="1"/>
  <c r="L597" i="1"/>
  <c r="L524" i="1"/>
  <c r="L390" i="1"/>
  <c r="L294" i="1"/>
  <c r="L234" i="1"/>
  <c r="L206" i="1"/>
  <c r="L139" i="1"/>
  <c r="V204" i="1"/>
  <c r="W204" i="1" s="1"/>
  <c r="V662" i="1"/>
  <c r="W662" i="1" s="1"/>
  <c r="L112" i="1"/>
  <c r="L77" i="1"/>
  <c r="L14" i="1"/>
  <c r="L1082" i="1"/>
  <c r="L1017" i="1"/>
  <c r="L987" i="1"/>
  <c r="L933" i="1"/>
  <c r="L898" i="1"/>
  <c r="L835" i="1"/>
  <c r="L767" i="1"/>
  <c r="L738" i="1"/>
  <c r="L657" i="1"/>
  <c r="L570" i="1"/>
  <c r="L523" i="1"/>
  <c r="L495" i="1"/>
  <c r="L293" i="1"/>
  <c r="L261" i="1"/>
  <c r="L231" i="1"/>
  <c r="L138" i="1"/>
  <c r="AB1159" i="1"/>
  <c r="AB1105" i="1"/>
  <c r="AB1015" i="1"/>
  <c r="AB961" i="1"/>
  <c r="AB907" i="1"/>
  <c r="AB799" i="1"/>
  <c r="AB745" i="1"/>
  <c r="AB691" i="1"/>
  <c r="L111" i="1"/>
  <c r="L44" i="1"/>
  <c r="L13" i="1"/>
  <c r="L1112" i="1"/>
  <c r="L1045" i="1"/>
  <c r="L986" i="1"/>
  <c r="L932" i="1"/>
  <c r="L897" i="1"/>
  <c r="L866" i="1"/>
  <c r="L703" i="1"/>
  <c r="L595" i="1"/>
  <c r="L545" i="1"/>
  <c r="L348" i="1"/>
  <c r="L292" i="1"/>
  <c r="L230" i="1"/>
  <c r="L198" i="1"/>
  <c r="AB24" i="1"/>
  <c r="S1130" i="1"/>
  <c r="V1130" i="1"/>
  <c r="W1130" i="1" s="1"/>
  <c r="S1094" i="1"/>
  <c r="V1094" i="1"/>
  <c r="W1094" i="1" s="1"/>
  <c r="S1058" i="1"/>
  <c r="V1058" i="1"/>
  <c r="W1058" i="1" s="1"/>
  <c r="S986" i="1"/>
  <c r="V986" i="1"/>
  <c r="W986" i="1" s="1"/>
  <c r="S788" i="1"/>
  <c r="V788" i="1"/>
  <c r="W788" i="1" s="1"/>
  <c r="S770" i="1"/>
  <c r="V770" i="1"/>
  <c r="W770" i="1" s="1"/>
  <c r="S752" i="1"/>
  <c r="V752" i="1"/>
  <c r="W752" i="1" s="1"/>
  <c r="S482" i="1"/>
  <c r="V482" i="1"/>
  <c r="W482" i="1" s="1"/>
  <c r="S446" i="1"/>
  <c r="V446" i="1"/>
  <c r="W446" i="1" s="1"/>
  <c r="S428" i="1"/>
  <c r="V428" i="1"/>
  <c r="W428" i="1" s="1"/>
  <c r="AB23" i="1"/>
  <c r="V1178" i="1"/>
  <c r="W1178" i="1" s="1"/>
  <c r="AB564" i="1"/>
  <c r="AB754" i="1"/>
  <c r="AB664" i="1"/>
  <c r="AB520" i="1"/>
  <c r="V377" i="1"/>
  <c r="W377" i="1" s="1"/>
  <c r="V466" i="1"/>
  <c r="W466" i="1" s="1"/>
  <c r="S1056" i="1"/>
  <c r="V1056" i="1"/>
  <c r="W1056" i="1" s="1"/>
  <c r="S786" i="1"/>
  <c r="V786" i="1"/>
  <c r="W786" i="1" s="1"/>
  <c r="S696" i="1"/>
  <c r="V696" i="1"/>
  <c r="W696" i="1" s="1"/>
  <c r="S372" i="1"/>
  <c r="V372" i="1"/>
  <c r="W372" i="1" s="1"/>
  <c r="S264" i="1"/>
  <c r="V264" i="1"/>
  <c r="W264" i="1" s="1"/>
  <c r="S479" i="1"/>
  <c r="V479" i="1"/>
  <c r="W479" i="1" s="1"/>
  <c r="S191" i="1"/>
  <c r="V191" i="1"/>
  <c r="W191" i="1" s="1"/>
  <c r="S1036" i="1"/>
  <c r="V1036" i="1"/>
  <c r="W1036" i="1" s="1"/>
  <c r="S729" i="1"/>
  <c r="V729" i="1"/>
  <c r="W729" i="1" s="1"/>
  <c r="S692" i="1"/>
  <c r="V692" i="1"/>
  <c r="W692" i="1" s="1"/>
  <c r="AB1194" i="1"/>
  <c r="AB1104" i="1"/>
  <c r="AB1032" i="1"/>
  <c r="AB996" i="1"/>
  <c r="AB960" i="1"/>
  <c r="AB942" i="1"/>
  <c r="AB798" i="1"/>
  <c r="AB762" i="1"/>
  <c r="AB708" i="1"/>
  <c r="AB654" i="1"/>
  <c r="AB438" i="1"/>
  <c r="AB402" i="1"/>
  <c r="AB366" i="1"/>
  <c r="AB330" i="1"/>
  <c r="AB276" i="1"/>
  <c r="AB240" i="1"/>
  <c r="AB204" i="1"/>
  <c r="AB186" i="1"/>
  <c r="AB96" i="1"/>
  <c r="AB60" i="1"/>
  <c r="V637" i="1"/>
  <c r="W637" i="1" s="1"/>
  <c r="AB1175" i="1"/>
  <c r="AB1121" i="1"/>
  <c r="AB869" i="1"/>
  <c r="AB761" i="1"/>
  <c r="AB563" i="1"/>
  <c r="AB329" i="1"/>
  <c r="AB1120" i="1"/>
  <c r="AB868" i="1"/>
  <c r="AB796" i="1"/>
  <c r="AB364" i="1"/>
  <c r="V725" i="1"/>
  <c r="W725" i="1" s="1"/>
  <c r="AB1119" i="1"/>
  <c r="AB993" i="1"/>
  <c r="AB795" i="1"/>
  <c r="AB759" i="1"/>
  <c r="AB723" i="1"/>
  <c r="AB525" i="1"/>
  <c r="AB201" i="1"/>
  <c r="AB165" i="1"/>
  <c r="AB129" i="1"/>
  <c r="V590" i="1"/>
  <c r="W590" i="1" s="1"/>
  <c r="V572" i="1"/>
  <c r="W572" i="1" s="1"/>
  <c r="V914" i="1"/>
  <c r="W914" i="1" s="1"/>
  <c r="V102" i="1"/>
  <c r="W102" i="1" s="1"/>
  <c r="V101" i="1"/>
  <c r="W101" i="1" s="1"/>
  <c r="AB8" i="1"/>
  <c r="V1132" i="1"/>
  <c r="W1132" i="1" s="1"/>
  <c r="V952" i="1"/>
  <c r="W952" i="1" s="1"/>
  <c r="V898" i="1"/>
  <c r="W898" i="1" s="1"/>
  <c r="V790" i="1"/>
  <c r="W790" i="1" s="1"/>
  <c r="V736" i="1"/>
  <c r="W736" i="1" s="1"/>
  <c r="V682" i="1"/>
  <c r="W682" i="1" s="1"/>
  <c r="V502" i="1"/>
  <c r="W502" i="1" s="1"/>
  <c r="V178" i="1"/>
  <c r="W178" i="1" s="1"/>
  <c r="V1123" i="1"/>
  <c r="W1123" i="1" s="1"/>
  <c r="V691" i="1"/>
  <c r="W691" i="1" s="1"/>
  <c r="V461" i="1"/>
  <c r="W461" i="1" s="1"/>
  <c r="S714" i="1"/>
  <c r="V714" i="1"/>
  <c r="W714" i="1" s="1"/>
  <c r="S1055" i="1"/>
  <c r="V1055" i="1"/>
  <c r="W1055" i="1" s="1"/>
  <c r="S785" i="1"/>
  <c r="V785" i="1"/>
  <c r="W785" i="1" s="1"/>
  <c r="S695" i="1"/>
  <c r="V695" i="1"/>
  <c r="W695" i="1" s="1"/>
  <c r="S263" i="1"/>
  <c r="V263" i="1"/>
  <c r="W263" i="1" s="1"/>
  <c r="S873" i="1"/>
  <c r="V873" i="1"/>
  <c r="W873" i="1" s="1"/>
  <c r="V638" i="1"/>
  <c r="W638" i="1" s="1"/>
  <c r="AB1122" i="1"/>
  <c r="AB1086" i="1"/>
  <c r="AB1050" i="1"/>
  <c r="AB978" i="1"/>
  <c r="AB924" i="1"/>
  <c r="AB870" i="1"/>
  <c r="AB834" i="1"/>
  <c r="AB744" i="1"/>
  <c r="AB726" i="1"/>
  <c r="AB690" i="1"/>
  <c r="AB636" i="1"/>
  <c r="AB528" i="1"/>
  <c r="AB492" i="1"/>
  <c r="AB456" i="1"/>
  <c r="AB420" i="1"/>
  <c r="AB384" i="1"/>
  <c r="AB348" i="1"/>
  <c r="AB312" i="1"/>
  <c r="AB258" i="1"/>
  <c r="AB168" i="1"/>
  <c r="AB132" i="1"/>
  <c r="AB78" i="1"/>
  <c r="AB42" i="1"/>
  <c r="S1033" i="1"/>
  <c r="V1033" i="1"/>
  <c r="W1033" i="1" s="1"/>
  <c r="AB995" i="1"/>
  <c r="AB833" i="1"/>
  <c r="AB725" i="1"/>
  <c r="AB365" i="1"/>
  <c r="AB167" i="1"/>
  <c r="AB994" i="1"/>
  <c r="AB760" i="1"/>
  <c r="AB526" i="1"/>
  <c r="AB400" i="1"/>
  <c r="V1121" i="1"/>
  <c r="W1121" i="1" s="1"/>
  <c r="V371" i="1"/>
  <c r="W371" i="1" s="1"/>
  <c r="V492" i="1"/>
  <c r="W492" i="1" s="1"/>
  <c r="AB1030" i="1"/>
  <c r="AB904" i="1"/>
  <c r="AB832" i="1"/>
  <c r="AB778" i="1"/>
  <c r="AB742" i="1"/>
  <c r="AB688" i="1"/>
  <c r="AB616" i="1"/>
  <c r="AB562" i="1"/>
  <c r="AB490" i="1"/>
  <c r="AB418" i="1"/>
  <c r="AB346" i="1"/>
  <c r="AB256" i="1"/>
  <c r="AB202" i="1"/>
  <c r="V1067" i="1"/>
  <c r="W1067" i="1" s="1"/>
  <c r="S1031" i="1"/>
  <c r="V1031" i="1"/>
  <c r="W1031" i="1" s="1"/>
  <c r="V815" i="1"/>
  <c r="W815" i="1" s="1"/>
  <c r="S635" i="1"/>
  <c r="V635" i="1"/>
  <c r="W635" i="1" s="1"/>
  <c r="S545" i="1"/>
  <c r="V545" i="1"/>
  <c r="W545" i="1" s="1"/>
  <c r="V293" i="1"/>
  <c r="W293" i="1" s="1"/>
  <c r="V221" i="1"/>
  <c r="W221" i="1" s="1"/>
  <c r="V131" i="1"/>
  <c r="W131" i="1" s="1"/>
  <c r="V41" i="1"/>
  <c r="W41" i="1" s="1"/>
  <c r="V491" i="1"/>
  <c r="W491" i="1" s="1"/>
  <c r="AB1173" i="1"/>
  <c r="AB921" i="1"/>
  <c r="AB867" i="1"/>
  <c r="AB597" i="1"/>
  <c r="AB543" i="1"/>
  <c r="AB435" i="1"/>
  <c r="AB381" i="1"/>
  <c r="AB345" i="1"/>
  <c r="AB219" i="1"/>
  <c r="AB75" i="1"/>
  <c r="V1102" i="1"/>
  <c r="W1102" i="1" s="1"/>
  <c r="V994" i="1"/>
  <c r="W994" i="1" s="1"/>
  <c r="V886" i="1"/>
  <c r="W886" i="1" s="1"/>
  <c r="V814" i="1"/>
  <c r="W814" i="1" s="1"/>
  <c r="V742" i="1"/>
  <c r="W742" i="1" s="1"/>
  <c r="V670" i="1"/>
  <c r="W670" i="1" s="1"/>
  <c r="V634" i="1"/>
  <c r="W634" i="1" s="1"/>
  <c r="V580" i="1"/>
  <c r="W580" i="1" s="1"/>
  <c r="V544" i="1"/>
  <c r="W544" i="1" s="1"/>
  <c r="V490" i="1"/>
  <c r="W490" i="1" s="1"/>
  <c r="V454" i="1"/>
  <c r="W454" i="1" s="1"/>
  <c r="V400" i="1"/>
  <c r="W400" i="1" s="1"/>
  <c r="V346" i="1"/>
  <c r="W346" i="1" s="1"/>
  <c r="V310" i="1"/>
  <c r="W310" i="1" s="1"/>
  <c r="V166" i="1"/>
  <c r="W166" i="1" s="1"/>
  <c r="V40" i="1"/>
  <c r="W40" i="1" s="1"/>
  <c r="V1093" i="1"/>
  <c r="W1093" i="1" s="1"/>
  <c r="V1021" i="1"/>
  <c r="W1021" i="1" s="1"/>
  <c r="V769" i="1"/>
  <c r="W769" i="1" s="1"/>
  <c r="V355" i="1"/>
  <c r="W355" i="1" s="1"/>
  <c r="V265" i="1"/>
  <c r="W265" i="1" s="1"/>
  <c r="V229" i="1"/>
  <c r="W229" i="1" s="1"/>
  <c r="V103" i="1"/>
  <c r="W103" i="1" s="1"/>
  <c r="AB1172" i="1"/>
  <c r="AB1082" i="1"/>
  <c r="AB1028" i="1"/>
  <c r="AB956" i="1"/>
  <c r="AB560" i="1"/>
  <c r="AB434" i="1"/>
  <c r="AB218" i="1"/>
  <c r="AB128" i="1"/>
  <c r="V201" i="1"/>
  <c r="W201" i="1" s="1"/>
  <c r="V1014" i="1"/>
  <c r="W1014" i="1" s="1"/>
  <c r="S546" i="1"/>
  <c r="V546" i="1"/>
  <c r="W546" i="1" s="1"/>
  <c r="V510" i="1"/>
  <c r="W510" i="1" s="1"/>
  <c r="V420" i="1"/>
  <c r="W420" i="1" s="1"/>
  <c r="V348" i="1"/>
  <c r="W348" i="1" s="1"/>
  <c r="V24" i="1"/>
  <c r="W24" i="1" s="1"/>
  <c r="AB1102" i="1"/>
  <c r="AB940" i="1"/>
  <c r="AB886" i="1"/>
  <c r="AB652" i="1"/>
  <c r="AB598" i="1"/>
  <c r="AB544" i="1"/>
  <c r="AB472" i="1"/>
  <c r="AB382" i="1"/>
  <c r="AB328" i="1"/>
  <c r="AB274" i="1"/>
  <c r="AB220" i="1"/>
  <c r="AB166" i="1"/>
  <c r="AB94" i="1"/>
  <c r="AB58" i="1"/>
  <c r="V1157" i="1"/>
  <c r="W1157" i="1" s="1"/>
  <c r="S1049" i="1"/>
  <c r="V1049" i="1"/>
  <c r="W1049" i="1" s="1"/>
  <c r="V833" i="1"/>
  <c r="W833" i="1" s="1"/>
  <c r="V617" i="1"/>
  <c r="W617" i="1" s="1"/>
  <c r="V527" i="1"/>
  <c r="W527" i="1" s="1"/>
  <c r="V419" i="1"/>
  <c r="W419" i="1" s="1"/>
  <c r="V203" i="1"/>
  <c r="W203" i="1" s="1"/>
  <c r="S167" i="1"/>
  <c r="V167" i="1"/>
  <c r="W167" i="1" s="1"/>
  <c r="V113" i="1"/>
  <c r="W113" i="1" s="1"/>
  <c r="V23" i="1"/>
  <c r="W23" i="1" s="1"/>
  <c r="AB885" i="1"/>
  <c r="AB831" i="1"/>
  <c r="AB777" i="1"/>
  <c r="AB615" i="1"/>
  <c r="AB561" i="1"/>
  <c r="AB399" i="1"/>
  <c r="AB327" i="1"/>
  <c r="AB57" i="1"/>
  <c r="V1120" i="1"/>
  <c r="W1120" i="1" s="1"/>
  <c r="V1066" i="1"/>
  <c r="W1066" i="1" s="1"/>
  <c r="V1012" i="1"/>
  <c r="W1012" i="1" s="1"/>
  <c r="V958" i="1"/>
  <c r="W958" i="1" s="1"/>
  <c r="V904" i="1"/>
  <c r="W904" i="1" s="1"/>
  <c r="V850" i="1"/>
  <c r="W850" i="1" s="1"/>
  <c r="V796" i="1"/>
  <c r="W796" i="1" s="1"/>
  <c r="V760" i="1"/>
  <c r="W760" i="1" s="1"/>
  <c r="V706" i="1"/>
  <c r="W706" i="1" s="1"/>
  <c r="V652" i="1"/>
  <c r="W652" i="1" s="1"/>
  <c r="V598" i="1"/>
  <c r="W598" i="1" s="1"/>
  <c r="V526" i="1"/>
  <c r="W526" i="1" s="1"/>
  <c r="V472" i="1"/>
  <c r="W472" i="1" s="1"/>
  <c r="V418" i="1"/>
  <c r="W418" i="1" s="1"/>
  <c r="V364" i="1"/>
  <c r="W364" i="1" s="1"/>
  <c r="V292" i="1"/>
  <c r="W292" i="1" s="1"/>
  <c r="V238" i="1"/>
  <c r="W238" i="1" s="1"/>
  <c r="V184" i="1"/>
  <c r="W184" i="1" s="1"/>
  <c r="V130" i="1"/>
  <c r="W130" i="1" s="1"/>
  <c r="V76" i="1"/>
  <c r="W76" i="1" s="1"/>
  <c r="V22" i="1"/>
  <c r="W22" i="1" s="1"/>
  <c r="V1201" i="1"/>
  <c r="W1201" i="1" s="1"/>
  <c r="V1147" i="1"/>
  <c r="W1147" i="1" s="1"/>
  <c r="V1111" i="1"/>
  <c r="W1111" i="1" s="1"/>
  <c r="V1057" i="1"/>
  <c r="W1057" i="1" s="1"/>
  <c r="V859" i="1"/>
  <c r="W859" i="1" s="1"/>
  <c r="V805" i="1"/>
  <c r="W805" i="1" s="1"/>
  <c r="V625" i="1"/>
  <c r="W625" i="1" s="1"/>
  <c r="V589" i="1"/>
  <c r="W589" i="1" s="1"/>
  <c r="V553" i="1"/>
  <c r="W553" i="1" s="1"/>
  <c r="V391" i="1"/>
  <c r="W391" i="1" s="1"/>
  <c r="V211" i="1"/>
  <c r="W211" i="1" s="1"/>
  <c r="V67" i="1"/>
  <c r="W67" i="1" s="1"/>
  <c r="AB1081" i="1"/>
  <c r="AB955" i="1"/>
  <c r="AB829" i="1"/>
  <c r="AB595" i="1"/>
  <c r="AB559" i="1"/>
  <c r="AB343" i="1"/>
  <c r="AB127" i="1"/>
  <c r="V632" i="1"/>
  <c r="W632" i="1" s="1"/>
  <c r="V614" i="1"/>
  <c r="W614" i="1" s="1"/>
  <c r="V1013" i="1"/>
  <c r="W1013" i="1" s="1"/>
  <c r="AB1103" i="1"/>
  <c r="AB1031" i="1"/>
  <c r="AB977" i="1"/>
  <c r="AB959" i="1"/>
  <c r="AB941" i="1"/>
  <c r="AB923" i="1"/>
  <c r="AB905" i="1"/>
  <c r="AB887" i="1"/>
  <c r="AB797" i="1"/>
  <c r="AB779" i="1"/>
  <c r="AB743" i="1"/>
  <c r="AB689" i="1"/>
  <c r="AB653" i="1"/>
  <c r="AB617" i="1"/>
  <c r="AB527" i="1"/>
  <c r="AB509" i="1"/>
  <c r="AB473" i="1"/>
  <c r="AB437" i="1"/>
  <c r="AB419" i="1"/>
  <c r="AB401" i="1"/>
  <c r="AB311" i="1"/>
  <c r="AB275" i="1"/>
  <c r="AB257" i="1"/>
  <c r="AB221" i="1"/>
  <c r="AB203" i="1"/>
  <c r="AB131" i="1"/>
  <c r="AB113" i="1"/>
  <c r="AB95" i="1"/>
  <c r="AB77" i="1"/>
  <c r="AB59" i="1"/>
  <c r="AB41" i="1"/>
  <c r="V1068" i="1"/>
  <c r="W1068" i="1" s="1"/>
  <c r="S1032" i="1"/>
  <c r="V1032" i="1"/>
  <c r="W1032" i="1" s="1"/>
  <c r="V978" i="1"/>
  <c r="W978" i="1" s="1"/>
  <c r="V726" i="1"/>
  <c r="W726" i="1" s="1"/>
  <c r="S690" i="1"/>
  <c r="V690" i="1"/>
  <c r="W690" i="1" s="1"/>
  <c r="V654" i="1"/>
  <c r="W654" i="1" s="1"/>
  <c r="V582" i="1"/>
  <c r="W582" i="1" s="1"/>
  <c r="V528" i="1"/>
  <c r="W528" i="1" s="1"/>
  <c r="S438" i="1"/>
  <c r="V438" i="1"/>
  <c r="W438" i="1" s="1"/>
  <c r="V402" i="1"/>
  <c r="W402" i="1" s="1"/>
  <c r="V294" i="1"/>
  <c r="W294" i="1" s="1"/>
  <c r="V132" i="1"/>
  <c r="W132" i="1" s="1"/>
  <c r="V114" i="1"/>
  <c r="W114" i="1" s="1"/>
  <c r="V42" i="1"/>
  <c r="W42" i="1" s="1"/>
  <c r="AB1174" i="1"/>
  <c r="AB922" i="1"/>
  <c r="AB724" i="1"/>
  <c r="AB436" i="1"/>
  <c r="AB130" i="1"/>
  <c r="AB40" i="1"/>
  <c r="V653" i="1"/>
  <c r="W653" i="1" s="1"/>
  <c r="V509" i="1"/>
  <c r="W509" i="1" s="1"/>
  <c r="V401" i="1"/>
  <c r="W401" i="1" s="1"/>
  <c r="V6" i="1"/>
  <c r="W6" i="1" s="1"/>
  <c r="AB1029" i="1"/>
  <c r="AB957" i="1"/>
  <c r="AB903" i="1"/>
  <c r="AB741" i="1"/>
  <c r="AB687" i="1"/>
  <c r="AB471" i="1"/>
  <c r="AB363" i="1"/>
  <c r="AB255" i="1"/>
  <c r="AB147" i="1"/>
  <c r="AB93" i="1"/>
  <c r="AB39" i="1"/>
  <c r="V1192" i="1"/>
  <c r="W1192" i="1" s="1"/>
  <c r="V1138" i="1"/>
  <c r="W1138" i="1" s="1"/>
  <c r="V1084" i="1"/>
  <c r="W1084" i="1" s="1"/>
  <c r="V1030" i="1"/>
  <c r="W1030" i="1" s="1"/>
  <c r="V976" i="1"/>
  <c r="W976" i="1" s="1"/>
  <c r="V922" i="1"/>
  <c r="W922" i="1" s="1"/>
  <c r="V868" i="1"/>
  <c r="W868" i="1" s="1"/>
  <c r="V832" i="1"/>
  <c r="W832" i="1" s="1"/>
  <c r="V778" i="1"/>
  <c r="W778" i="1" s="1"/>
  <c r="V688" i="1"/>
  <c r="W688" i="1" s="1"/>
  <c r="V616" i="1"/>
  <c r="W616" i="1" s="1"/>
  <c r="V562" i="1"/>
  <c r="W562" i="1" s="1"/>
  <c r="V508" i="1"/>
  <c r="W508" i="1" s="1"/>
  <c r="V436" i="1"/>
  <c r="W436" i="1" s="1"/>
  <c r="V382" i="1"/>
  <c r="W382" i="1" s="1"/>
  <c r="V328" i="1"/>
  <c r="W328" i="1" s="1"/>
  <c r="V202" i="1"/>
  <c r="W202" i="1" s="1"/>
  <c r="V148" i="1"/>
  <c r="W148" i="1" s="1"/>
  <c r="V112" i="1"/>
  <c r="W112" i="1" s="1"/>
  <c r="V5" i="1"/>
  <c r="W5" i="1" s="1"/>
  <c r="V1129" i="1"/>
  <c r="W1129" i="1" s="1"/>
  <c r="V913" i="1"/>
  <c r="W913" i="1" s="1"/>
  <c r="V787" i="1"/>
  <c r="W787" i="1" s="1"/>
  <c r="V715" i="1"/>
  <c r="W715" i="1" s="1"/>
  <c r="V697" i="1"/>
  <c r="W697" i="1" s="1"/>
  <c r="V571" i="1"/>
  <c r="W571" i="1" s="1"/>
  <c r="V499" i="1"/>
  <c r="W499" i="1" s="1"/>
  <c r="V445" i="1"/>
  <c r="W445" i="1" s="1"/>
  <c r="V247" i="1"/>
  <c r="W247" i="1" s="1"/>
  <c r="V85" i="1"/>
  <c r="W85" i="1" s="1"/>
  <c r="V31" i="1"/>
  <c r="W31" i="1" s="1"/>
  <c r="V744" i="1"/>
  <c r="W744" i="1" s="1"/>
  <c r="V149" i="1"/>
  <c r="W149" i="1" s="1"/>
  <c r="AB902" i="1"/>
  <c r="AB848" i="1"/>
  <c r="AB794" i="1"/>
  <c r="AB740" i="1"/>
  <c r="AB686" i="1"/>
  <c r="AB470" i="1"/>
  <c r="AB362" i="1"/>
  <c r="AB254" i="1"/>
  <c r="AB182" i="1"/>
  <c r="V1173" i="1"/>
  <c r="W1173" i="1" s="1"/>
  <c r="V1119" i="1"/>
  <c r="W1119" i="1" s="1"/>
  <c r="V1065" i="1"/>
  <c r="W1065" i="1" s="1"/>
  <c r="V1011" i="1"/>
  <c r="W1011" i="1" s="1"/>
  <c r="V957" i="1"/>
  <c r="W957" i="1" s="1"/>
  <c r="V849" i="1"/>
  <c r="W849" i="1" s="1"/>
  <c r="V813" i="1"/>
  <c r="W813" i="1" s="1"/>
  <c r="V759" i="1"/>
  <c r="W759" i="1" s="1"/>
  <c r="V705" i="1"/>
  <c r="W705" i="1" s="1"/>
  <c r="V651" i="1"/>
  <c r="W651" i="1" s="1"/>
  <c r="V597" i="1"/>
  <c r="W597" i="1" s="1"/>
  <c r="V561" i="1"/>
  <c r="W561" i="1" s="1"/>
  <c r="V507" i="1"/>
  <c r="W507" i="1" s="1"/>
  <c r="V471" i="1"/>
  <c r="W471" i="1" s="1"/>
  <c r="V417" i="1"/>
  <c r="W417" i="1" s="1"/>
  <c r="V363" i="1"/>
  <c r="W363" i="1" s="1"/>
  <c r="V309" i="1"/>
  <c r="W309" i="1" s="1"/>
  <c r="V237" i="1"/>
  <c r="W237" i="1" s="1"/>
  <c r="V147" i="1"/>
  <c r="W147" i="1" s="1"/>
  <c r="V39" i="1"/>
  <c r="W39" i="1" s="1"/>
  <c r="V4" i="1"/>
  <c r="W4" i="1" s="1"/>
  <c r="V552" i="1"/>
  <c r="W552" i="1" s="1"/>
  <c r="V336" i="1"/>
  <c r="W336" i="1" s="1"/>
  <c r="V246" i="1"/>
  <c r="W246" i="1" s="1"/>
  <c r="V84" i="1"/>
  <c r="W84" i="1" s="1"/>
  <c r="L41" i="1"/>
  <c r="L1120" i="1"/>
  <c r="L609" i="1"/>
  <c r="L451" i="1"/>
  <c r="L357" i="1"/>
  <c r="AB865" i="1"/>
  <c r="AB775" i="1"/>
  <c r="AB703" i="1"/>
  <c r="AB685" i="1"/>
  <c r="AB613" i="1"/>
  <c r="AB397" i="1"/>
  <c r="AB325" i="1"/>
  <c r="AB253" i="1"/>
  <c r="AB181" i="1"/>
  <c r="V1136" i="1"/>
  <c r="W1136" i="1" s="1"/>
  <c r="V1064" i="1"/>
  <c r="W1064" i="1" s="1"/>
  <c r="V974" i="1"/>
  <c r="W974" i="1" s="1"/>
  <c r="V920" i="1"/>
  <c r="W920" i="1" s="1"/>
  <c r="V848" i="1"/>
  <c r="W848" i="1" s="1"/>
  <c r="V812" i="1"/>
  <c r="W812" i="1" s="1"/>
  <c r="V650" i="1"/>
  <c r="W650" i="1" s="1"/>
  <c r="V578" i="1"/>
  <c r="W578" i="1" s="1"/>
  <c r="V542" i="1"/>
  <c r="W542" i="1" s="1"/>
  <c r="V488" i="1"/>
  <c r="W488" i="1" s="1"/>
  <c r="V398" i="1"/>
  <c r="W398" i="1" s="1"/>
  <c r="V326" i="1"/>
  <c r="W326" i="1" s="1"/>
  <c r="L68" i="1"/>
  <c r="L1063" i="1"/>
  <c r="L1037" i="1"/>
  <c r="L1010" i="1"/>
  <c r="L959" i="1"/>
  <c r="L937" i="1"/>
  <c r="L877" i="1"/>
  <c r="L853" i="1"/>
  <c r="L822" i="1"/>
  <c r="L761" i="1"/>
  <c r="L708" i="1"/>
  <c r="L608" i="1"/>
  <c r="L505" i="1"/>
  <c r="L475" i="1"/>
  <c r="L450" i="1"/>
  <c r="L356" i="1"/>
  <c r="L241" i="1"/>
  <c r="L181" i="1"/>
  <c r="L132" i="1"/>
  <c r="AB884" i="1"/>
  <c r="AB830" i="1"/>
  <c r="AB776" i="1"/>
  <c r="AB722" i="1"/>
  <c r="AB668" i="1"/>
  <c r="AB614" i="1"/>
  <c r="AB398" i="1"/>
  <c r="AB344" i="1"/>
  <c r="AB38" i="1"/>
  <c r="V1191" i="1"/>
  <c r="W1191" i="1" s="1"/>
  <c r="V1155" i="1"/>
  <c r="W1155" i="1" s="1"/>
  <c r="V1101" i="1"/>
  <c r="W1101" i="1" s="1"/>
  <c r="V1047" i="1"/>
  <c r="W1047" i="1" s="1"/>
  <c r="V993" i="1"/>
  <c r="W993" i="1" s="1"/>
  <c r="V939" i="1"/>
  <c r="W939" i="1" s="1"/>
  <c r="V885" i="1"/>
  <c r="W885" i="1" s="1"/>
  <c r="V831" i="1"/>
  <c r="W831" i="1" s="1"/>
  <c r="V777" i="1"/>
  <c r="W777" i="1" s="1"/>
  <c r="V669" i="1"/>
  <c r="W669" i="1" s="1"/>
  <c r="V615" i="1"/>
  <c r="W615" i="1" s="1"/>
  <c r="V579" i="1"/>
  <c r="W579" i="1" s="1"/>
  <c r="V525" i="1"/>
  <c r="W525" i="1" s="1"/>
  <c r="V453" i="1"/>
  <c r="W453" i="1" s="1"/>
  <c r="V399" i="1"/>
  <c r="W399" i="1" s="1"/>
  <c r="V345" i="1"/>
  <c r="W345" i="1" s="1"/>
  <c r="V291" i="1"/>
  <c r="W291" i="1" s="1"/>
  <c r="V129" i="1"/>
  <c r="W129" i="1" s="1"/>
  <c r="V75" i="1"/>
  <c r="W75" i="1" s="1"/>
  <c r="V21" i="1"/>
  <c r="W21" i="1" s="1"/>
  <c r="V1182" i="1"/>
  <c r="W1182" i="1" s="1"/>
  <c r="V1128" i="1"/>
  <c r="W1128" i="1" s="1"/>
  <c r="V1092" i="1"/>
  <c r="W1092" i="1" s="1"/>
  <c r="V966" i="1"/>
  <c r="W966" i="1" s="1"/>
  <c r="V930" i="1"/>
  <c r="W930" i="1" s="1"/>
  <c r="V840" i="1"/>
  <c r="W840" i="1" s="1"/>
  <c r="V804" i="1"/>
  <c r="W804" i="1" s="1"/>
  <c r="V732" i="1"/>
  <c r="W732" i="1" s="1"/>
  <c r="V444" i="1"/>
  <c r="W444" i="1" s="1"/>
  <c r="V390" i="1"/>
  <c r="W390" i="1" s="1"/>
  <c r="V282" i="1"/>
  <c r="W282" i="1" s="1"/>
  <c r="L12" i="1"/>
  <c r="L1154" i="1"/>
  <c r="L1011" i="1"/>
  <c r="L910" i="1"/>
  <c r="L823" i="1"/>
  <c r="L631" i="1"/>
  <c r="L416" i="1"/>
  <c r="AB883" i="1"/>
  <c r="AB649" i="1"/>
  <c r="AB577" i="1"/>
  <c r="AB469" i="1"/>
  <c r="AB361" i="1"/>
  <c r="AB145" i="1"/>
  <c r="V1190" i="1"/>
  <c r="W1190" i="1" s="1"/>
  <c r="V1154" i="1"/>
  <c r="W1154" i="1" s="1"/>
  <c r="V1100" i="1"/>
  <c r="W1100" i="1" s="1"/>
  <c r="V1046" i="1"/>
  <c r="W1046" i="1" s="1"/>
  <c r="V992" i="1"/>
  <c r="W992" i="1" s="1"/>
  <c r="V938" i="1"/>
  <c r="W938" i="1" s="1"/>
  <c r="V884" i="1"/>
  <c r="W884" i="1" s="1"/>
  <c r="V866" i="1"/>
  <c r="W866" i="1" s="1"/>
  <c r="V776" i="1"/>
  <c r="W776" i="1" s="1"/>
  <c r="V740" i="1"/>
  <c r="W740" i="1" s="1"/>
  <c r="V704" i="1"/>
  <c r="W704" i="1" s="1"/>
  <c r="V686" i="1"/>
  <c r="W686" i="1" s="1"/>
  <c r="V560" i="1"/>
  <c r="W560" i="1" s="1"/>
  <c r="V506" i="1"/>
  <c r="W506" i="1" s="1"/>
  <c r="V434" i="1"/>
  <c r="W434" i="1" s="1"/>
  <c r="V416" i="1"/>
  <c r="W416" i="1" s="1"/>
  <c r="V380" i="1"/>
  <c r="W380" i="1" s="1"/>
  <c r="V344" i="1"/>
  <c r="W344" i="1" s="1"/>
  <c r="V308" i="1"/>
  <c r="W308" i="1" s="1"/>
  <c r="V236" i="1"/>
  <c r="W236" i="1" s="1"/>
  <c r="L155" i="1"/>
  <c r="AB468" i="1"/>
  <c r="AB396" i="1"/>
  <c r="AB324" i="1"/>
  <c r="AB252" i="1"/>
  <c r="AB180" i="1"/>
  <c r="AB108" i="1"/>
  <c r="V865" i="1"/>
  <c r="W865" i="1" s="1"/>
  <c r="L92" i="1"/>
  <c r="L1087" i="1"/>
  <c r="L1062" i="1"/>
  <c r="L977" i="1"/>
  <c r="L936" i="1"/>
  <c r="L906" i="1"/>
  <c r="L876" i="1"/>
  <c r="L821" i="1"/>
  <c r="L760" i="1"/>
  <c r="L734" i="1"/>
  <c r="L707" i="1"/>
  <c r="L607" i="1"/>
  <c r="L474" i="1"/>
  <c r="L414" i="1"/>
  <c r="L385" i="1"/>
  <c r="L296" i="1"/>
  <c r="L267" i="1"/>
  <c r="L212" i="1"/>
  <c r="L180" i="1"/>
  <c r="AB866" i="1"/>
  <c r="AB812" i="1"/>
  <c r="AB758" i="1"/>
  <c r="AB704" i="1"/>
  <c r="AB596" i="1"/>
  <c r="AB542" i="1"/>
  <c r="AB488" i="1"/>
  <c r="AB380" i="1"/>
  <c r="AB326" i="1"/>
  <c r="AB110" i="1"/>
  <c r="AB56" i="1"/>
  <c r="V1137" i="1"/>
  <c r="W1137" i="1" s="1"/>
  <c r="V1083" i="1"/>
  <c r="W1083" i="1" s="1"/>
  <c r="V1029" i="1"/>
  <c r="W1029" i="1" s="1"/>
  <c r="V975" i="1"/>
  <c r="W975" i="1" s="1"/>
  <c r="V921" i="1"/>
  <c r="W921" i="1" s="1"/>
  <c r="V867" i="1"/>
  <c r="W867" i="1" s="1"/>
  <c r="V795" i="1"/>
  <c r="W795" i="1" s="1"/>
  <c r="V741" i="1"/>
  <c r="W741" i="1" s="1"/>
  <c r="V687" i="1"/>
  <c r="W687" i="1" s="1"/>
  <c r="V633" i="1"/>
  <c r="W633" i="1" s="1"/>
  <c r="V543" i="1"/>
  <c r="W543" i="1" s="1"/>
  <c r="V489" i="1"/>
  <c r="W489" i="1" s="1"/>
  <c r="V435" i="1"/>
  <c r="W435" i="1" s="1"/>
  <c r="V381" i="1"/>
  <c r="W381" i="1" s="1"/>
  <c r="V183" i="1"/>
  <c r="W183" i="1" s="1"/>
  <c r="V111" i="1"/>
  <c r="W111" i="1" s="1"/>
  <c r="V1200" i="1"/>
  <c r="W1200" i="1" s="1"/>
  <c r="V1074" i="1"/>
  <c r="W1074" i="1" s="1"/>
  <c r="V858" i="1"/>
  <c r="W858" i="1" s="1"/>
  <c r="V498" i="1"/>
  <c r="W498" i="1" s="1"/>
  <c r="V228" i="1"/>
  <c r="W228" i="1" s="1"/>
  <c r="V138" i="1"/>
  <c r="W138" i="1" s="1"/>
  <c r="L142" i="1"/>
  <c r="L178" i="1"/>
  <c r="L196" i="1"/>
  <c r="L214" i="1"/>
  <c r="L232" i="1"/>
  <c r="L250" i="1"/>
  <c r="L268" i="1"/>
  <c r="L286" i="1"/>
  <c r="L304" i="1"/>
  <c r="L322" i="1"/>
  <c r="L340" i="1"/>
  <c r="L358" i="1"/>
  <c r="L376" i="1"/>
  <c r="L412" i="1"/>
  <c r="L430" i="1"/>
  <c r="L448" i="1"/>
  <c r="L466" i="1"/>
  <c r="L484" i="1"/>
  <c r="L538" i="1"/>
  <c r="L556" i="1"/>
  <c r="L574" i="1"/>
  <c r="L592" i="1"/>
  <c r="L628" i="1"/>
  <c r="L664" i="1"/>
  <c r="L700" i="1"/>
  <c r="L718" i="1"/>
  <c r="L736" i="1"/>
  <c r="L754" i="1"/>
  <c r="L790" i="1"/>
  <c r="L808" i="1"/>
  <c r="L826" i="1"/>
  <c r="L125" i="1"/>
  <c r="L143" i="1"/>
  <c r="L161" i="1"/>
  <c r="L197" i="1"/>
  <c r="L215" i="1"/>
  <c r="L233" i="1"/>
  <c r="L269" i="1"/>
  <c r="L287" i="1"/>
  <c r="L305" i="1"/>
  <c r="L359" i="1"/>
  <c r="L377" i="1"/>
  <c r="L413" i="1"/>
  <c r="L431" i="1"/>
  <c r="L467" i="1"/>
  <c r="L485" i="1"/>
  <c r="L503" i="1"/>
  <c r="L521" i="1"/>
  <c r="L557" i="1"/>
  <c r="L575" i="1"/>
  <c r="L593" i="1"/>
  <c r="L647" i="1"/>
  <c r="L665" i="1"/>
  <c r="L719" i="1"/>
  <c r="L755" i="1"/>
  <c r="L773" i="1"/>
  <c r="L791" i="1"/>
  <c r="L809" i="1"/>
  <c r="L827" i="1"/>
  <c r="L845" i="1"/>
  <c r="L863" i="1"/>
  <c r="L881" i="1"/>
  <c r="L899" i="1"/>
  <c r="L917" i="1"/>
  <c r="L935" i="1"/>
  <c r="L953" i="1"/>
  <c r="L989" i="1"/>
  <c r="L1007" i="1"/>
  <c r="L1025" i="1"/>
  <c r="L1061" i="1"/>
  <c r="L1079" i="1"/>
  <c r="L1115" i="1"/>
  <c r="L1151" i="1"/>
  <c r="L1187" i="1"/>
  <c r="L6" i="1"/>
  <c r="L24" i="1"/>
  <c r="L42" i="1"/>
  <c r="L60" i="1"/>
  <c r="L78" i="1"/>
  <c r="L96" i="1"/>
  <c r="L114" i="1"/>
  <c r="L145" i="1"/>
  <c r="L183" i="1"/>
  <c r="L203" i="1"/>
  <c r="L223" i="1"/>
  <c r="L282" i="1"/>
  <c r="L302" i="1"/>
  <c r="L382" i="1"/>
  <c r="L400" i="1"/>
  <c r="L420" i="1"/>
  <c r="L440" i="1"/>
  <c r="L479" i="1"/>
  <c r="L518" i="1"/>
  <c r="L558" i="1"/>
  <c r="L635" i="1"/>
  <c r="L654" i="1"/>
  <c r="L674" i="1"/>
  <c r="L692" i="1"/>
  <c r="L711" i="1"/>
  <c r="L731" i="1"/>
  <c r="L750" i="1"/>
  <c r="L770" i="1"/>
  <c r="L811" i="1"/>
  <c r="L831" i="1"/>
  <c r="L888" i="1"/>
  <c r="L907" i="1"/>
  <c r="L926" i="1"/>
  <c r="L982" i="1"/>
  <c r="L1001" i="1"/>
  <c r="L1020" i="1"/>
  <c r="L1095" i="1"/>
  <c r="L1113" i="1"/>
  <c r="L1132" i="1"/>
  <c r="L1150" i="1"/>
  <c r="L1188" i="1"/>
  <c r="L8" i="1"/>
  <c r="L27" i="1"/>
  <c r="L46" i="1"/>
  <c r="L65" i="1"/>
  <c r="L103" i="1"/>
  <c r="L122" i="1"/>
  <c r="L126" i="1"/>
  <c r="L204" i="1"/>
  <c r="L224" i="1"/>
  <c r="L244" i="1"/>
  <c r="L263" i="1"/>
  <c r="L303" i="1"/>
  <c r="L324" i="1"/>
  <c r="L343" i="1"/>
  <c r="L363" i="1"/>
  <c r="L383" i="1"/>
  <c r="L401" i="1"/>
  <c r="L441" i="1"/>
  <c r="L460" i="1"/>
  <c r="L480" i="1"/>
  <c r="L559" i="1"/>
  <c r="L579" i="1"/>
  <c r="L617" i="1"/>
  <c r="L636" i="1"/>
  <c r="L655" i="1"/>
  <c r="L771" i="1"/>
  <c r="L792" i="1"/>
  <c r="L812" i="1"/>
  <c r="L832" i="1"/>
  <c r="L851" i="1"/>
  <c r="L927" i="1"/>
  <c r="L946" i="1"/>
  <c r="L1002" i="1"/>
  <c r="L1021" i="1"/>
  <c r="L1077" i="1"/>
  <c r="L1152" i="1"/>
  <c r="L1170" i="1"/>
  <c r="L1189" i="1"/>
  <c r="L9" i="1"/>
  <c r="L28" i="1"/>
  <c r="L47" i="1"/>
  <c r="L85" i="1"/>
  <c r="L104" i="1"/>
  <c r="L166" i="1"/>
  <c r="L185" i="1"/>
  <c r="L205" i="1"/>
  <c r="L245" i="1"/>
  <c r="L306" i="1"/>
  <c r="L344" i="1"/>
  <c r="L384" i="1"/>
  <c r="L402" i="1"/>
  <c r="L422" i="1"/>
  <c r="L442" i="1"/>
  <c r="L461" i="1"/>
  <c r="L481" i="1"/>
  <c r="L501" i="1"/>
  <c r="L540" i="1"/>
  <c r="L560" i="1"/>
  <c r="L580" i="1"/>
  <c r="L600" i="1"/>
  <c r="L637" i="1"/>
  <c r="L656" i="1"/>
  <c r="L713" i="1"/>
  <c r="L733" i="1"/>
  <c r="L793" i="1"/>
  <c r="L813" i="1"/>
  <c r="L833" i="1"/>
  <c r="L852" i="1"/>
  <c r="L890" i="1"/>
  <c r="L909" i="1"/>
  <c r="L928" i="1"/>
  <c r="L1003" i="1"/>
  <c r="L1022" i="1"/>
  <c r="L1041" i="1"/>
  <c r="L1059" i="1"/>
  <c r="L1078" i="1"/>
  <c r="L1134" i="1"/>
  <c r="L1153" i="1"/>
  <c r="L1171" i="1"/>
  <c r="L1190" i="1"/>
  <c r="L10" i="1"/>
  <c r="L67" i="1"/>
  <c r="L86" i="1"/>
  <c r="L105" i="1"/>
  <c r="L129" i="1"/>
  <c r="L187" i="1"/>
  <c r="L266" i="1"/>
  <c r="L288" i="1"/>
  <c r="L308" i="1"/>
  <c r="L327" i="1"/>
  <c r="L386" i="1"/>
  <c r="L424" i="1"/>
  <c r="L444" i="1"/>
  <c r="L463" i="1"/>
  <c r="L190" i="1"/>
  <c r="L213" i="1"/>
  <c r="L258" i="1"/>
  <c r="L280" i="1"/>
  <c r="L329" i="1"/>
  <c r="L350" i="1"/>
  <c r="L371" i="1"/>
  <c r="L418" i="1"/>
  <c r="L445" i="1"/>
  <c r="L469" i="1"/>
  <c r="L492" i="1"/>
  <c r="L512" i="1"/>
  <c r="L577" i="1"/>
  <c r="L641" i="1"/>
  <c r="L704" i="1"/>
  <c r="L747" i="1"/>
  <c r="L768" i="1"/>
  <c r="L816" i="1"/>
  <c r="L860" i="1"/>
  <c r="L879" i="1"/>
  <c r="L901" i="1"/>
  <c r="L922" i="1"/>
  <c r="L1005" i="1"/>
  <c r="L1028" i="1"/>
  <c r="L1067" i="1"/>
  <c r="L1088" i="1"/>
  <c r="L1107" i="1"/>
  <c r="L1127" i="1"/>
  <c r="L1147" i="1"/>
  <c r="L1193" i="1"/>
  <c r="L16" i="1"/>
  <c r="L37" i="1"/>
  <c r="L101" i="1"/>
  <c r="L169" i="1"/>
  <c r="L191" i="1"/>
  <c r="L238" i="1"/>
  <c r="L259" i="1"/>
  <c r="L281" i="1"/>
  <c r="L309" i="1"/>
  <c r="L351" i="1"/>
  <c r="L396" i="1"/>
  <c r="L419" i="1"/>
  <c r="L446" i="1"/>
  <c r="L513" i="1"/>
  <c r="L533" i="1"/>
  <c r="L620" i="1"/>
  <c r="L727" i="1"/>
  <c r="L769" i="1"/>
  <c r="L817" i="1"/>
  <c r="L840" i="1"/>
  <c r="L861" i="1"/>
  <c r="L880" i="1"/>
  <c r="L902" i="1"/>
  <c r="L923" i="1"/>
  <c r="L1006" i="1"/>
  <c r="L1048" i="1"/>
  <c r="L1068" i="1"/>
  <c r="L1089" i="1"/>
  <c r="L1108" i="1"/>
  <c r="L1128" i="1"/>
  <c r="L1148" i="1"/>
  <c r="L1172" i="1"/>
  <c r="L1194" i="1"/>
  <c r="L17" i="1"/>
  <c r="L38" i="1"/>
  <c r="L59" i="1"/>
  <c r="L81" i="1"/>
  <c r="L102" i="1"/>
  <c r="L128" i="1"/>
  <c r="L150" i="1"/>
  <c r="L170" i="1"/>
  <c r="L192" i="1"/>
  <c r="L310" i="1"/>
  <c r="L331" i="1"/>
  <c r="L352" i="1"/>
  <c r="L397" i="1"/>
  <c r="L494" i="1"/>
  <c r="L514" i="1"/>
  <c r="L534" i="1"/>
  <c r="L554" i="1"/>
  <c r="L581" i="1"/>
  <c r="L602" i="1"/>
  <c r="L643" i="1"/>
  <c r="L667" i="1"/>
  <c r="L686" i="1"/>
  <c r="L706" i="1"/>
  <c r="L728" i="1"/>
  <c r="L795" i="1"/>
  <c r="L818" i="1"/>
  <c r="L841" i="1"/>
  <c r="L862" i="1"/>
  <c r="L882" i="1"/>
  <c r="L903" i="1"/>
  <c r="L924" i="1"/>
  <c r="L1008" i="1"/>
  <c r="L1030" i="1"/>
  <c r="L1049" i="1"/>
  <c r="L1090" i="1"/>
  <c r="L1109" i="1"/>
  <c r="L1173" i="1"/>
  <c r="L1195" i="1"/>
  <c r="L18" i="1"/>
  <c r="L61" i="1"/>
  <c r="L82" i="1"/>
  <c r="L106" i="1"/>
  <c r="L172" i="1"/>
  <c r="L199" i="1"/>
  <c r="L273" i="1"/>
  <c r="L349" i="1"/>
  <c r="L374" i="1"/>
  <c r="L403" i="1"/>
  <c r="L455" i="1"/>
  <c r="L482" i="1"/>
  <c r="L506" i="1"/>
  <c r="L529" i="1"/>
  <c r="L623" i="1"/>
  <c r="L672" i="1"/>
  <c r="L741" i="1"/>
  <c r="L786" i="1"/>
  <c r="L814" i="1"/>
  <c r="L842" i="1"/>
  <c r="L867" i="1"/>
  <c r="L891" i="1"/>
  <c r="L915" i="1"/>
  <c r="L941" i="1"/>
  <c r="L961" i="1"/>
  <c r="L979" i="1"/>
  <c r="L1051" i="1"/>
  <c r="L1073" i="1"/>
  <c r="L1098" i="1"/>
  <c r="L1121" i="1"/>
  <c r="L1143" i="1"/>
  <c r="L1196" i="1"/>
  <c r="L22" i="1"/>
  <c r="L94" i="1"/>
  <c r="L120" i="1"/>
  <c r="L175" i="1"/>
  <c r="L433" i="1"/>
  <c r="L651" i="1"/>
  <c r="L744" i="1"/>
  <c r="L919" i="1"/>
  <c r="L1033" i="1"/>
  <c r="L1199" i="1"/>
  <c r="L98" i="1"/>
  <c r="L200" i="1"/>
  <c r="L226" i="1"/>
  <c r="L249" i="1"/>
  <c r="L274" i="1"/>
  <c r="L429" i="1"/>
  <c r="L604" i="1"/>
  <c r="L649" i="1"/>
  <c r="L673" i="1"/>
  <c r="L742" i="1"/>
  <c r="L764" i="1"/>
  <c r="L787" i="1"/>
  <c r="L815" i="1"/>
  <c r="L843" i="1"/>
  <c r="L868" i="1"/>
  <c r="L942" i="1"/>
  <c r="L980" i="1"/>
  <c r="L1000" i="1"/>
  <c r="L1031" i="1"/>
  <c r="L1099" i="1"/>
  <c r="L1122" i="1"/>
  <c r="L1168" i="1"/>
  <c r="L1197" i="1"/>
  <c r="L23" i="1"/>
  <c r="L49" i="1"/>
  <c r="L95" i="1"/>
  <c r="L153" i="1"/>
  <c r="L487" i="1"/>
  <c r="L606" i="1"/>
  <c r="L721" i="1"/>
  <c r="L1054" i="1"/>
  <c r="L1101" i="1"/>
  <c r="L1174" i="1"/>
  <c r="L51" i="1"/>
  <c r="L130" i="1"/>
  <c r="L174" i="1"/>
  <c r="L328" i="1"/>
  <c r="L378" i="1"/>
  <c r="L405" i="1"/>
  <c r="L432" i="1"/>
  <c r="L486" i="1"/>
  <c r="L605" i="1"/>
  <c r="L650" i="1"/>
  <c r="L765" i="1"/>
  <c r="L819" i="1"/>
  <c r="L844" i="1"/>
  <c r="L893" i="1"/>
  <c r="L981" i="1"/>
  <c r="L1004" i="1"/>
  <c r="L1032" i="1"/>
  <c r="L1053" i="1"/>
  <c r="L1075" i="1"/>
  <c r="L1100" i="1"/>
  <c r="L1123" i="1"/>
  <c r="L1145" i="1"/>
  <c r="L1198" i="1"/>
  <c r="L73" i="1"/>
  <c r="L131" i="1"/>
  <c r="L202" i="1"/>
  <c r="L228" i="1"/>
  <c r="L252" i="1"/>
  <c r="L276" i="1"/>
  <c r="L300" i="1"/>
  <c r="L355" i="1"/>
  <c r="L379" i="1"/>
  <c r="L406" i="1"/>
  <c r="L509" i="1"/>
  <c r="L696" i="1"/>
  <c r="L1124" i="1"/>
  <c r="L26" i="1"/>
  <c r="L74" i="1"/>
  <c r="L69" i="1"/>
  <c r="L1178" i="1"/>
  <c r="L1064" i="1"/>
  <c r="L938" i="1"/>
  <c r="L242" i="1"/>
  <c r="AB721" i="1"/>
  <c r="AB541" i="1"/>
  <c r="AB109" i="1"/>
  <c r="V1172" i="1"/>
  <c r="W1172" i="1" s="1"/>
  <c r="V1118" i="1"/>
  <c r="W1118" i="1" s="1"/>
  <c r="V1082" i="1"/>
  <c r="W1082" i="1" s="1"/>
  <c r="V1028" i="1"/>
  <c r="W1028" i="1" s="1"/>
  <c r="V956" i="1"/>
  <c r="W956" i="1" s="1"/>
  <c r="V902" i="1"/>
  <c r="W902" i="1" s="1"/>
  <c r="V830" i="1"/>
  <c r="W830" i="1" s="1"/>
  <c r="V794" i="1"/>
  <c r="W794" i="1" s="1"/>
  <c r="V758" i="1"/>
  <c r="W758" i="1" s="1"/>
  <c r="V668" i="1"/>
  <c r="W668" i="1" s="1"/>
  <c r="V596" i="1"/>
  <c r="W596" i="1" s="1"/>
  <c r="V524" i="1"/>
  <c r="W524" i="1" s="1"/>
  <c r="V452" i="1"/>
  <c r="W452" i="1" s="1"/>
  <c r="V290" i="1"/>
  <c r="W290" i="1" s="1"/>
  <c r="V272" i="1"/>
  <c r="W272" i="1" s="1"/>
  <c r="L735" i="1"/>
  <c r="AB863" i="1"/>
  <c r="AB395" i="1"/>
  <c r="AB251" i="1"/>
  <c r="AB179" i="1"/>
  <c r="AB107" i="1"/>
  <c r="L91" i="1"/>
  <c r="L64" i="1"/>
  <c r="L5" i="1"/>
  <c r="L1175" i="1"/>
  <c r="L1117" i="1"/>
  <c r="L1086" i="1"/>
  <c r="L1060" i="1"/>
  <c r="L976" i="1"/>
  <c r="L957" i="1"/>
  <c r="L934" i="1"/>
  <c r="L875" i="1"/>
  <c r="L849" i="1"/>
  <c r="L784" i="1"/>
  <c r="L658" i="1"/>
  <c r="L473" i="1"/>
  <c r="L411" i="1"/>
  <c r="L381" i="1"/>
  <c r="L295" i="1"/>
  <c r="V182" i="1"/>
  <c r="W182" i="1" s="1"/>
  <c r="V92" i="1"/>
  <c r="W92" i="1" s="1"/>
  <c r="V38" i="1"/>
  <c r="W38" i="1" s="1"/>
  <c r="V1127" i="1"/>
  <c r="W1127" i="1" s="1"/>
  <c r="V1073" i="1"/>
  <c r="W1073" i="1" s="1"/>
  <c r="V677" i="1"/>
  <c r="W677" i="1" s="1"/>
  <c r="V641" i="1"/>
  <c r="W641" i="1" s="1"/>
  <c r="V533" i="1"/>
  <c r="W533" i="1" s="1"/>
  <c r="V443" i="1"/>
  <c r="W443" i="1" s="1"/>
  <c r="V353" i="1"/>
  <c r="W353" i="1" s="1"/>
  <c r="AB1098" i="1"/>
  <c r="AB1080" i="1"/>
  <c r="AB1062" i="1"/>
  <c r="AB1044" i="1"/>
  <c r="AB1026" i="1"/>
  <c r="AB1008" i="1"/>
  <c r="AB990" i="1"/>
  <c r="AB972" i="1"/>
  <c r="AB954" i="1"/>
  <c r="AB936" i="1"/>
  <c r="AB918" i="1"/>
  <c r="AB900" i="1"/>
  <c r="AB882" i="1"/>
  <c r="AB864" i="1"/>
  <c r="AB846" i="1"/>
  <c r="AB828" i="1"/>
  <c r="AB810" i="1"/>
  <c r="AB792" i="1"/>
  <c r="AB774" i="1"/>
  <c r="AB756" i="1"/>
  <c r="AB738" i="1"/>
  <c r="AB720" i="1"/>
  <c r="AB702" i="1"/>
  <c r="AB684" i="1"/>
  <c r="AB666" i="1"/>
  <c r="AB630" i="1"/>
  <c r="AB342" i="1"/>
  <c r="AB306" i="1"/>
  <c r="AB234" i="1"/>
  <c r="AB126" i="1"/>
  <c r="V811" i="1"/>
  <c r="W811" i="1" s="1"/>
  <c r="V775" i="1"/>
  <c r="W775" i="1" s="1"/>
  <c r="V433" i="1"/>
  <c r="W433" i="1" s="1"/>
  <c r="V343" i="1"/>
  <c r="W343" i="1" s="1"/>
  <c r="V181" i="1"/>
  <c r="W181" i="1" s="1"/>
  <c r="V145" i="1"/>
  <c r="W145" i="1" s="1"/>
  <c r="V55" i="1"/>
  <c r="W55" i="1" s="1"/>
  <c r="V694" i="1"/>
  <c r="W694" i="1" s="1"/>
  <c r="V46" i="1"/>
  <c r="W46" i="1" s="1"/>
  <c r="V164" i="1"/>
  <c r="W164" i="1" s="1"/>
  <c r="V857" i="1"/>
  <c r="W857" i="1" s="1"/>
  <c r="V821" i="1"/>
  <c r="W821" i="1" s="1"/>
  <c r="V659" i="1"/>
  <c r="W659" i="1" s="1"/>
  <c r="V551" i="1"/>
  <c r="W551" i="1" s="1"/>
  <c r="V497" i="1"/>
  <c r="W497" i="1" s="1"/>
  <c r="V281" i="1"/>
  <c r="W281" i="1" s="1"/>
  <c r="V209" i="1"/>
  <c r="W209" i="1" s="1"/>
  <c r="V29" i="1"/>
  <c r="W29" i="1" s="1"/>
  <c r="AB647" i="1"/>
  <c r="AB611" i="1"/>
  <c r="AB575" i="1"/>
  <c r="AB467" i="1"/>
  <c r="AB359" i="1"/>
  <c r="AB323" i="1"/>
  <c r="AB287" i="1"/>
  <c r="V810" i="1"/>
  <c r="W810" i="1" s="1"/>
  <c r="V200" i="1"/>
  <c r="W200" i="1" s="1"/>
  <c r="V146" i="1"/>
  <c r="W146" i="1" s="1"/>
  <c r="V74" i="1"/>
  <c r="W74" i="1" s="1"/>
  <c r="V3" i="1"/>
  <c r="W3" i="1" s="1"/>
  <c r="V1145" i="1"/>
  <c r="W1145" i="1" s="1"/>
  <c r="V1091" i="1"/>
  <c r="W1091" i="1" s="1"/>
  <c r="V983" i="1"/>
  <c r="W983" i="1" s="1"/>
  <c r="V803" i="1"/>
  <c r="W803" i="1" s="1"/>
  <c r="V605" i="1"/>
  <c r="W605" i="1" s="1"/>
  <c r="V389" i="1"/>
  <c r="W389" i="1" s="1"/>
  <c r="V299" i="1"/>
  <c r="W299" i="1" s="1"/>
  <c r="AB862" i="1"/>
  <c r="AB700" i="1"/>
  <c r="AB682" i="1"/>
  <c r="AB628" i="1"/>
  <c r="AB592" i="1"/>
  <c r="AB556" i="1"/>
  <c r="AB448" i="1"/>
  <c r="AB340" i="1"/>
  <c r="AB304" i="1"/>
  <c r="AB268" i="1"/>
  <c r="AB232" i="1"/>
  <c r="AB124" i="1"/>
  <c r="V1133" i="1"/>
  <c r="W1133" i="1" s="1"/>
  <c r="V1025" i="1"/>
  <c r="W1025" i="1" s="1"/>
  <c r="V953" i="1"/>
  <c r="W953" i="1" s="1"/>
  <c r="V809" i="1"/>
  <c r="W809" i="1" s="1"/>
  <c r="V791" i="1"/>
  <c r="W791" i="1" s="1"/>
  <c r="V737" i="1"/>
  <c r="W737" i="1" s="1"/>
  <c r="V557" i="1"/>
  <c r="W557" i="1" s="1"/>
  <c r="V395" i="1"/>
  <c r="W395" i="1" s="1"/>
  <c r="V251" i="1"/>
  <c r="W251" i="1" s="1"/>
  <c r="V89" i="1"/>
  <c r="W89" i="1" s="1"/>
  <c r="V674" i="1"/>
  <c r="W674" i="1" s="1"/>
  <c r="V440" i="1"/>
  <c r="W440" i="1" s="1"/>
  <c r="V897" i="1"/>
  <c r="W897" i="1" s="1"/>
  <c r="V1131" i="1"/>
  <c r="W1131" i="1" s="1"/>
  <c r="S1041" i="1"/>
  <c r="V1041" i="1"/>
  <c r="W1041" i="1" s="1"/>
  <c r="S915" i="1"/>
  <c r="V915" i="1"/>
  <c r="W915" i="1" s="1"/>
  <c r="S753" i="1"/>
  <c r="V753" i="1"/>
  <c r="W753" i="1" s="1"/>
  <c r="S663" i="1"/>
  <c r="V663" i="1"/>
  <c r="W663" i="1" s="1"/>
  <c r="S609" i="1"/>
  <c r="V609" i="1"/>
  <c r="W609" i="1" s="1"/>
  <c r="S573" i="1"/>
  <c r="V573" i="1"/>
  <c r="W573" i="1" s="1"/>
  <c r="S465" i="1"/>
  <c r="V465" i="1"/>
  <c r="W465" i="1" s="1"/>
  <c r="S411" i="1"/>
  <c r="V411" i="1"/>
  <c r="W411" i="1" s="1"/>
  <c r="S339" i="1"/>
  <c r="V339" i="1"/>
  <c r="W339" i="1" s="1"/>
  <c r="S285" i="1"/>
  <c r="V285" i="1"/>
  <c r="W285" i="1" s="1"/>
  <c r="S613" i="1"/>
  <c r="V613" i="1"/>
  <c r="W613" i="1" s="1"/>
  <c r="S1008" i="1"/>
  <c r="V1008" i="1"/>
  <c r="W1008" i="1" s="1"/>
  <c r="S612" i="1"/>
  <c r="V612" i="1"/>
  <c r="W612" i="1" s="1"/>
  <c r="S432" i="1"/>
  <c r="V432" i="1"/>
  <c r="W432" i="1" s="1"/>
  <c r="S342" i="1"/>
  <c r="V342" i="1"/>
  <c r="W342" i="1" s="1"/>
  <c r="S144" i="1"/>
  <c r="V144" i="1"/>
  <c r="W144" i="1" s="1"/>
  <c r="S108" i="1"/>
  <c r="V108" i="1"/>
  <c r="W108" i="1" s="1"/>
  <c r="S54" i="1"/>
  <c r="V54" i="1"/>
  <c r="W54" i="1" s="1"/>
  <c r="V807" i="1"/>
  <c r="W807" i="1" s="1"/>
  <c r="S951" i="1"/>
  <c r="V951" i="1"/>
  <c r="W951" i="1" s="1"/>
  <c r="S627" i="1"/>
  <c r="V627" i="1"/>
  <c r="W627" i="1" s="1"/>
  <c r="S447" i="1"/>
  <c r="V447" i="1"/>
  <c r="W447" i="1" s="1"/>
  <c r="S303" i="1"/>
  <c r="V303" i="1"/>
  <c r="W303" i="1" s="1"/>
  <c r="S213" i="1"/>
  <c r="V213" i="1"/>
  <c r="W213" i="1" s="1"/>
  <c r="V357" i="1"/>
  <c r="W357" i="1" s="1"/>
  <c r="S1048" i="1"/>
  <c r="V1048" i="1"/>
  <c r="W1048" i="1" s="1"/>
  <c r="S1010" i="1"/>
  <c r="V1010" i="1"/>
  <c r="W1010" i="1" s="1"/>
  <c r="S989" i="1"/>
  <c r="V989" i="1"/>
  <c r="W989" i="1" s="1"/>
  <c r="S647" i="1"/>
  <c r="V647" i="1"/>
  <c r="W647" i="1" s="1"/>
  <c r="S521" i="1"/>
  <c r="V521" i="1"/>
  <c r="W521" i="1" s="1"/>
  <c r="V177" i="1"/>
  <c r="W177" i="1" s="1"/>
  <c r="S1149" i="1"/>
  <c r="V1149" i="1"/>
  <c r="W1149" i="1" s="1"/>
  <c r="S1095" i="1"/>
  <c r="V1095" i="1"/>
  <c r="W1095" i="1" s="1"/>
  <c r="S987" i="1"/>
  <c r="V987" i="1"/>
  <c r="W987" i="1" s="1"/>
  <c r="S771" i="1"/>
  <c r="V771" i="1"/>
  <c r="W771" i="1" s="1"/>
  <c r="S717" i="1"/>
  <c r="V717" i="1"/>
  <c r="W717" i="1" s="1"/>
  <c r="S591" i="1"/>
  <c r="V591" i="1"/>
  <c r="W591" i="1" s="1"/>
  <c r="S519" i="1"/>
  <c r="V519" i="1"/>
  <c r="W519" i="1" s="1"/>
  <c r="S483" i="1"/>
  <c r="V483" i="1"/>
  <c r="W483" i="1" s="1"/>
  <c r="S249" i="1"/>
  <c r="V249" i="1"/>
  <c r="W249" i="1" s="1"/>
  <c r="S69" i="1"/>
  <c r="V69" i="1"/>
  <c r="W69" i="1" s="1"/>
  <c r="S15" i="1"/>
  <c r="V15" i="1"/>
  <c r="W15" i="1" s="1"/>
  <c r="V393" i="1"/>
  <c r="W393" i="1" s="1"/>
  <c r="V123" i="1"/>
  <c r="W123" i="1" s="1"/>
  <c r="V1005" i="1"/>
  <c r="W1005" i="1" s="1"/>
  <c r="S724" i="1"/>
  <c r="V724" i="1"/>
  <c r="W724" i="1" s="1"/>
  <c r="V87" i="1"/>
  <c r="W87" i="1" s="1"/>
  <c r="S218" i="1"/>
  <c r="V218" i="1"/>
  <c r="W218" i="1" s="1"/>
  <c r="S56" i="1"/>
  <c r="V56" i="1"/>
  <c r="W56" i="1" s="1"/>
  <c r="S1006" i="1"/>
  <c r="V1006" i="1"/>
  <c r="W1006" i="1" s="1"/>
  <c r="S916" i="1"/>
  <c r="V916" i="1"/>
  <c r="W916" i="1" s="1"/>
  <c r="S718" i="1"/>
  <c r="V718" i="1"/>
  <c r="W718" i="1" s="1"/>
  <c r="S646" i="1"/>
  <c r="V646" i="1"/>
  <c r="W646" i="1" s="1"/>
  <c r="S520" i="1"/>
  <c r="V520" i="1"/>
  <c r="W520" i="1" s="1"/>
  <c r="S16" i="1"/>
  <c r="V16" i="1"/>
  <c r="W16" i="1" s="1"/>
  <c r="V1059" i="1"/>
  <c r="W1059" i="1" s="1"/>
  <c r="V874" i="1"/>
  <c r="W874" i="1" s="1"/>
  <c r="V856" i="1"/>
  <c r="W856" i="1" s="1"/>
  <c r="V820" i="1"/>
  <c r="W820" i="1" s="1"/>
  <c r="V802" i="1"/>
  <c r="W802" i="1" s="1"/>
  <c r="V748" i="1"/>
  <c r="W748" i="1" s="1"/>
  <c r="V676" i="1"/>
  <c r="W676" i="1" s="1"/>
  <c r="V658" i="1"/>
  <c r="W658" i="1" s="1"/>
  <c r="V640" i="1"/>
  <c r="W640" i="1" s="1"/>
  <c r="V622" i="1"/>
  <c r="W622" i="1" s="1"/>
  <c r="V604" i="1"/>
  <c r="W604" i="1" s="1"/>
  <c r="V586" i="1"/>
  <c r="W586" i="1" s="1"/>
  <c r="V568" i="1"/>
  <c r="W568" i="1" s="1"/>
  <c r="V550" i="1"/>
  <c r="W550" i="1" s="1"/>
  <c r="V929" i="1"/>
  <c r="W929" i="1" s="1"/>
  <c r="V747" i="1"/>
  <c r="W747" i="1" s="1"/>
  <c r="V83" i="1"/>
  <c r="W83" i="1" s="1"/>
  <c r="V175" i="1"/>
  <c r="W175" i="1" s="1"/>
  <c r="V318" i="1"/>
  <c r="W318" i="1" s="1"/>
  <c r="V1163" i="1"/>
  <c r="W1163" i="1" s="1"/>
  <c r="S1037" i="1"/>
  <c r="V1037" i="1"/>
  <c r="W1037" i="1" s="1"/>
  <c r="S947" i="1"/>
  <c r="V947" i="1"/>
  <c r="W947" i="1" s="1"/>
  <c r="S875" i="1"/>
  <c r="V875" i="1"/>
  <c r="W875" i="1" s="1"/>
  <c r="S515" i="1"/>
  <c r="V515" i="1"/>
  <c r="W515" i="1" s="1"/>
  <c r="V335" i="1"/>
  <c r="W335" i="1" s="1"/>
  <c r="S1035" i="1"/>
  <c r="V1035" i="1"/>
  <c r="W1035" i="1" s="1"/>
  <c r="S693" i="1"/>
  <c r="V693" i="1"/>
  <c r="W693" i="1" s="1"/>
  <c r="S45" i="1"/>
  <c r="V45" i="1"/>
  <c r="W45" i="1" s="1"/>
  <c r="V1188" i="1"/>
  <c r="W1188" i="1" s="1"/>
  <c r="V1170" i="1"/>
  <c r="W1170" i="1" s="1"/>
  <c r="V1152" i="1"/>
  <c r="W1152" i="1" s="1"/>
  <c r="V1134" i="1"/>
  <c r="W1134" i="1" s="1"/>
  <c r="V1116" i="1"/>
  <c r="W1116" i="1" s="1"/>
  <c r="V1098" i="1"/>
  <c r="W1098" i="1" s="1"/>
  <c r="V1080" i="1"/>
  <c r="W1080" i="1" s="1"/>
  <c r="V1044" i="1"/>
  <c r="W1044" i="1" s="1"/>
  <c r="V990" i="1"/>
  <c r="W990" i="1" s="1"/>
  <c r="V972" i="1"/>
  <c r="W972" i="1" s="1"/>
  <c r="V936" i="1"/>
  <c r="W936" i="1" s="1"/>
  <c r="V918" i="1"/>
  <c r="W918" i="1" s="1"/>
  <c r="V846" i="1"/>
  <c r="W846" i="1" s="1"/>
  <c r="V828" i="1"/>
  <c r="W828" i="1" s="1"/>
  <c r="V792" i="1"/>
  <c r="W792" i="1" s="1"/>
  <c r="V774" i="1"/>
  <c r="W774" i="1" s="1"/>
  <c r="V756" i="1"/>
  <c r="W756" i="1" s="1"/>
  <c r="V738" i="1"/>
  <c r="W738" i="1" s="1"/>
  <c r="V684" i="1"/>
  <c r="W684" i="1" s="1"/>
  <c r="V666" i="1"/>
  <c r="W666" i="1" s="1"/>
  <c r="V648" i="1"/>
  <c r="W648" i="1" s="1"/>
  <c r="V630" i="1"/>
  <c r="W630" i="1" s="1"/>
  <c r="V594" i="1"/>
  <c r="W594" i="1" s="1"/>
  <c r="V576" i="1"/>
  <c r="W576" i="1" s="1"/>
  <c r="V540" i="1"/>
  <c r="W540" i="1" s="1"/>
  <c r="V504" i="1"/>
  <c r="W504" i="1" s="1"/>
  <c r="V486" i="1"/>
  <c r="W486" i="1" s="1"/>
  <c r="V414" i="1"/>
  <c r="W414" i="1" s="1"/>
  <c r="V396" i="1"/>
  <c r="W396" i="1" s="1"/>
  <c r="V324" i="1"/>
  <c r="W324" i="1" s="1"/>
  <c r="V270" i="1"/>
  <c r="W270" i="1" s="1"/>
  <c r="V252" i="1"/>
  <c r="W252" i="1" s="1"/>
  <c r="V234" i="1"/>
  <c r="W234" i="1" s="1"/>
  <c r="V216" i="1"/>
  <c r="W216" i="1" s="1"/>
  <c r="V198" i="1"/>
  <c r="W198" i="1" s="1"/>
  <c r="V162" i="1"/>
  <c r="W162" i="1" s="1"/>
  <c r="V126" i="1"/>
  <c r="W126" i="1" s="1"/>
  <c r="V90" i="1"/>
  <c r="W90" i="1" s="1"/>
  <c r="V36" i="1"/>
  <c r="W36" i="1" s="1"/>
  <c r="V18" i="1"/>
  <c r="W18" i="1" s="1"/>
  <c r="V839" i="1"/>
  <c r="W839" i="1" s="1"/>
  <c r="S407" i="1"/>
  <c r="V407" i="1"/>
  <c r="W407" i="1" s="1"/>
  <c r="S173" i="1"/>
  <c r="V173" i="1"/>
  <c r="W173" i="1" s="1"/>
  <c r="V845" i="1"/>
  <c r="W845" i="1" s="1"/>
  <c r="V65" i="1"/>
  <c r="W65" i="1" s="1"/>
  <c r="S1199" i="1"/>
  <c r="V1199" i="1"/>
  <c r="W1199" i="1" s="1"/>
  <c r="S1109" i="1"/>
  <c r="V1109" i="1"/>
  <c r="W1109" i="1" s="1"/>
  <c r="V1001" i="1"/>
  <c r="W1001" i="1" s="1"/>
  <c r="S965" i="1"/>
  <c r="V965" i="1"/>
  <c r="W965" i="1" s="1"/>
  <c r="V749" i="1"/>
  <c r="W749" i="1" s="1"/>
  <c r="S713" i="1"/>
  <c r="V713" i="1"/>
  <c r="W713" i="1" s="1"/>
  <c r="V119" i="1"/>
  <c r="W119" i="1" s="1"/>
  <c r="V1019" i="1"/>
  <c r="W1019" i="1" s="1"/>
  <c r="V1162" i="1"/>
  <c r="W1162" i="1" s="1"/>
  <c r="V892" i="1"/>
  <c r="W892" i="1" s="1"/>
  <c r="V766" i="1"/>
  <c r="W766" i="1" s="1"/>
  <c r="S1034" i="1"/>
  <c r="V1034" i="1"/>
  <c r="W1034" i="1" s="1"/>
  <c r="V1115" i="1"/>
  <c r="W1115" i="1" s="1"/>
  <c r="V665" i="1"/>
  <c r="W665" i="1" s="1"/>
  <c r="V575" i="1"/>
  <c r="W575" i="1" s="1"/>
  <c r="V1159" i="1"/>
  <c r="W1159" i="1" s="1"/>
  <c r="V1141" i="1"/>
  <c r="W1141" i="1" s="1"/>
  <c r="V1087" i="1"/>
  <c r="W1087" i="1" s="1"/>
  <c r="V1069" i="1"/>
  <c r="W1069" i="1" s="1"/>
  <c r="V997" i="1"/>
  <c r="W997" i="1" s="1"/>
  <c r="V979" i="1"/>
  <c r="W979" i="1" s="1"/>
  <c r="V907" i="1"/>
  <c r="W907" i="1" s="1"/>
  <c r="V853" i="1"/>
  <c r="W853" i="1" s="1"/>
  <c r="V835" i="1"/>
  <c r="W835" i="1" s="1"/>
  <c r="V763" i="1"/>
  <c r="W763" i="1" s="1"/>
  <c r="V727" i="1"/>
  <c r="W727" i="1" s="1"/>
  <c r="V709" i="1"/>
  <c r="W709" i="1" s="1"/>
  <c r="S673" i="1"/>
  <c r="V673" i="1"/>
  <c r="W673" i="1" s="1"/>
  <c r="V655" i="1"/>
  <c r="W655" i="1" s="1"/>
  <c r="V619" i="1"/>
  <c r="W619" i="1" s="1"/>
  <c r="V583" i="1"/>
  <c r="W583" i="1" s="1"/>
  <c r="V529" i="1"/>
  <c r="W529" i="1" s="1"/>
  <c r="V511" i="1"/>
  <c r="W511" i="1" s="1"/>
  <c r="V475" i="1"/>
  <c r="W475" i="1" s="1"/>
  <c r="S439" i="1"/>
  <c r="V439" i="1"/>
  <c r="W439" i="1" s="1"/>
  <c r="V421" i="1"/>
  <c r="W421" i="1" s="1"/>
  <c r="V403" i="1"/>
  <c r="W403" i="1" s="1"/>
  <c r="V349" i="1"/>
  <c r="W349" i="1" s="1"/>
  <c r="V313" i="1"/>
  <c r="W313" i="1" s="1"/>
  <c r="V295" i="1"/>
  <c r="W295" i="1" s="1"/>
  <c r="V241" i="1"/>
  <c r="W241" i="1" s="1"/>
  <c r="V223" i="1"/>
  <c r="W223" i="1" s="1"/>
  <c r="V205" i="1"/>
  <c r="W205" i="1" s="1"/>
  <c r="V133" i="1"/>
  <c r="W133" i="1" s="1"/>
  <c r="V79" i="1"/>
  <c r="W79" i="1" s="1"/>
  <c r="V1150" i="1"/>
  <c r="W1150" i="1" s="1"/>
  <c r="V1096" i="1"/>
  <c r="W1096" i="1" s="1"/>
  <c r="V1060" i="1"/>
  <c r="W1060" i="1" s="1"/>
  <c r="V844" i="1"/>
  <c r="W844" i="1" s="1"/>
  <c r="V754" i="1"/>
  <c r="W754" i="1" s="1"/>
  <c r="V574" i="1"/>
  <c r="W574" i="1" s="1"/>
  <c r="V484" i="1"/>
  <c r="W484" i="1" s="1"/>
  <c r="V448" i="1"/>
  <c r="W448" i="1" s="1"/>
  <c r="V412" i="1"/>
  <c r="W412" i="1" s="1"/>
  <c r="V394" i="1"/>
  <c r="W394" i="1" s="1"/>
  <c r="V358" i="1"/>
  <c r="W358" i="1" s="1"/>
  <c r="V304" i="1"/>
  <c r="W304" i="1" s="1"/>
  <c r="V70" i="1"/>
  <c r="W70" i="1" s="1"/>
  <c r="V34" i="1"/>
  <c r="W34" i="1" s="1"/>
  <c r="V1181" i="1"/>
  <c r="W1181" i="1" s="1"/>
  <c r="V731" i="1"/>
  <c r="W731" i="1" s="1"/>
  <c r="V587" i="1"/>
  <c r="W587" i="1" s="1"/>
  <c r="V312" i="1"/>
  <c r="W312" i="1" s="1"/>
  <c r="V137" i="1"/>
  <c r="W137" i="1" s="1"/>
  <c r="V283" i="1"/>
  <c r="W283" i="1" s="1"/>
  <c r="S767" i="1"/>
  <c r="V767" i="1"/>
  <c r="W767" i="1" s="1"/>
  <c r="S623" i="1"/>
  <c r="V623" i="1"/>
  <c r="W623" i="1" s="1"/>
  <c r="S245" i="1"/>
  <c r="V245" i="1"/>
  <c r="W245" i="1" s="1"/>
  <c r="S227" i="1"/>
  <c r="V227" i="1"/>
  <c r="W227" i="1" s="1"/>
  <c r="V1000" i="1"/>
  <c r="W1000" i="1" s="1"/>
  <c r="V712" i="1"/>
  <c r="W712" i="1" s="1"/>
  <c r="V1151" i="1"/>
  <c r="W1151" i="1" s="1"/>
  <c r="V1097" i="1"/>
  <c r="W1097" i="1" s="1"/>
  <c r="V755" i="1"/>
  <c r="W755" i="1" s="1"/>
  <c r="V485" i="1"/>
  <c r="W485" i="1" s="1"/>
  <c r="V35" i="1"/>
  <c r="W35" i="1" s="1"/>
  <c r="S888" i="1"/>
  <c r="V888" i="1"/>
  <c r="W888" i="1" s="1"/>
  <c r="S672" i="1"/>
  <c r="V672" i="1"/>
  <c r="W672" i="1" s="1"/>
  <c r="S564" i="1"/>
  <c r="V564" i="1"/>
  <c r="W564" i="1" s="1"/>
  <c r="S168" i="1"/>
  <c r="V168" i="1"/>
  <c r="W168" i="1" s="1"/>
  <c r="S150" i="1"/>
  <c r="V150" i="1"/>
  <c r="W150" i="1" s="1"/>
  <c r="V7" i="1"/>
  <c r="W7" i="1" s="1"/>
  <c r="V1180" i="1"/>
  <c r="W1180" i="1" s="1"/>
  <c r="V911" i="1"/>
  <c r="W911" i="1" s="1"/>
  <c r="V47" i="1"/>
  <c r="W47" i="1" s="1"/>
  <c r="V532" i="1"/>
  <c r="W532" i="1" s="1"/>
  <c r="V514" i="1"/>
  <c r="W514" i="1" s="1"/>
  <c r="V496" i="1"/>
  <c r="W496" i="1" s="1"/>
  <c r="V478" i="1"/>
  <c r="W478" i="1" s="1"/>
  <c r="V460" i="1"/>
  <c r="W460" i="1" s="1"/>
  <c r="V442" i="1"/>
  <c r="W442" i="1" s="1"/>
  <c r="V424" i="1"/>
  <c r="W424" i="1" s="1"/>
  <c r="V406" i="1"/>
  <c r="W406" i="1" s="1"/>
  <c r="V388" i="1"/>
  <c r="W388" i="1" s="1"/>
  <c r="V370" i="1"/>
  <c r="W370" i="1" s="1"/>
  <c r="V352" i="1"/>
  <c r="W352" i="1" s="1"/>
  <c r="V334" i="1"/>
  <c r="W334" i="1" s="1"/>
  <c r="V316" i="1"/>
  <c r="W316" i="1" s="1"/>
  <c r="V262" i="1"/>
  <c r="W262" i="1" s="1"/>
  <c r="V100" i="1"/>
  <c r="W100" i="1" s="1"/>
  <c r="V1189" i="1"/>
  <c r="W1189" i="1" s="1"/>
  <c r="V1171" i="1"/>
  <c r="W1171" i="1" s="1"/>
  <c r="V1153" i="1"/>
  <c r="W1153" i="1" s="1"/>
  <c r="V1135" i="1"/>
  <c r="W1135" i="1" s="1"/>
  <c r="V1117" i="1"/>
  <c r="W1117" i="1" s="1"/>
  <c r="V1099" i="1"/>
  <c r="W1099" i="1" s="1"/>
  <c r="V1081" i="1"/>
  <c r="W1081" i="1" s="1"/>
  <c r="V1027" i="1"/>
  <c r="W1027" i="1" s="1"/>
  <c r="V1009" i="1"/>
  <c r="W1009" i="1" s="1"/>
  <c r="V991" i="1"/>
  <c r="W991" i="1" s="1"/>
  <c r="V973" i="1"/>
  <c r="W973" i="1" s="1"/>
  <c r="V937" i="1"/>
  <c r="W937" i="1" s="1"/>
  <c r="V919" i="1"/>
  <c r="W919" i="1" s="1"/>
  <c r="V883" i="1"/>
  <c r="W883" i="1" s="1"/>
  <c r="V847" i="1"/>
  <c r="W847" i="1" s="1"/>
  <c r="V829" i="1"/>
  <c r="W829" i="1" s="1"/>
  <c r="V793" i="1"/>
  <c r="W793" i="1" s="1"/>
  <c r="V757" i="1"/>
  <c r="W757" i="1" s="1"/>
  <c r="V703" i="1"/>
  <c r="W703" i="1" s="1"/>
  <c r="V685" i="1"/>
  <c r="W685" i="1" s="1"/>
  <c r="V667" i="1"/>
  <c r="W667" i="1" s="1"/>
  <c r="V649" i="1"/>
  <c r="W649" i="1" s="1"/>
  <c r="V631" i="1"/>
  <c r="W631" i="1" s="1"/>
  <c r="V595" i="1"/>
  <c r="W595" i="1" s="1"/>
  <c r="V577" i="1"/>
  <c r="W577" i="1" s="1"/>
  <c r="V541" i="1"/>
  <c r="W541" i="1" s="1"/>
  <c r="V505" i="1"/>
  <c r="W505" i="1" s="1"/>
  <c r="V487" i="1"/>
  <c r="W487" i="1" s="1"/>
  <c r="V469" i="1"/>
  <c r="W469" i="1" s="1"/>
  <c r="V415" i="1"/>
  <c r="W415" i="1" s="1"/>
  <c r="V361" i="1"/>
  <c r="W361" i="1" s="1"/>
  <c r="V325" i="1"/>
  <c r="W325" i="1" s="1"/>
  <c r="V289" i="1"/>
  <c r="W289" i="1" s="1"/>
  <c r="V271" i="1"/>
  <c r="W271" i="1" s="1"/>
  <c r="V235" i="1"/>
  <c r="W235" i="1" s="1"/>
  <c r="V217" i="1"/>
  <c r="W217" i="1" s="1"/>
  <c r="V127" i="1"/>
  <c r="W127" i="1" s="1"/>
  <c r="V109" i="1"/>
  <c r="W109" i="1" s="1"/>
  <c r="V91" i="1"/>
  <c r="W91" i="1" s="1"/>
  <c r="V73" i="1"/>
  <c r="W73" i="1" s="1"/>
  <c r="V19" i="1"/>
  <c r="W19" i="1" s="1"/>
  <c r="V985" i="1"/>
  <c r="W985" i="1" s="1"/>
  <c r="V932" i="1"/>
  <c r="W932" i="1" s="1"/>
  <c r="V869" i="1"/>
  <c r="W869" i="1" s="1"/>
  <c r="V768" i="1"/>
  <c r="W768" i="1" s="1"/>
  <c r="V500" i="1"/>
  <c r="W500" i="1" s="1"/>
  <c r="V392" i="1"/>
  <c r="W392" i="1" s="1"/>
  <c r="V337" i="1"/>
  <c r="W337" i="1" s="1"/>
  <c r="V156" i="1"/>
  <c r="W156" i="1" s="1"/>
  <c r="V1075" i="1"/>
  <c r="W1075" i="1" s="1"/>
  <c r="V860" i="1"/>
  <c r="W860" i="1" s="1"/>
  <c r="V806" i="1"/>
  <c r="W806" i="1" s="1"/>
  <c r="V644" i="1"/>
  <c r="W644" i="1" s="1"/>
  <c r="V608" i="1"/>
  <c r="W608" i="1" s="1"/>
  <c r="V373" i="1"/>
  <c r="W373" i="1" s="1"/>
  <c r="V1158" i="1"/>
  <c r="W1158" i="1" s="1"/>
  <c r="V996" i="1"/>
  <c r="W996" i="1" s="1"/>
  <c r="V960" i="1"/>
  <c r="W960" i="1" s="1"/>
  <c r="V618" i="1"/>
  <c r="W618" i="1" s="1"/>
  <c r="V258" i="1"/>
  <c r="W258" i="1" s="1"/>
  <c r="V222" i="1"/>
  <c r="W222" i="1" s="1"/>
  <c r="V60" i="1"/>
  <c r="W60" i="1" s="1"/>
  <c r="V302" i="1"/>
  <c r="W302" i="1" s="1"/>
  <c r="V230" i="1"/>
  <c r="W230" i="1" s="1"/>
  <c r="V212" i="1"/>
  <c r="W212" i="1" s="1"/>
  <c r="V194" i="1"/>
  <c r="W194" i="1" s="1"/>
  <c r="V158" i="1"/>
  <c r="W158" i="1" s="1"/>
  <c r="V140" i="1"/>
  <c r="W140" i="1" s="1"/>
  <c r="V50" i="1"/>
  <c r="W50" i="1" s="1"/>
  <c r="V12" i="1"/>
  <c r="W12" i="1" s="1"/>
  <c r="V1193" i="1"/>
  <c r="W1193" i="1" s="1"/>
  <c r="V995" i="1"/>
  <c r="W995" i="1" s="1"/>
  <c r="V851" i="1"/>
  <c r="W851" i="1" s="1"/>
  <c r="V707" i="1"/>
  <c r="W707" i="1" s="1"/>
  <c r="V383" i="1"/>
  <c r="W383" i="1" s="1"/>
  <c r="V257" i="1"/>
  <c r="W257" i="1" s="1"/>
  <c r="V949" i="1"/>
  <c r="W949" i="1" s="1"/>
  <c r="V887" i="1"/>
  <c r="W887" i="1" s="1"/>
  <c r="V624" i="1"/>
  <c r="W624" i="1" s="1"/>
  <c r="V570" i="1"/>
  <c r="W570" i="1" s="1"/>
  <c r="V464" i="1"/>
  <c r="W464" i="1" s="1"/>
  <c r="V1194" i="1"/>
  <c r="W1194" i="1" s="1"/>
  <c r="V1050" i="1"/>
  <c r="W1050" i="1" s="1"/>
  <c r="V906" i="1"/>
  <c r="W906" i="1" s="1"/>
  <c r="V852" i="1"/>
  <c r="W852" i="1" s="1"/>
  <c r="V816" i="1"/>
  <c r="W816" i="1" s="1"/>
  <c r="V708" i="1"/>
  <c r="W708" i="1" s="1"/>
  <c r="V384" i="1"/>
  <c r="W384" i="1" s="1"/>
  <c r="V1175" i="1"/>
  <c r="W1175" i="1" s="1"/>
  <c r="V877" i="1"/>
  <c r="W877" i="1" s="1"/>
  <c r="V535" i="1"/>
  <c r="W535" i="1" s="1"/>
  <c r="V1110" i="1"/>
  <c r="W1110" i="1" s="1"/>
  <c r="V948" i="1"/>
  <c r="W948" i="1" s="1"/>
  <c r="V671" i="1"/>
  <c r="W671" i="1" s="1"/>
  <c r="V463" i="1"/>
  <c r="W463" i="1" s="1"/>
  <c r="V1020" i="1"/>
  <c r="W1020" i="1" s="1"/>
  <c r="V750" i="1"/>
  <c r="W750" i="1" s="1"/>
  <c r="V534" i="1"/>
  <c r="W534" i="1" s="1"/>
  <c r="V426" i="1"/>
  <c r="W426" i="1" s="1"/>
  <c r="V120" i="1"/>
  <c r="W120" i="1" s="1"/>
  <c r="V2" i="1"/>
  <c r="W2" i="1" s="1"/>
  <c r="V327" i="1"/>
  <c r="W327" i="1" s="1"/>
  <c r="V255" i="1"/>
  <c r="W255" i="1" s="1"/>
  <c r="V219" i="1"/>
  <c r="W219" i="1" s="1"/>
  <c r="V165" i="1"/>
  <c r="W165" i="1" s="1"/>
  <c r="V93" i="1"/>
  <c r="W93" i="1" s="1"/>
  <c r="V57" i="1"/>
  <c r="W57" i="1" s="1"/>
  <c r="V716" i="1"/>
  <c r="W716" i="1" s="1"/>
  <c r="V563" i="1"/>
  <c r="W563" i="1" s="1"/>
  <c r="V462" i="1"/>
  <c r="W462" i="1" s="1"/>
  <c r="V66" i="1"/>
  <c r="W66" i="1" s="1"/>
  <c r="S1126" i="1"/>
  <c r="V1126" i="1"/>
  <c r="W1126" i="1" s="1"/>
  <c r="S982" i="1"/>
  <c r="V982" i="1"/>
  <c r="W982" i="1" s="1"/>
  <c r="S298" i="1"/>
  <c r="V298" i="1"/>
  <c r="W298" i="1" s="1"/>
  <c r="S118" i="1"/>
  <c r="V118" i="1"/>
  <c r="W118" i="1" s="1"/>
  <c r="S1197" i="1"/>
  <c r="V1197" i="1"/>
  <c r="W1197" i="1" s="1"/>
  <c r="S1053" i="1"/>
  <c r="V1053" i="1"/>
  <c r="W1053" i="1" s="1"/>
  <c r="S963" i="1"/>
  <c r="V963" i="1"/>
  <c r="W963" i="1" s="1"/>
  <c r="S855" i="1"/>
  <c r="V855" i="1"/>
  <c r="W855" i="1" s="1"/>
  <c r="S711" i="1"/>
  <c r="V711" i="1"/>
  <c r="W711" i="1" s="1"/>
  <c r="S567" i="1"/>
  <c r="V567" i="1"/>
  <c r="W567" i="1" s="1"/>
  <c r="S423" i="1"/>
  <c r="V423" i="1"/>
  <c r="W423" i="1" s="1"/>
  <c r="S261" i="1"/>
  <c r="V261" i="1"/>
  <c r="W261" i="1" s="1"/>
  <c r="S99" i="1"/>
  <c r="V99" i="1"/>
  <c r="W99" i="1" s="1"/>
  <c r="S1124" i="1"/>
  <c r="V1124" i="1"/>
  <c r="W1124" i="1" s="1"/>
  <c r="S944" i="1"/>
  <c r="V944" i="1"/>
  <c r="W944" i="1" s="1"/>
  <c r="S764" i="1"/>
  <c r="V764" i="1"/>
  <c r="W764" i="1" s="1"/>
  <c r="S566" i="1"/>
  <c r="V566" i="1"/>
  <c r="W566" i="1" s="1"/>
  <c r="S368" i="1"/>
  <c r="V368" i="1"/>
  <c r="W368" i="1" s="1"/>
  <c r="S116" i="1"/>
  <c r="V116" i="1"/>
  <c r="W116" i="1" s="1"/>
  <c r="S9" i="1"/>
  <c r="V9" i="1"/>
  <c r="W9" i="1" s="1"/>
  <c r="S27" i="1"/>
  <c r="V27" i="1"/>
  <c r="W27" i="1" s="1"/>
  <c r="S494" i="1"/>
  <c r="V494" i="1"/>
  <c r="W494" i="1" s="1"/>
  <c r="S1108" i="1"/>
  <c r="V1108" i="1"/>
  <c r="W1108" i="1" s="1"/>
  <c r="S1054" i="1"/>
  <c r="V1054" i="1"/>
  <c r="W1054" i="1" s="1"/>
  <c r="S946" i="1"/>
  <c r="V946" i="1"/>
  <c r="W946" i="1" s="1"/>
  <c r="S910" i="1"/>
  <c r="V910" i="1"/>
  <c r="W910" i="1" s="1"/>
  <c r="S226" i="1"/>
  <c r="V226" i="1"/>
  <c r="W226" i="1" s="1"/>
  <c r="S208" i="1"/>
  <c r="V208" i="1"/>
  <c r="W208" i="1" s="1"/>
  <c r="S136" i="1"/>
  <c r="V136" i="1"/>
  <c r="W136" i="1" s="1"/>
  <c r="S82" i="1"/>
  <c r="V82" i="1"/>
  <c r="W82" i="1" s="1"/>
  <c r="S1161" i="1"/>
  <c r="V1161" i="1"/>
  <c r="W1161" i="1" s="1"/>
  <c r="S1089" i="1"/>
  <c r="V1089" i="1"/>
  <c r="W1089" i="1" s="1"/>
  <c r="S999" i="1"/>
  <c r="V999" i="1"/>
  <c r="W999" i="1" s="1"/>
  <c r="S945" i="1"/>
  <c r="V945" i="1"/>
  <c r="W945" i="1" s="1"/>
  <c r="S909" i="1"/>
  <c r="V909" i="1"/>
  <c r="W909" i="1" s="1"/>
  <c r="S819" i="1"/>
  <c r="V819" i="1"/>
  <c r="W819" i="1" s="1"/>
  <c r="S783" i="1"/>
  <c r="V783" i="1"/>
  <c r="W783" i="1" s="1"/>
  <c r="S675" i="1"/>
  <c r="V675" i="1"/>
  <c r="W675" i="1" s="1"/>
  <c r="S639" i="1"/>
  <c r="V639" i="1"/>
  <c r="W639" i="1" s="1"/>
  <c r="S603" i="1"/>
  <c r="V603" i="1"/>
  <c r="W603" i="1" s="1"/>
  <c r="S513" i="1"/>
  <c r="V513" i="1"/>
  <c r="W513" i="1" s="1"/>
  <c r="S477" i="1"/>
  <c r="V477" i="1"/>
  <c r="W477" i="1" s="1"/>
  <c r="S387" i="1"/>
  <c r="V387" i="1"/>
  <c r="W387" i="1" s="1"/>
  <c r="S351" i="1"/>
  <c r="V351" i="1"/>
  <c r="W351" i="1" s="1"/>
  <c r="S333" i="1"/>
  <c r="V333" i="1"/>
  <c r="W333" i="1" s="1"/>
  <c r="S297" i="1"/>
  <c r="V297" i="1"/>
  <c r="W297" i="1" s="1"/>
  <c r="S243" i="1"/>
  <c r="V243" i="1"/>
  <c r="W243" i="1" s="1"/>
  <c r="S171" i="1"/>
  <c r="V171" i="1"/>
  <c r="W171" i="1" s="1"/>
  <c r="S117" i="1"/>
  <c r="V117" i="1"/>
  <c r="W117" i="1" s="1"/>
  <c r="S81" i="1"/>
  <c r="V81" i="1"/>
  <c r="W81" i="1" s="1"/>
  <c r="V1072" i="1"/>
  <c r="W1072" i="1" s="1"/>
  <c r="S1196" i="1"/>
  <c r="V1196" i="1"/>
  <c r="W1196" i="1" s="1"/>
  <c r="S1160" i="1"/>
  <c r="V1160" i="1"/>
  <c r="W1160" i="1" s="1"/>
  <c r="S1106" i="1"/>
  <c r="V1106" i="1"/>
  <c r="W1106" i="1" s="1"/>
  <c r="S1016" i="1"/>
  <c r="V1016" i="1"/>
  <c r="W1016" i="1" s="1"/>
  <c r="S998" i="1"/>
  <c r="V998" i="1"/>
  <c r="W998" i="1" s="1"/>
  <c r="S962" i="1"/>
  <c r="V962" i="1"/>
  <c r="W962" i="1" s="1"/>
  <c r="S908" i="1"/>
  <c r="V908" i="1"/>
  <c r="W908" i="1" s="1"/>
  <c r="S872" i="1"/>
  <c r="V872" i="1"/>
  <c r="W872" i="1" s="1"/>
  <c r="S818" i="1"/>
  <c r="V818" i="1"/>
  <c r="W818" i="1" s="1"/>
  <c r="S782" i="1"/>
  <c r="V782" i="1"/>
  <c r="W782" i="1" s="1"/>
  <c r="S728" i="1"/>
  <c r="V728" i="1"/>
  <c r="W728" i="1" s="1"/>
  <c r="S656" i="1"/>
  <c r="V656" i="1"/>
  <c r="W656" i="1" s="1"/>
  <c r="S620" i="1"/>
  <c r="V620" i="1"/>
  <c r="W620" i="1" s="1"/>
  <c r="S530" i="1"/>
  <c r="V530" i="1"/>
  <c r="W530" i="1" s="1"/>
  <c r="S458" i="1"/>
  <c r="V458" i="1"/>
  <c r="W458" i="1" s="1"/>
  <c r="S422" i="1"/>
  <c r="V422" i="1"/>
  <c r="W422" i="1" s="1"/>
  <c r="S386" i="1"/>
  <c r="V386" i="1"/>
  <c r="W386" i="1" s="1"/>
  <c r="S332" i="1"/>
  <c r="V332" i="1"/>
  <c r="W332" i="1" s="1"/>
  <c r="S296" i="1"/>
  <c r="V296" i="1"/>
  <c r="W296" i="1" s="1"/>
  <c r="S260" i="1"/>
  <c r="V260" i="1"/>
  <c r="W260" i="1" s="1"/>
  <c r="S224" i="1"/>
  <c r="V224" i="1"/>
  <c r="W224" i="1" s="1"/>
  <c r="S188" i="1"/>
  <c r="V188" i="1"/>
  <c r="W188" i="1" s="1"/>
  <c r="S152" i="1"/>
  <c r="V152" i="1"/>
  <c r="W152" i="1" s="1"/>
  <c r="S98" i="1"/>
  <c r="V98" i="1"/>
  <c r="W98" i="1" s="1"/>
  <c r="S62" i="1"/>
  <c r="V62" i="1"/>
  <c r="W62" i="1" s="1"/>
  <c r="S26" i="1"/>
  <c r="V26" i="1"/>
  <c r="W26" i="1" s="1"/>
  <c r="V981" i="1"/>
  <c r="W981" i="1" s="1"/>
  <c r="V548" i="1"/>
  <c r="W548" i="1" s="1"/>
  <c r="S1195" i="1"/>
  <c r="V1195" i="1"/>
  <c r="W1195" i="1" s="1"/>
  <c r="S1105" i="1"/>
  <c r="V1105" i="1"/>
  <c r="W1105" i="1" s="1"/>
  <c r="S1051" i="1"/>
  <c r="V1051" i="1"/>
  <c r="W1051" i="1" s="1"/>
  <c r="S1015" i="1"/>
  <c r="V1015" i="1"/>
  <c r="W1015" i="1" s="1"/>
  <c r="S961" i="1"/>
  <c r="V961" i="1"/>
  <c r="W961" i="1" s="1"/>
  <c r="S943" i="1"/>
  <c r="V943" i="1"/>
  <c r="W943" i="1" s="1"/>
  <c r="S871" i="1"/>
  <c r="V871" i="1"/>
  <c r="W871" i="1" s="1"/>
  <c r="S745" i="1"/>
  <c r="V745" i="1"/>
  <c r="W745" i="1" s="1"/>
  <c r="S601" i="1"/>
  <c r="V601" i="1"/>
  <c r="W601" i="1" s="1"/>
  <c r="S493" i="1"/>
  <c r="V493" i="1"/>
  <c r="W493" i="1" s="1"/>
  <c r="S385" i="1"/>
  <c r="V385" i="1"/>
  <c r="W385" i="1" s="1"/>
  <c r="S367" i="1"/>
  <c r="V367" i="1"/>
  <c r="W367" i="1" s="1"/>
  <c r="S331" i="1"/>
  <c r="V331" i="1"/>
  <c r="W331" i="1" s="1"/>
  <c r="S277" i="1"/>
  <c r="V277" i="1"/>
  <c r="W277" i="1" s="1"/>
  <c r="S169" i="1"/>
  <c r="V169" i="1"/>
  <c r="W169" i="1" s="1"/>
  <c r="S115" i="1"/>
  <c r="V115" i="1"/>
  <c r="W115" i="1" s="1"/>
  <c r="S97" i="1"/>
  <c r="V97" i="1"/>
  <c r="W97" i="1" s="1"/>
  <c r="V8" i="1"/>
  <c r="W8" i="1" s="1"/>
  <c r="V1070" i="1"/>
  <c r="W1070" i="1" s="1"/>
  <c r="V547" i="1"/>
  <c r="W547" i="1" s="1"/>
  <c r="V279" i="1"/>
  <c r="W279" i="1" s="1"/>
  <c r="V891" i="1"/>
  <c r="W891" i="1" s="1"/>
  <c r="V10" i="1"/>
  <c r="W10" i="1" s="1"/>
  <c r="V1018" i="1"/>
  <c r="W1018" i="1" s="1"/>
  <c r="V890" i="1"/>
  <c r="W890" i="1" s="1"/>
  <c r="S1174" i="1"/>
  <c r="V1174" i="1"/>
  <c r="W1174" i="1" s="1"/>
  <c r="S256" i="1"/>
  <c r="V256" i="1"/>
  <c r="W256" i="1" s="1"/>
  <c r="S94" i="1"/>
  <c r="V94" i="1"/>
  <c r="W94" i="1" s="1"/>
  <c r="S1198" i="1"/>
  <c r="V1198" i="1"/>
  <c r="W1198" i="1" s="1"/>
  <c r="S1144" i="1"/>
  <c r="V1144" i="1"/>
  <c r="W1144" i="1" s="1"/>
  <c r="S1090" i="1"/>
  <c r="V1090" i="1"/>
  <c r="W1090" i="1" s="1"/>
  <c r="S964" i="1"/>
  <c r="V964" i="1"/>
  <c r="W964" i="1" s="1"/>
  <c r="S280" i="1"/>
  <c r="V280" i="1"/>
  <c r="W280" i="1" s="1"/>
  <c r="S244" i="1"/>
  <c r="V244" i="1"/>
  <c r="W244" i="1" s="1"/>
  <c r="S190" i="1"/>
  <c r="V190" i="1"/>
  <c r="W190" i="1" s="1"/>
  <c r="S154" i="1"/>
  <c r="V154" i="1"/>
  <c r="W154" i="1" s="1"/>
  <c r="S64" i="1"/>
  <c r="V64" i="1"/>
  <c r="W64" i="1" s="1"/>
  <c r="S28" i="1"/>
  <c r="V28" i="1"/>
  <c r="W28" i="1" s="1"/>
  <c r="S1179" i="1"/>
  <c r="V1179" i="1"/>
  <c r="W1179" i="1" s="1"/>
  <c r="S1143" i="1"/>
  <c r="V1143" i="1"/>
  <c r="W1143" i="1" s="1"/>
  <c r="S1125" i="1"/>
  <c r="V1125" i="1"/>
  <c r="W1125" i="1" s="1"/>
  <c r="S1107" i="1"/>
  <c r="V1107" i="1"/>
  <c r="W1107" i="1" s="1"/>
  <c r="S1017" i="1"/>
  <c r="V1017" i="1"/>
  <c r="W1017" i="1" s="1"/>
  <c r="S801" i="1"/>
  <c r="V801" i="1"/>
  <c r="W801" i="1" s="1"/>
  <c r="S765" i="1"/>
  <c r="V765" i="1"/>
  <c r="W765" i="1" s="1"/>
  <c r="S657" i="1"/>
  <c r="V657" i="1"/>
  <c r="W657" i="1" s="1"/>
  <c r="S621" i="1"/>
  <c r="V621" i="1"/>
  <c r="W621" i="1" s="1"/>
  <c r="S531" i="1"/>
  <c r="V531" i="1"/>
  <c r="W531" i="1" s="1"/>
  <c r="S495" i="1"/>
  <c r="V495" i="1"/>
  <c r="W495" i="1" s="1"/>
  <c r="S459" i="1"/>
  <c r="V459" i="1"/>
  <c r="W459" i="1" s="1"/>
  <c r="S225" i="1"/>
  <c r="V225" i="1"/>
  <c r="W225" i="1" s="1"/>
  <c r="S189" i="1"/>
  <c r="V189" i="1"/>
  <c r="W189" i="1" s="1"/>
  <c r="S153" i="1"/>
  <c r="V153" i="1"/>
  <c r="W153" i="1" s="1"/>
  <c r="S135" i="1"/>
  <c r="V135" i="1"/>
  <c r="W135" i="1" s="1"/>
  <c r="S63" i="1"/>
  <c r="V63" i="1"/>
  <c r="W63" i="1" s="1"/>
  <c r="V549" i="1"/>
  <c r="W549" i="1" s="1"/>
  <c r="S1142" i="1"/>
  <c r="V1142" i="1"/>
  <c r="W1142" i="1" s="1"/>
  <c r="S1088" i="1"/>
  <c r="V1088" i="1"/>
  <c r="W1088" i="1" s="1"/>
  <c r="S1052" i="1"/>
  <c r="V1052" i="1"/>
  <c r="W1052" i="1" s="1"/>
  <c r="S854" i="1"/>
  <c r="V854" i="1"/>
  <c r="W854" i="1" s="1"/>
  <c r="S836" i="1"/>
  <c r="V836" i="1"/>
  <c r="W836" i="1" s="1"/>
  <c r="S800" i="1"/>
  <c r="V800" i="1"/>
  <c r="W800" i="1" s="1"/>
  <c r="S746" i="1"/>
  <c r="V746" i="1"/>
  <c r="W746" i="1" s="1"/>
  <c r="S710" i="1"/>
  <c r="V710" i="1"/>
  <c r="W710" i="1" s="1"/>
  <c r="S602" i="1"/>
  <c r="V602" i="1"/>
  <c r="W602" i="1" s="1"/>
  <c r="S512" i="1"/>
  <c r="V512" i="1"/>
  <c r="W512" i="1" s="1"/>
  <c r="S476" i="1"/>
  <c r="V476" i="1"/>
  <c r="W476" i="1" s="1"/>
  <c r="S350" i="1"/>
  <c r="V350" i="1"/>
  <c r="W350" i="1" s="1"/>
  <c r="S314" i="1"/>
  <c r="V314" i="1"/>
  <c r="W314" i="1" s="1"/>
  <c r="S278" i="1"/>
  <c r="V278" i="1"/>
  <c r="W278" i="1" s="1"/>
  <c r="S242" i="1"/>
  <c r="V242" i="1"/>
  <c r="W242" i="1" s="1"/>
  <c r="S206" i="1"/>
  <c r="V206" i="1"/>
  <c r="W206" i="1" s="1"/>
  <c r="S170" i="1"/>
  <c r="V170" i="1"/>
  <c r="W170" i="1" s="1"/>
  <c r="S134" i="1"/>
  <c r="V134" i="1"/>
  <c r="W134" i="1" s="1"/>
  <c r="S80" i="1"/>
  <c r="V80" i="1"/>
  <c r="W80" i="1" s="1"/>
  <c r="S44" i="1"/>
  <c r="V44" i="1"/>
  <c r="W44" i="1" s="1"/>
  <c r="V1071" i="1"/>
  <c r="W1071" i="1" s="1"/>
  <c r="S817" i="1"/>
  <c r="V817" i="1"/>
  <c r="W817" i="1" s="1"/>
  <c r="S799" i="1"/>
  <c r="V799" i="1"/>
  <c r="W799" i="1" s="1"/>
  <c r="S781" i="1"/>
  <c r="V781" i="1"/>
  <c r="W781" i="1" s="1"/>
  <c r="S565" i="1"/>
  <c r="V565" i="1"/>
  <c r="W565" i="1" s="1"/>
  <c r="S457" i="1"/>
  <c r="V457" i="1"/>
  <c r="W457" i="1" s="1"/>
  <c r="S259" i="1"/>
  <c r="V259" i="1"/>
  <c r="W259" i="1" s="1"/>
  <c r="S187" i="1"/>
  <c r="V187" i="1"/>
  <c r="W187" i="1" s="1"/>
  <c r="S61" i="1"/>
  <c r="V61" i="1"/>
  <c r="W61" i="1" s="1"/>
  <c r="S25" i="1"/>
  <c r="V25" i="1"/>
  <c r="W25" i="1" s="1"/>
  <c r="V980" i="1"/>
  <c r="W980" i="1" s="1"/>
  <c r="V369" i="1"/>
  <c r="W369" i="1" s="1"/>
  <c r="V315" i="1"/>
  <c r="W315" i="1" s="1"/>
  <c r="V172" i="1"/>
  <c r="W172" i="1" s="1"/>
  <c r="S940" i="1"/>
  <c r="V940" i="1"/>
  <c r="W940" i="1" s="1"/>
  <c r="S220" i="1"/>
  <c r="V220" i="1"/>
  <c r="W220" i="1" s="1"/>
  <c r="S58" i="1"/>
  <c r="V58" i="1"/>
  <c r="W58" i="1" s="1"/>
  <c r="V889" i="1"/>
  <c r="W889" i="1" s="1"/>
  <c r="V585" i="1"/>
  <c r="W585" i="1" s="1"/>
  <c r="V928" i="1"/>
  <c r="W928" i="1" s="1"/>
  <c r="V584" i="1"/>
  <c r="W584" i="1" s="1"/>
  <c r="V405" i="1"/>
  <c r="W405" i="1" s="1"/>
  <c r="V927" i="1"/>
  <c r="W927" i="1" s="1"/>
  <c r="V838" i="1"/>
  <c r="W838" i="1" s="1"/>
  <c r="V404" i="1"/>
  <c r="W404" i="1" s="1"/>
  <c r="V926" i="1"/>
  <c r="W926" i="1" s="1"/>
  <c r="V837" i="1"/>
  <c r="W837" i="1" s="1"/>
  <c r="V207" i="1"/>
  <c r="W207" i="1" s="1"/>
  <c r="V151" i="1"/>
  <c r="W151" i="1" s="1"/>
  <c r="V925" i="1"/>
  <c r="W925" i="1" s="1"/>
  <c r="V441" i="1"/>
  <c r="W441" i="1" s="1"/>
  <c r="V1063" i="1"/>
  <c r="W1063" i="1" s="1"/>
  <c r="V901" i="1"/>
  <c r="W901" i="1" s="1"/>
  <c r="V739" i="1"/>
  <c r="W739" i="1" s="1"/>
  <c r="V559" i="1"/>
  <c r="W559" i="1" s="1"/>
  <c r="V882" i="1"/>
  <c r="W882" i="1" s="1"/>
  <c r="V558" i="1"/>
  <c r="W558" i="1" s="1"/>
  <c r="S1187" i="1"/>
  <c r="V1187" i="1"/>
  <c r="W1187" i="1" s="1"/>
  <c r="V1043" i="1"/>
  <c r="W1043" i="1" s="1"/>
  <c r="S1007" i="1"/>
  <c r="V1007" i="1"/>
  <c r="W1007" i="1" s="1"/>
  <c r="V863" i="1"/>
  <c r="W863" i="1" s="1"/>
  <c r="S719" i="1"/>
  <c r="V719" i="1"/>
  <c r="W719" i="1" s="1"/>
  <c r="V683" i="1"/>
  <c r="W683" i="1" s="1"/>
  <c r="S539" i="1"/>
  <c r="V539" i="1"/>
  <c r="W539" i="1" s="1"/>
  <c r="V503" i="1"/>
  <c r="W503" i="1" s="1"/>
  <c r="V449" i="1"/>
  <c r="W449" i="1" s="1"/>
  <c r="V323" i="1"/>
  <c r="W323" i="1" s="1"/>
  <c r="S233" i="1"/>
  <c r="V233" i="1"/>
  <c r="W233" i="1" s="1"/>
  <c r="V179" i="1"/>
  <c r="W179" i="1" s="1"/>
  <c r="S143" i="1"/>
  <c r="V143" i="1"/>
  <c r="W143" i="1" s="1"/>
  <c r="S1185" i="1"/>
  <c r="V1185" i="1"/>
  <c r="W1185" i="1" s="1"/>
  <c r="S1113" i="1"/>
  <c r="V1113" i="1"/>
  <c r="W1113" i="1" s="1"/>
  <c r="S1023" i="1"/>
  <c r="V1023" i="1"/>
  <c r="W1023" i="1" s="1"/>
  <c r="S969" i="1"/>
  <c r="V969" i="1"/>
  <c r="W969" i="1" s="1"/>
  <c r="S861" i="1"/>
  <c r="V861" i="1"/>
  <c r="W861" i="1" s="1"/>
  <c r="S843" i="1"/>
  <c r="V843" i="1"/>
  <c r="W843" i="1" s="1"/>
  <c r="S825" i="1"/>
  <c r="V825" i="1"/>
  <c r="W825" i="1" s="1"/>
  <c r="S699" i="1"/>
  <c r="V699" i="1"/>
  <c r="W699" i="1" s="1"/>
  <c r="S681" i="1"/>
  <c r="V681" i="1"/>
  <c r="W681" i="1" s="1"/>
  <c r="S645" i="1"/>
  <c r="V645" i="1"/>
  <c r="W645" i="1" s="1"/>
  <c r="S555" i="1"/>
  <c r="V555" i="1"/>
  <c r="W555" i="1" s="1"/>
  <c r="S537" i="1"/>
  <c r="V537" i="1"/>
  <c r="W537" i="1" s="1"/>
  <c r="S429" i="1"/>
  <c r="V429" i="1"/>
  <c r="W429" i="1" s="1"/>
  <c r="S375" i="1"/>
  <c r="V375" i="1"/>
  <c r="W375" i="1" s="1"/>
  <c r="S321" i="1"/>
  <c r="V321" i="1"/>
  <c r="W321" i="1" s="1"/>
  <c r="S267" i="1"/>
  <c r="V267" i="1"/>
  <c r="W267" i="1" s="1"/>
  <c r="S231" i="1"/>
  <c r="V231" i="1"/>
  <c r="W231" i="1" s="1"/>
  <c r="S159" i="1"/>
  <c r="V159" i="1"/>
  <c r="W159" i="1" s="1"/>
  <c r="S141" i="1"/>
  <c r="V141" i="1"/>
  <c r="W141" i="1" s="1"/>
  <c r="S105" i="1"/>
  <c r="V105" i="1"/>
  <c r="W105" i="1" s="1"/>
  <c r="S51" i="1"/>
  <c r="V51" i="1"/>
  <c r="W51" i="1" s="1"/>
  <c r="V1168" i="1"/>
  <c r="W1168" i="1" s="1"/>
  <c r="V1079" i="1"/>
  <c r="W1079" i="1" s="1"/>
  <c r="V879" i="1"/>
  <c r="W879" i="1" s="1"/>
  <c r="V826" i="1"/>
  <c r="W826" i="1" s="1"/>
  <c r="V195" i="1"/>
  <c r="W195" i="1" s="1"/>
  <c r="S1166" i="1"/>
  <c r="V1166" i="1"/>
  <c r="W1166" i="1" s="1"/>
  <c r="S1040" i="1"/>
  <c r="V1040" i="1"/>
  <c r="W1040" i="1" s="1"/>
  <c r="S1004" i="1"/>
  <c r="V1004" i="1"/>
  <c r="W1004" i="1" s="1"/>
  <c r="S968" i="1"/>
  <c r="V968" i="1"/>
  <c r="W968" i="1" s="1"/>
  <c r="S950" i="1"/>
  <c r="V950" i="1"/>
  <c r="W950" i="1" s="1"/>
  <c r="S824" i="1"/>
  <c r="V824" i="1"/>
  <c r="W824" i="1" s="1"/>
  <c r="S680" i="1"/>
  <c r="V680" i="1"/>
  <c r="W680" i="1" s="1"/>
  <c r="S626" i="1"/>
  <c r="V626" i="1"/>
  <c r="W626" i="1" s="1"/>
  <c r="S554" i="1"/>
  <c r="V554" i="1"/>
  <c r="W554" i="1" s="1"/>
  <c r="S410" i="1"/>
  <c r="V410" i="1"/>
  <c r="W410" i="1" s="1"/>
  <c r="V935" i="1"/>
  <c r="W935" i="1" s="1"/>
  <c r="V878" i="1"/>
  <c r="W878" i="1" s="1"/>
  <c r="V735" i="1"/>
  <c r="W735" i="1" s="1"/>
  <c r="V536" i="1"/>
  <c r="W536" i="1" s="1"/>
  <c r="V1183" i="1"/>
  <c r="W1183" i="1" s="1"/>
  <c r="S1165" i="1"/>
  <c r="V1165" i="1"/>
  <c r="W1165" i="1" s="1"/>
  <c r="S1039" i="1"/>
  <c r="V1039" i="1"/>
  <c r="W1039" i="1" s="1"/>
  <c r="S1003" i="1"/>
  <c r="V1003" i="1"/>
  <c r="W1003" i="1" s="1"/>
  <c r="S967" i="1"/>
  <c r="V967" i="1"/>
  <c r="W967" i="1" s="1"/>
  <c r="S931" i="1"/>
  <c r="V931" i="1"/>
  <c r="W931" i="1" s="1"/>
  <c r="S895" i="1"/>
  <c r="V895" i="1"/>
  <c r="W895" i="1" s="1"/>
  <c r="S841" i="1"/>
  <c r="V841" i="1"/>
  <c r="W841" i="1" s="1"/>
  <c r="S823" i="1"/>
  <c r="V823" i="1"/>
  <c r="W823" i="1" s="1"/>
  <c r="V751" i="1"/>
  <c r="W751" i="1" s="1"/>
  <c r="S661" i="1"/>
  <c r="V661" i="1"/>
  <c r="W661" i="1" s="1"/>
  <c r="S607" i="1"/>
  <c r="V607" i="1"/>
  <c r="W607" i="1" s="1"/>
  <c r="S517" i="1"/>
  <c r="V517" i="1"/>
  <c r="W517" i="1" s="1"/>
  <c r="S481" i="1"/>
  <c r="V481" i="1"/>
  <c r="W481" i="1" s="1"/>
  <c r="V427" i="1"/>
  <c r="W427" i="1" s="1"/>
  <c r="S409" i="1"/>
  <c r="V409" i="1"/>
  <c r="W409" i="1" s="1"/>
  <c r="V319" i="1"/>
  <c r="W319" i="1" s="1"/>
  <c r="V301" i="1"/>
  <c r="W301" i="1" s="1"/>
  <c r="V193" i="1"/>
  <c r="W193" i="1" s="1"/>
  <c r="V157" i="1"/>
  <c r="W157" i="1" s="1"/>
  <c r="V139" i="1"/>
  <c r="W139" i="1" s="1"/>
  <c r="V121" i="1"/>
  <c r="W121" i="1" s="1"/>
  <c r="V49" i="1"/>
  <c r="W49" i="1" s="1"/>
  <c r="S13" i="1"/>
  <c r="V13" i="1"/>
  <c r="W13" i="1" s="1"/>
  <c r="V1077" i="1"/>
  <c r="W1077" i="1" s="1"/>
  <c r="V934" i="1"/>
  <c r="W934" i="1" s="1"/>
  <c r="V734" i="1"/>
  <c r="W734" i="1" s="1"/>
  <c r="V678" i="1"/>
  <c r="W678" i="1" s="1"/>
  <c r="V593" i="1"/>
  <c r="W593" i="1" s="1"/>
  <c r="V354" i="1"/>
  <c r="W354" i="1" s="1"/>
  <c r="V287" i="1"/>
  <c r="W287" i="1" s="1"/>
  <c r="V192" i="1"/>
  <c r="W192" i="1" s="1"/>
  <c r="V125" i="1"/>
  <c r="W125" i="1" s="1"/>
  <c r="V30" i="1"/>
  <c r="W30" i="1" s="1"/>
  <c r="V451" i="1"/>
  <c r="W451" i="1" s="1"/>
  <c r="V253" i="1"/>
  <c r="W253" i="1" s="1"/>
  <c r="V450" i="1"/>
  <c r="W450" i="1" s="1"/>
  <c r="V1061" i="1"/>
  <c r="W1061" i="1" s="1"/>
  <c r="S917" i="1"/>
  <c r="V917" i="1"/>
  <c r="W917" i="1" s="1"/>
  <c r="V881" i="1"/>
  <c r="W881" i="1" s="1"/>
  <c r="S773" i="1"/>
  <c r="V773" i="1"/>
  <c r="W773" i="1" s="1"/>
  <c r="S701" i="1"/>
  <c r="V701" i="1"/>
  <c r="W701" i="1" s="1"/>
  <c r="V629" i="1"/>
  <c r="W629" i="1" s="1"/>
  <c r="V431" i="1"/>
  <c r="W431" i="1" s="1"/>
  <c r="V359" i="1"/>
  <c r="W359" i="1" s="1"/>
  <c r="S341" i="1"/>
  <c r="V341" i="1"/>
  <c r="W341" i="1" s="1"/>
  <c r="V269" i="1"/>
  <c r="W269" i="1" s="1"/>
  <c r="S215" i="1"/>
  <c r="V215" i="1"/>
  <c r="W215" i="1" s="1"/>
  <c r="V161" i="1"/>
  <c r="W161" i="1" s="1"/>
  <c r="S107" i="1"/>
  <c r="V107" i="1"/>
  <c r="W107" i="1" s="1"/>
  <c r="S71" i="1"/>
  <c r="V71" i="1"/>
  <c r="W71" i="1" s="1"/>
  <c r="S53" i="1"/>
  <c r="V53" i="1"/>
  <c r="W53" i="1" s="1"/>
  <c r="S17" i="1"/>
  <c r="V17" i="1"/>
  <c r="W17" i="1" s="1"/>
  <c r="V197" i="1"/>
  <c r="W197" i="1" s="1"/>
  <c r="S1186" i="1"/>
  <c r="V1186" i="1"/>
  <c r="W1186" i="1" s="1"/>
  <c r="V1114" i="1"/>
  <c r="W1114" i="1" s="1"/>
  <c r="V1042" i="1"/>
  <c r="W1042" i="1" s="1"/>
  <c r="V1024" i="1"/>
  <c r="W1024" i="1" s="1"/>
  <c r="S988" i="1"/>
  <c r="V988" i="1"/>
  <c r="W988" i="1" s="1"/>
  <c r="S970" i="1"/>
  <c r="V970" i="1"/>
  <c r="W970" i="1" s="1"/>
  <c r="V862" i="1"/>
  <c r="W862" i="1" s="1"/>
  <c r="V772" i="1"/>
  <c r="W772" i="1" s="1"/>
  <c r="S700" i="1"/>
  <c r="V700" i="1"/>
  <c r="W700" i="1" s="1"/>
  <c r="V664" i="1"/>
  <c r="W664" i="1" s="1"/>
  <c r="S628" i="1"/>
  <c r="V628" i="1"/>
  <c r="W628" i="1" s="1"/>
  <c r="V556" i="1"/>
  <c r="W556" i="1" s="1"/>
  <c r="S538" i="1"/>
  <c r="V538" i="1"/>
  <c r="W538" i="1" s="1"/>
  <c r="V430" i="1"/>
  <c r="W430" i="1" s="1"/>
  <c r="V376" i="1"/>
  <c r="W376" i="1" s="1"/>
  <c r="V340" i="1"/>
  <c r="W340" i="1" s="1"/>
  <c r="V322" i="1"/>
  <c r="W322" i="1" s="1"/>
  <c r="S268" i="1"/>
  <c r="V268" i="1"/>
  <c r="W268" i="1" s="1"/>
  <c r="V250" i="1"/>
  <c r="W250" i="1" s="1"/>
  <c r="S232" i="1"/>
  <c r="V232" i="1"/>
  <c r="W232" i="1" s="1"/>
  <c r="S214" i="1"/>
  <c r="V214" i="1"/>
  <c r="W214" i="1" s="1"/>
  <c r="V160" i="1"/>
  <c r="W160" i="1" s="1"/>
  <c r="V142" i="1"/>
  <c r="W142" i="1" s="1"/>
  <c r="S106" i="1"/>
  <c r="V106" i="1"/>
  <c r="W106" i="1" s="1"/>
  <c r="S52" i="1"/>
  <c r="V52" i="1"/>
  <c r="W52" i="1" s="1"/>
  <c r="V1169" i="1"/>
  <c r="W1169" i="1" s="1"/>
  <c r="V971" i="1"/>
  <c r="W971" i="1" s="1"/>
  <c r="V880" i="1"/>
  <c r="W880" i="1" s="1"/>
  <c r="V827" i="1"/>
  <c r="W827" i="1" s="1"/>
  <c r="V196" i="1"/>
  <c r="W196" i="1" s="1"/>
  <c r="S1184" i="1"/>
  <c r="V1184" i="1"/>
  <c r="W1184" i="1" s="1"/>
  <c r="S1112" i="1"/>
  <c r="V1112" i="1"/>
  <c r="W1112" i="1" s="1"/>
  <c r="S1022" i="1"/>
  <c r="V1022" i="1"/>
  <c r="W1022" i="1" s="1"/>
  <c r="S896" i="1"/>
  <c r="V896" i="1"/>
  <c r="W896" i="1" s="1"/>
  <c r="S842" i="1"/>
  <c r="V842" i="1"/>
  <c r="W842" i="1" s="1"/>
  <c r="S698" i="1"/>
  <c r="V698" i="1"/>
  <c r="W698" i="1" s="1"/>
  <c r="S518" i="1"/>
  <c r="V518" i="1"/>
  <c r="W518" i="1" s="1"/>
  <c r="S374" i="1"/>
  <c r="V374" i="1"/>
  <c r="W374" i="1" s="1"/>
  <c r="S320" i="1"/>
  <c r="V320" i="1"/>
  <c r="W320" i="1" s="1"/>
  <c r="S14" i="1"/>
  <c r="V14" i="1"/>
  <c r="W14" i="1" s="1"/>
  <c r="V1167" i="1"/>
  <c r="W1167" i="1" s="1"/>
  <c r="V1078" i="1"/>
  <c r="W1078" i="1" s="1"/>
  <c r="S679" i="1"/>
  <c r="V679" i="1"/>
  <c r="W679" i="1" s="1"/>
  <c r="S1164" i="1"/>
  <c r="V1164" i="1"/>
  <c r="W1164" i="1" s="1"/>
  <c r="S1146" i="1"/>
  <c r="V1146" i="1"/>
  <c r="W1146" i="1" s="1"/>
  <c r="S1038" i="1"/>
  <c r="V1038" i="1"/>
  <c r="W1038" i="1" s="1"/>
  <c r="S1002" i="1"/>
  <c r="V1002" i="1"/>
  <c r="W1002" i="1" s="1"/>
  <c r="S984" i="1"/>
  <c r="V984" i="1"/>
  <c r="W984" i="1" s="1"/>
  <c r="S912" i="1"/>
  <c r="V912" i="1"/>
  <c r="W912" i="1" s="1"/>
  <c r="S894" i="1"/>
  <c r="V894" i="1"/>
  <c r="W894" i="1" s="1"/>
  <c r="S822" i="1"/>
  <c r="V822" i="1"/>
  <c r="W822" i="1" s="1"/>
  <c r="S660" i="1"/>
  <c r="V660" i="1"/>
  <c r="W660" i="1" s="1"/>
  <c r="S606" i="1"/>
  <c r="V606" i="1"/>
  <c r="W606" i="1" s="1"/>
  <c r="S588" i="1"/>
  <c r="V588" i="1"/>
  <c r="W588" i="1" s="1"/>
  <c r="S516" i="1"/>
  <c r="V516" i="1"/>
  <c r="W516" i="1" s="1"/>
  <c r="S480" i="1"/>
  <c r="V480" i="1"/>
  <c r="W480" i="1" s="1"/>
  <c r="S408" i="1"/>
  <c r="V408" i="1"/>
  <c r="W408" i="1" s="1"/>
  <c r="S300" i="1"/>
  <c r="V300" i="1"/>
  <c r="W300" i="1" s="1"/>
  <c r="S210" i="1"/>
  <c r="V210" i="1"/>
  <c r="W210" i="1" s="1"/>
  <c r="S174" i="1"/>
  <c r="V174" i="1"/>
  <c r="W174" i="1" s="1"/>
  <c r="S48" i="1"/>
  <c r="V48" i="1"/>
  <c r="W48" i="1" s="1"/>
  <c r="V1076" i="1"/>
  <c r="W1076" i="1" s="1"/>
  <c r="V933" i="1"/>
  <c r="W933" i="1" s="1"/>
  <c r="V876" i="1"/>
  <c r="W876" i="1" s="1"/>
  <c r="V789" i="1"/>
  <c r="W789" i="1" s="1"/>
  <c r="V733" i="1"/>
  <c r="W733" i="1" s="1"/>
  <c r="V592" i="1"/>
  <c r="W592" i="1" s="1"/>
  <c r="V501" i="1"/>
  <c r="W501" i="1" s="1"/>
  <c r="V413" i="1"/>
  <c r="W413" i="1" s="1"/>
  <c r="V286" i="1"/>
  <c r="W286" i="1" s="1"/>
  <c r="V124" i="1"/>
  <c r="W124" i="1" s="1"/>
  <c r="S1122" i="1"/>
  <c r="V1122" i="1"/>
  <c r="W1122" i="1" s="1"/>
  <c r="S1104" i="1"/>
  <c r="V1104" i="1"/>
  <c r="W1104" i="1" s="1"/>
  <c r="V1086" i="1"/>
  <c r="W1086" i="1" s="1"/>
  <c r="S942" i="1"/>
  <c r="V942" i="1"/>
  <c r="W942" i="1" s="1"/>
  <c r="S924" i="1"/>
  <c r="V924" i="1"/>
  <c r="W924" i="1" s="1"/>
  <c r="S798" i="1"/>
  <c r="V798" i="1"/>
  <c r="W798" i="1" s="1"/>
  <c r="V762" i="1"/>
  <c r="W762" i="1" s="1"/>
  <c r="S600" i="1"/>
  <c r="V600" i="1"/>
  <c r="W600" i="1" s="1"/>
  <c r="V474" i="1"/>
  <c r="W474" i="1" s="1"/>
  <c r="S456" i="1"/>
  <c r="V456" i="1"/>
  <c r="W456" i="1" s="1"/>
  <c r="S366" i="1"/>
  <c r="V366" i="1"/>
  <c r="W366" i="1" s="1"/>
  <c r="S276" i="1"/>
  <c r="V276" i="1"/>
  <c r="W276" i="1" s="1"/>
  <c r="S240" i="1"/>
  <c r="V240" i="1"/>
  <c r="W240" i="1" s="1"/>
  <c r="S186" i="1"/>
  <c r="V186" i="1"/>
  <c r="W186" i="1" s="1"/>
  <c r="S78" i="1"/>
  <c r="V78" i="1"/>
  <c r="W78" i="1" s="1"/>
  <c r="V797" i="1"/>
  <c r="W797" i="1" s="1"/>
  <c r="S1103" i="1"/>
  <c r="V1103" i="1"/>
  <c r="W1103" i="1" s="1"/>
  <c r="S1085" i="1"/>
  <c r="V1085" i="1"/>
  <c r="W1085" i="1" s="1"/>
  <c r="S923" i="1"/>
  <c r="V923" i="1"/>
  <c r="W923" i="1" s="1"/>
  <c r="S779" i="1"/>
  <c r="V779" i="1"/>
  <c r="W779" i="1" s="1"/>
  <c r="V761" i="1"/>
  <c r="W761" i="1" s="1"/>
  <c r="S743" i="1"/>
  <c r="V743" i="1"/>
  <c r="W743" i="1" s="1"/>
  <c r="S599" i="1"/>
  <c r="V599" i="1"/>
  <c r="W599" i="1" s="1"/>
  <c r="V581" i="1"/>
  <c r="W581" i="1" s="1"/>
  <c r="V473" i="1"/>
  <c r="W473" i="1" s="1"/>
  <c r="V455" i="1"/>
  <c r="W455" i="1" s="1"/>
  <c r="S437" i="1"/>
  <c r="V437" i="1"/>
  <c r="W437" i="1" s="1"/>
  <c r="V347" i="1"/>
  <c r="W347" i="1" s="1"/>
  <c r="S275" i="1"/>
  <c r="V275" i="1"/>
  <c r="W275" i="1" s="1"/>
  <c r="S239" i="1"/>
  <c r="V239" i="1"/>
  <c r="W239" i="1" s="1"/>
  <c r="S185" i="1"/>
  <c r="V185" i="1"/>
  <c r="W185" i="1" s="1"/>
  <c r="S95" i="1"/>
  <c r="V95" i="1"/>
  <c r="W95" i="1" s="1"/>
  <c r="S77" i="1"/>
  <c r="V77" i="1"/>
  <c r="W77" i="1" s="1"/>
  <c r="V59" i="1"/>
  <c r="W59" i="1" s="1"/>
  <c r="V941" i="1"/>
  <c r="W941" i="1" s="1"/>
  <c r="V870" i="1"/>
  <c r="W870" i="1" s="1"/>
  <c r="V722" i="1"/>
  <c r="W722" i="1" s="1"/>
  <c r="V1045" i="1"/>
  <c r="W1045" i="1" s="1"/>
  <c r="V721" i="1"/>
  <c r="W721" i="1" s="1"/>
  <c r="V397" i="1"/>
  <c r="W397" i="1" s="1"/>
  <c r="V379" i="1"/>
  <c r="W379" i="1" s="1"/>
  <c r="V307" i="1"/>
  <c r="W307" i="1" s="1"/>
  <c r="V199" i="1"/>
  <c r="W199" i="1" s="1"/>
  <c r="V37" i="1"/>
  <c r="W37" i="1" s="1"/>
  <c r="V720" i="1"/>
  <c r="W720" i="1" s="1"/>
  <c r="V254" i="1"/>
  <c r="W254" i="1" s="1"/>
  <c r="V72" i="1"/>
  <c r="W72" i="1" s="1"/>
  <c r="S1026" i="1"/>
  <c r="V1026" i="1"/>
  <c r="W1026" i="1" s="1"/>
  <c r="S702" i="1"/>
  <c r="V702" i="1"/>
  <c r="W702" i="1" s="1"/>
  <c r="S378" i="1"/>
  <c r="V378" i="1"/>
  <c r="W378" i="1" s="1"/>
  <c r="V360" i="1"/>
  <c r="W360" i="1" s="1"/>
  <c r="S288" i="1"/>
  <c r="V288" i="1"/>
  <c r="W288" i="1" s="1"/>
  <c r="V180" i="1"/>
  <c r="W180" i="1" s="1"/>
  <c r="V1062" i="1"/>
  <c r="W1062" i="1" s="1"/>
  <c r="V163" i="1"/>
  <c r="W163" i="1" s="1"/>
  <c r="S155" i="1"/>
  <c r="V155" i="1"/>
  <c r="W155" i="1" s="1"/>
  <c r="V893" i="1"/>
  <c r="W893" i="1" s="1"/>
  <c r="V569" i="1"/>
  <c r="W569" i="1" s="1"/>
  <c r="V903" i="1"/>
  <c r="W903" i="1" s="1"/>
  <c r="V723" i="1"/>
  <c r="W723" i="1" s="1"/>
  <c r="S814" i="1"/>
  <c r="S22" i="1"/>
  <c r="S1191" i="1"/>
  <c r="S1029" i="1"/>
  <c r="S885" i="1"/>
  <c r="S741" i="1"/>
  <c r="S561" i="1"/>
  <c r="S399" i="1"/>
  <c r="S237" i="1"/>
  <c r="S758" i="1"/>
  <c r="S488" i="1"/>
  <c r="S1138" i="1"/>
  <c r="S1102" i="1"/>
  <c r="S1066" i="1"/>
  <c r="S1030" i="1"/>
  <c r="S994" i="1"/>
  <c r="S904" i="1"/>
  <c r="S868" i="1"/>
  <c r="S832" i="1"/>
  <c r="S778" i="1"/>
  <c r="S742" i="1"/>
  <c r="S706" i="1"/>
  <c r="S670" i="1"/>
  <c r="S634" i="1"/>
  <c r="S580" i="1"/>
  <c r="S544" i="1"/>
  <c r="S508" i="1"/>
  <c r="S454" i="1"/>
  <c r="S436" i="1"/>
  <c r="S400" i="1"/>
  <c r="S364" i="1"/>
  <c r="S328" i="1"/>
  <c r="S292" i="1"/>
  <c r="S184" i="1"/>
  <c r="S148" i="1"/>
  <c r="S5" i="1"/>
  <c r="S1154" i="1"/>
  <c r="S1118" i="1"/>
  <c r="S1082" i="1"/>
  <c r="S1046" i="1"/>
  <c r="S992" i="1"/>
  <c r="S956" i="1"/>
  <c r="S920" i="1"/>
  <c r="S884" i="1"/>
  <c r="S848" i="1"/>
  <c r="S812" i="1"/>
  <c r="S776" i="1"/>
  <c r="S704" i="1"/>
  <c r="S668" i="1"/>
  <c r="S650" i="1"/>
  <c r="S632" i="1"/>
  <c r="S596" i="1"/>
  <c r="S560" i="1"/>
  <c r="S524" i="1"/>
  <c r="S470" i="1"/>
  <c r="S434" i="1"/>
  <c r="S416" i="1"/>
  <c r="S380" i="1"/>
  <c r="S344" i="1"/>
  <c r="S308" i="1"/>
  <c r="S236" i="1"/>
  <c r="S200" i="1"/>
  <c r="S182" i="1"/>
  <c r="S146" i="1"/>
  <c r="S92" i="1"/>
  <c r="S74" i="1"/>
  <c r="S38" i="1"/>
  <c r="S3" i="1"/>
  <c r="S1189" i="1"/>
  <c r="S1171" i="1"/>
  <c r="S1135" i="1"/>
  <c r="S1099" i="1"/>
  <c r="S1063" i="1"/>
  <c r="S1027" i="1"/>
  <c r="S991" i="1"/>
  <c r="S955" i="1"/>
  <c r="S919" i="1"/>
  <c r="S883" i="1"/>
  <c r="S847" i="1"/>
  <c r="S811" i="1"/>
  <c r="S757" i="1"/>
  <c r="S739" i="1"/>
  <c r="S703" i="1"/>
  <c r="S685" i="1"/>
  <c r="S667" i="1"/>
  <c r="S631" i="1"/>
  <c r="S577" i="1"/>
  <c r="S451" i="1"/>
  <c r="S415" i="1"/>
  <c r="S379" i="1"/>
  <c r="S361" i="1"/>
  <c r="S325" i="1"/>
  <c r="S253" i="1"/>
  <c r="S235" i="1"/>
  <c r="S199" i="1"/>
  <c r="S181" i="1"/>
  <c r="S109" i="1"/>
  <c r="S91" i="1"/>
  <c r="S73" i="1"/>
  <c r="S55" i="1"/>
  <c r="S19" i="1"/>
  <c r="S1192" i="1"/>
  <c r="S1156" i="1"/>
  <c r="S1120" i="1"/>
  <c r="S1084" i="1"/>
  <c r="S1012" i="1"/>
  <c r="S976" i="1"/>
  <c r="S958" i="1"/>
  <c r="S922" i="1"/>
  <c r="S886" i="1"/>
  <c r="S850" i="1"/>
  <c r="S796" i="1"/>
  <c r="S760" i="1"/>
  <c r="S688" i="1"/>
  <c r="S652" i="1"/>
  <c r="S616" i="1"/>
  <c r="S598" i="1"/>
  <c r="S562" i="1"/>
  <c r="S526" i="1"/>
  <c r="S490" i="1"/>
  <c r="S472" i="1"/>
  <c r="S418" i="1"/>
  <c r="S382" i="1"/>
  <c r="S346" i="1"/>
  <c r="S310" i="1"/>
  <c r="S274" i="1"/>
  <c r="S238" i="1"/>
  <c r="S202" i="1"/>
  <c r="S166" i="1"/>
  <c r="S130" i="1"/>
  <c r="S112" i="1"/>
  <c r="S76" i="1"/>
  <c r="S40" i="1"/>
  <c r="S1173" i="1"/>
  <c r="S1155" i="1"/>
  <c r="S1137" i="1"/>
  <c r="S1119" i="1"/>
  <c r="S1101" i="1"/>
  <c r="S1083" i="1"/>
  <c r="S1065" i="1"/>
  <c r="S1047" i="1"/>
  <c r="S1011" i="1"/>
  <c r="S993" i="1"/>
  <c r="S975" i="1"/>
  <c r="S957" i="1"/>
  <c r="S939" i="1"/>
  <c r="S921" i="1"/>
  <c r="S867" i="1"/>
  <c r="S849" i="1"/>
  <c r="S831" i="1"/>
  <c r="S813" i="1"/>
  <c r="S795" i="1"/>
  <c r="S777" i="1"/>
  <c r="S759" i="1"/>
  <c r="S705" i="1"/>
  <c r="S687" i="1"/>
  <c r="S669" i="1"/>
  <c r="S651" i="1"/>
  <c r="S633" i="1"/>
  <c r="S615" i="1"/>
  <c r="S597" i="1"/>
  <c r="S579" i="1"/>
  <c r="S543" i="1"/>
  <c r="S525" i="1"/>
  <c r="S507" i="1"/>
  <c r="S489" i="1"/>
  <c r="S471" i="1"/>
  <c r="S453" i="1"/>
  <c r="S435" i="1"/>
  <c r="S417" i="1"/>
  <c r="S381" i="1"/>
  <c r="S363" i="1"/>
  <c r="S345" i="1"/>
  <c r="S327" i="1"/>
  <c r="S309" i="1"/>
  <c r="S291" i="1"/>
  <c r="S273" i="1"/>
  <c r="S201" i="1"/>
  <c r="S183" i="1"/>
  <c r="S165" i="1"/>
  <c r="S147" i="1"/>
  <c r="S129" i="1"/>
  <c r="S111" i="1"/>
  <c r="S75" i="1"/>
  <c r="S39" i="1"/>
  <c r="S21" i="1"/>
  <c r="S4" i="1"/>
  <c r="S1190" i="1"/>
  <c r="S1172" i="1"/>
  <c r="S1136" i="1"/>
  <c r="S1100" i="1"/>
  <c r="S1064" i="1"/>
  <c r="S1028" i="1"/>
  <c r="S974" i="1"/>
  <c r="S938" i="1"/>
  <c r="S902" i="1"/>
  <c r="S866" i="1"/>
  <c r="S830" i="1"/>
  <c r="S794" i="1"/>
  <c r="S740" i="1"/>
  <c r="S686" i="1"/>
  <c r="S614" i="1"/>
  <c r="S578" i="1"/>
  <c r="S542" i="1"/>
  <c r="S506" i="1"/>
  <c r="S452" i="1"/>
  <c r="S398" i="1"/>
  <c r="S326" i="1"/>
  <c r="S290" i="1"/>
  <c r="S272" i="1"/>
  <c r="S164" i="1"/>
  <c r="S110" i="1"/>
  <c r="S20" i="1"/>
  <c r="S1153" i="1"/>
  <c r="S1117" i="1"/>
  <c r="S1081" i="1"/>
  <c r="S1045" i="1"/>
  <c r="S973" i="1"/>
  <c r="S937" i="1"/>
  <c r="S901" i="1"/>
  <c r="S865" i="1"/>
  <c r="S829" i="1"/>
  <c r="S793" i="1"/>
  <c r="S775" i="1"/>
  <c r="S721" i="1"/>
  <c r="S595" i="1"/>
  <c r="S559" i="1"/>
  <c r="S541" i="1"/>
  <c r="S505" i="1"/>
  <c r="S469" i="1"/>
  <c r="S433" i="1"/>
  <c r="S397" i="1"/>
  <c r="S343" i="1"/>
  <c r="S307" i="1"/>
  <c r="S271" i="1"/>
  <c r="S217" i="1"/>
  <c r="S145" i="1"/>
  <c r="S37" i="1"/>
  <c r="S1042" i="1"/>
  <c r="S727" i="1"/>
  <c r="S421" i="1"/>
  <c r="S133" i="1"/>
  <c r="S8" i="1"/>
  <c r="S1134" i="1"/>
  <c r="S954" i="1"/>
  <c r="S792" i="1"/>
  <c r="S630" i="1"/>
  <c r="S576" i="1"/>
  <c r="S396" i="1"/>
  <c r="S360" i="1"/>
  <c r="S324" i="1"/>
  <c r="S252" i="1"/>
  <c r="S180" i="1"/>
  <c r="S1133" i="1"/>
  <c r="S1061" i="1"/>
  <c r="S1025" i="1"/>
  <c r="S953" i="1"/>
  <c r="S881" i="1"/>
  <c r="S863" i="1"/>
  <c r="S809" i="1"/>
  <c r="S683" i="1"/>
  <c r="S557" i="1"/>
  <c r="S449" i="1"/>
  <c r="S377" i="1"/>
  <c r="S323" i="1"/>
  <c r="S251" i="1"/>
  <c r="S179" i="1"/>
  <c r="S1132" i="1"/>
  <c r="S1114" i="1"/>
  <c r="S1024" i="1"/>
  <c r="S952" i="1"/>
  <c r="S790" i="1"/>
  <c r="S682" i="1"/>
  <c r="S610" i="1"/>
  <c r="S502" i="1"/>
  <c r="S430" i="1"/>
  <c r="S322" i="1"/>
  <c r="S250" i="1"/>
  <c r="S142" i="1"/>
  <c r="S1159" i="1"/>
  <c r="S1087" i="1"/>
  <c r="S979" i="1"/>
  <c r="S853" i="1"/>
  <c r="S529" i="1"/>
  <c r="S475" i="1"/>
  <c r="S349" i="1"/>
  <c r="S241" i="1"/>
  <c r="S205" i="1"/>
  <c r="S1176" i="1"/>
  <c r="S1158" i="1"/>
  <c r="S1140" i="1"/>
  <c r="S1086" i="1"/>
  <c r="S1068" i="1"/>
  <c r="S996" i="1"/>
  <c r="S978" i="1"/>
  <c r="S906" i="1"/>
  <c r="S834" i="1"/>
  <c r="S762" i="1"/>
  <c r="S726" i="1"/>
  <c r="S708" i="1"/>
  <c r="S654" i="1"/>
  <c r="S618" i="1"/>
  <c r="S582" i="1"/>
  <c r="S528" i="1"/>
  <c r="S510" i="1"/>
  <c r="S474" i="1"/>
  <c r="S420" i="1"/>
  <c r="S402" i="1"/>
  <c r="S348" i="1"/>
  <c r="S294" i="1"/>
  <c r="S222" i="1"/>
  <c r="S204" i="1"/>
  <c r="S132" i="1"/>
  <c r="S114" i="1"/>
  <c r="S60" i="1"/>
  <c r="S42" i="1"/>
  <c r="S24" i="1"/>
  <c r="S7" i="1"/>
  <c r="S1080" i="1"/>
  <c r="S1044" i="1"/>
  <c r="S972" i="1"/>
  <c r="S918" i="1"/>
  <c r="S882" i="1"/>
  <c r="S810" i="1"/>
  <c r="S738" i="1"/>
  <c r="S684" i="1"/>
  <c r="S558" i="1"/>
  <c r="S504" i="1"/>
  <c r="S468" i="1"/>
  <c r="S450" i="1"/>
  <c r="S270" i="1"/>
  <c r="S162" i="1"/>
  <c r="S90" i="1"/>
  <c r="S1115" i="1"/>
  <c r="S1043" i="1"/>
  <c r="S899" i="1"/>
  <c r="S791" i="1"/>
  <c r="S737" i="1"/>
  <c r="S629" i="1"/>
  <c r="S575" i="1"/>
  <c r="S503" i="1"/>
  <c r="S467" i="1"/>
  <c r="S431" i="1"/>
  <c r="S395" i="1"/>
  <c r="S359" i="1"/>
  <c r="S269" i="1"/>
  <c r="S161" i="1"/>
  <c r="S89" i="1"/>
  <c r="S1060" i="1"/>
  <c r="S898" i="1"/>
  <c r="S862" i="1"/>
  <c r="S808" i="1"/>
  <c r="S772" i="1"/>
  <c r="S736" i="1"/>
  <c r="S664" i="1"/>
  <c r="S556" i="1"/>
  <c r="S448" i="1"/>
  <c r="S376" i="1"/>
  <c r="S340" i="1"/>
  <c r="S304" i="1"/>
  <c r="S178" i="1"/>
  <c r="S160" i="1"/>
  <c r="S88" i="1"/>
  <c r="S70" i="1"/>
  <c r="S12" i="1"/>
  <c r="S11" i="1"/>
  <c r="S1177" i="1"/>
  <c r="S1141" i="1"/>
  <c r="S1069" i="1"/>
  <c r="S997" i="1"/>
  <c r="S907" i="1"/>
  <c r="S835" i="1"/>
  <c r="S763" i="1"/>
  <c r="S709" i="1"/>
  <c r="S655" i="1"/>
  <c r="S619" i="1"/>
  <c r="S583" i="1"/>
  <c r="S511" i="1"/>
  <c r="S403" i="1"/>
  <c r="S313" i="1"/>
  <c r="S295" i="1"/>
  <c r="S223" i="1"/>
  <c r="S79" i="1"/>
  <c r="S43" i="1"/>
  <c r="S1157" i="1"/>
  <c r="S1121" i="1"/>
  <c r="S1067" i="1"/>
  <c r="S995" i="1"/>
  <c r="S977" i="1"/>
  <c r="S959" i="1"/>
  <c r="S905" i="1"/>
  <c r="S833" i="1"/>
  <c r="S815" i="1"/>
  <c r="S761" i="1"/>
  <c r="S725" i="1"/>
  <c r="S707" i="1"/>
  <c r="S653" i="1"/>
  <c r="S617" i="1"/>
  <c r="S581" i="1"/>
  <c r="S527" i="1"/>
  <c r="S509" i="1"/>
  <c r="S473" i="1"/>
  <c r="S455" i="1"/>
  <c r="S419" i="1"/>
  <c r="S401" i="1"/>
  <c r="S347" i="1"/>
  <c r="S293" i="1"/>
  <c r="S221" i="1"/>
  <c r="S203" i="1"/>
  <c r="S131" i="1"/>
  <c r="S113" i="1"/>
  <c r="S59" i="1"/>
  <c r="S41" i="1"/>
  <c r="S23" i="1"/>
  <c r="S6" i="1"/>
  <c r="S1021" i="1"/>
  <c r="S877" i="1"/>
  <c r="S751" i="1"/>
  <c r="S643" i="1"/>
  <c r="S535" i="1"/>
  <c r="S427" i="1"/>
  <c r="S301" i="1"/>
  <c r="S265" i="1"/>
  <c r="S211" i="1"/>
  <c r="S175" i="1"/>
  <c r="S121" i="1"/>
  <c r="S85" i="1"/>
  <c r="S49" i="1"/>
  <c r="S1163" i="1"/>
  <c r="S1001" i="1"/>
  <c r="S857" i="1"/>
  <c r="S641" i="1"/>
  <c r="S425" i="1"/>
  <c r="S317" i="1"/>
  <c r="S281" i="1"/>
  <c r="S119" i="1"/>
  <c r="S1162" i="1"/>
  <c r="S874" i="1"/>
  <c r="S784" i="1"/>
  <c r="S748" i="1"/>
  <c r="S712" i="1"/>
  <c r="S676" i="1"/>
  <c r="S640" i="1"/>
  <c r="S604" i="1"/>
  <c r="S568" i="1"/>
  <c r="S532" i="1"/>
  <c r="S496" i="1"/>
  <c r="S460" i="1"/>
  <c r="S424" i="1"/>
  <c r="S388" i="1"/>
  <c r="S352" i="1"/>
  <c r="S100" i="1"/>
  <c r="S1183" i="1"/>
  <c r="S319" i="1"/>
  <c r="S283" i="1"/>
  <c r="S247" i="1"/>
  <c r="S229" i="1"/>
  <c r="S193" i="1"/>
  <c r="S157" i="1"/>
  <c r="S139" i="1"/>
  <c r="S103" i="1"/>
  <c r="S67" i="1"/>
  <c r="S31" i="1"/>
  <c r="S1182" i="1"/>
  <c r="S1020" i="1"/>
  <c r="S750" i="1"/>
  <c r="S642" i="1"/>
  <c r="S534" i="1"/>
  <c r="S426" i="1"/>
  <c r="S318" i="1"/>
  <c r="S282" i="1"/>
  <c r="S120" i="1"/>
  <c r="S749" i="1"/>
  <c r="S533" i="1"/>
  <c r="S1000" i="1"/>
  <c r="S892" i="1"/>
  <c r="S856" i="1"/>
  <c r="S820" i="1"/>
  <c r="S802" i="1"/>
  <c r="S766" i="1"/>
  <c r="S730" i="1"/>
  <c r="S694" i="1"/>
  <c r="S658" i="1"/>
  <c r="S622" i="1"/>
  <c r="S586" i="1"/>
  <c r="S550" i="1"/>
  <c r="S514" i="1"/>
  <c r="S478" i="1"/>
  <c r="S442" i="1"/>
  <c r="S406" i="1"/>
  <c r="S370" i="1"/>
  <c r="S334" i="1"/>
  <c r="S316" i="1"/>
  <c r="S262" i="1"/>
  <c r="S2" i="1"/>
  <c r="S302" i="1"/>
  <c r="S284" i="1"/>
  <c r="S266" i="1"/>
  <c r="S248" i="1"/>
  <c r="S230" i="1"/>
  <c r="S212" i="1"/>
  <c r="S194" i="1"/>
  <c r="S176" i="1"/>
  <c r="S158" i="1"/>
  <c r="S140" i="1"/>
  <c r="S122" i="1"/>
  <c r="S104" i="1"/>
  <c r="S86" i="1"/>
  <c r="S68" i="1"/>
  <c r="S50" i="1"/>
  <c r="S32" i="1"/>
  <c r="F1149" i="1"/>
  <c r="F1046" i="1"/>
  <c r="F923" i="1"/>
  <c r="F811" i="1"/>
  <c r="F679" i="1"/>
  <c r="F509" i="1"/>
  <c r="F382" i="1"/>
  <c r="F217" i="1"/>
  <c r="F1148" i="1"/>
  <c r="F1044" i="1"/>
  <c r="F922" i="1"/>
  <c r="F785" i="1"/>
  <c r="F678" i="1"/>
  <c r="F504" i="1"/>
  <c r="F381" i="1"/>
  <c r="F201" i="1"/>
  <c r="F1146" i="1"/>
  <c r="F1043" i="1"/>
  <c r="F910" i="1"/>
  <c r="F784" i="1"/>
  <c r="F668" i="1"/>
  <c r="F503" i="1"/>
  <c r="F360" i="1"/>
  <c r="F198" i="1"/>
  <c r="F1145" i="1"/>
  <c r="F1042" i="1"/>
  <c r="F905" i="1"/>
  <c r="F767" i="1"/>
  <c r="F667" i="1"/>
  <c r="F502" i="1"/>
  <c r="F359" i="1"/>
  <c r="F197" i="1"/>
  <c r="F1144" i="1"/>
  <c r="F1003" i="1"/>
  <c r="F900" i="1"/>
  <c r="F760" i="1"/>
  <c r="F665" i="1"/>
  <c r="F501" i="1"/>
  <c r="F328" i="1"/>
  <c r="F193" i="1"/>
  <c r="F1135" i="1"/>
  <c r="F1002" i="1"/>
  <c r="F899" i="1"/>
  <c r="F757" i="1"/>
  <c r="F628" i="1"/>
  <c r="F500" i="1"/>
  <c r="F327" i="1"/>
  <c r="F192" i="1"/>
  <c r="F1128" i="1"/>
  <c r="F993" i="1"/>
  <c r="F884" i="1"/>
  <c r="F756" i="1"/>
  <c r="F627" i="1"/>
  <c r="F499" i="1"/>
  <c r="F309" i="1"/>
  <c r="F144" i="1"/>
  <c r="F1120" i="1"/>
  <c r="F985" i="1"/>
  <c r="F883" i="1"/>
  <c r="F752" i="1"/>
  <c r="F625" i="1"/>
  <c r="F497" i="1"/>
  <c r="F308" i="1"/>
  <c r="F143" i="1"/>
  <c r="F1116" i="1"/>
  <c r="F981" i="1"/>
  <c r="F860" i="1"/>
  <c r="F741" i="1"/>
  <c r="F616" i="1"/>
  <c r="F496" i="1"/>
  <c r="F307" i="1"/>
  <c r="F24" i="1"/>
  <c r="F36" i="1"/>
  <c r="F104" i="1"/>
  <c r="F175" i="1"/>
  <c r="F240" i="1"/>
  <c r="F317" i="1"/>
  <c r="F383" i="1"/>
  <c r="F453" i="1"/>
  <c r="F520" i="1"/>
  <c r="F589" i="1"/>
  <c r="F661" i="1"/>
  <c r="F708" i="1"/>
  <c r="F776" i="1"/>
  <c r="F827" i="1"/>
  <c r="F886" i="1"/>
  <c r="F945" i="1"/>
  <c r="F1004" i="1"/>
  <c r="F1071" i="1"/>
  <c r="F1121" i="1"/>
  <c r="F1174" i="1"/>
  <c r="F37" i="1"/>
  <c r="F105" i="1"/>
  <c r="F176" i="1"/>
  <c r="F244" i="1"/>
  <c r="F323" i="1"/>
  <c r="F384" i="1"/>
  <c r="F461" i="1"/>
  <c r="F523" i="1"/>
  <c r="F590" i="1"/>
  <c r="F662" i="1"/>
  <c r="F711" i="1"/>
  <c r="F777" i="1"/>
  <c r="F828" i="1"/>
  <c r="F887" i="1"/>
  <c r="F946" i="1"/>
  <c r="F1005" i="1"/>
  <c r="F1072" i="1"/>
  <c r="F1125" i="1"/>
  <c r="F1175" i="1"/>
  <c r="F38" i="1"/>
  <c r="F107" i="1"/>
  <c r="F185" i="1"/>
  <c r="F245" i="1"/>
  <c r="F324" i="1"/>
  <c r="F391" i="1"/>
  <c r="F467" i="1"/>
  <c r="F537" i="1"/>
  <c r="F599" i="1"/>
  <c r="F663" i="1"/>
  <c r="F712" i="1"/>
  <c r="F778" i="1"/>
  <c r="F829" i="1"/>
  <c r="F894" i="1"/>
  <c r="F949" i="1"/>
  <c r="F1008" i="1"/>
  <c r="F1073" i="1"/>
  <c r="F1126" i="1"/>
  <c r="F1181" i="1"/>
  <c r="F46" i="1"/>
  <c r="F108" i="1"/>
  <c r="F186" i="1"/>
  <c r="F253" i="1"/>
  <c r="F325" i="1"/>
  <c r="F395" i="1"/>
  <c r="F468" i="1"/>
  <c r="F538" i="1"/>
  <c r="F600" i="1"/>
  <c r="F664" i="1"/>
  <c r="F718" i="1"/>
  <c r="F783" i="1"/>
  <c r="F832" i="1"/>
  <c r="F898" i="1"/>
  <c r="F954" i="1"/>
  <c r="F1014" i="1"/>
  <c r="F1075" i="1"/>
  <c r="F1127" i="1"/>
  <c r="F1188" i="1"/>
  <c r="F47" i="1"/>
  <c r="F111" i="1"/>
  <c r="F190" i="1"/>
  <c r="F257" i="1"/>
  <c r="F326" i="1"/>
  <c r="F396" i="1"/>
  <c r="F471" i="1"/>
  <c r="F543" i="1"/>
  <c r="F603" i="1"/>
  <c r="F48" i="1"/>
  <c r="F137" i="1"/>
  <c r="F233" i="1"/>
  <c r="F329" i="1"/>
  <c r="F428" i="1"/>
  <c r="F510" i="1"/>
  <c r="F626" i="1"/>
  <c r="F696" i="1"/>
  <c r="F772" i="1"/>
  <c r="F850" i="1"/>
  <c r="F927" i="1"/>
  <c r="F994" i="1"/>
  <c r="F1080" i="1"/>
  <c r="F1147" i="1"/>
  <c r="F58" i="1"/>
  <c r="F145" i="1"/>
  <c r="F258" i="1"/>
  <c r="F361" i="1"/>
  <c r="F450" i="1"/>
  <c r="F546" i="1"/>
  <c r="F629" i="1"/>
  <c r="F706" i="1"/>
  <c r="F786" i="1"/>
  <c r="F861" i="1"/>
  <c r="F930" i="1"/>
  <c r="F1020" i="1"/>
  <c r="F1083" i="1"/>
  <c r="F1152" i="1"/>
  <c r="F59" i="1"/>
  <c r="F148" i="1"/>
  <c r="F273" i="1"/>
  <c r="F362" i="1"/>
  <c r="F451" i="1"/>
  <c r="F556" i="1"/>
  <c r="F630" i="1"/>
  <c r="F707" i="1"/>
  <c r="F787" i="1"/>
  <c r="F862" i="1"/>
  <c r="F931" i="1"/>
  <c r="F1021" i="1"/>
  <c r="F1090" i="1"/>
  <c r="F1153" i="1"/>
  <c r="F60" i="1"/>
  <c r="F165" i="1"/>
  <c r="F274" i="1"/>
  <c r="F363" i="1"/>
  <c r="F452" i="1"/>
  <c r="F557" i="1"/>
  <c r="F635" i="1"/>
  <c r="F725" i="1"/>
  <c r="F788" i="1"/>
  <c r="F863" i="1"/>
  <c r="F934" i="1"/>
  <c r="F1024" i="1"/>
  <c r="F1091" i="1"/>
  <c r="F1165" i="1"/>
  <c r="F71" i="1"/>
  <c r="F172" i="1"/>
  <c r="F275" i="1"/>
  <c r="F364" i="1"/>
  <c r="F472" i="1"/>
  <c r="F558" i="1"/>
  <c r="F639" i="1"/>
  <c r="F732" i="1"/>
  <c r="F789" i="1"/>
  <c r="F864" i="1"/>
  <c r="F938" i="1"/>
  <c r="F1030" i="1"/>
  <c r="F1094" i="1"/>
  <c r="F1166" i="1"/>
  <c r="F82" i="1"/>
  <c r="F173" i="1"/>
  <c r="F276" i="1"/>
  <c r="F365" i="1"/>
  <c r="F480" i="1"/>
  <c r="F559" i="1"/>
  <c r="F644" i="1"/>
  <c r="F736" i="1"/>
  <c r="F807" i="1"/>
  <c r="F878" i="1"/>
  <c r="F960" i="1"/>
  <c r="F1031" i="1"/>
  <c r="F1100" i="1"/>
  <c r="F1167" i="1"/>
  <c r="F83" i="1"/>
  <c r="F191" i="1"/>
  <c r="F283" i="1"/>
  <c r="F366" i="1"/>
  <c r="F492" i="1"/>
  <c r="F562" i="1"/>
  <c r="F660" i="1"/>
  <c r="F737" i="1"/>
  <c r="F810" i="1"/>
  <c r="F882" i="1"/>
  <c r="F963" i="1"/>
  <c r="F1032" i="1"/>
  <c r="F1107" i="1"/>
  <c r="F1171" i="1"/>
  <c r="F84" i="1"/>
  <c r="F1113" i="1"/>
  <c r="F978" i="1"/>
  <c r="F859" i="1"/>
  <c r="F740" i="1"/>
  <c r="F615" i="1"/>
  <c r="F449" i="1"/>
  <c r="F300" i="1"/>
  <c r="F132" i="1"/>
  <c r="F3" i="1"/>
  <c r="F1108" i="1"/>
  <c r="F974" i="1"/>
  <c r="F849" i="1"/>
  <c r="F739" i="1"/>
  <c r="F607" i="1"/>
  <c r="F435" i="1"/>
  <c r="F286" i="1"/>
  <c r="F131" i="1"/>
  <c r="F1201" i="1"/>
  <c r="F1082" i="1"/>
  <c r="F973" i="1"/>
  <c r="F848" i="1"/>
  <c r="F738" i="1"/>
  <c r="F582" i="1"/>
  <c r="F427" i="1"/>
  <c r="F285" i="1"/>
  <c r="F130" i="1"/>
  <c r="F1194" i="1"/>
  <c r="F1081" i="1"/>
  <c r="F972" i="1"/>
  <c r="F847" i="1"/>
  <c r="F705" i="1"/>
  <c r="F581" i="1"/>
  <c r="F425" i="1"/>
  <c r="F284" i="1"/>
  <c r="F129" i="1"/>
  <c r="F1193" i="1"/>
  <c r="F1076" i="1"/>
  <c r="F971" i="1"/>
  <c r="F825" i="1"/>
  <c r="F704" i="1"/>
  <c r="F580" i="1"/>
  <c r="F417" i="1"/>
  <c r="F239" i="1"/>
  <c r="F103" i="1"/>
  <c r="F1192" i="1"/>
  <c r="F1050" i="1"/>
  <c r="F970" i="1"/>
  <c r="F824" i="1"/>
  <c r="F690" i="1"/>
  <c r="F579" i="1"/>
  <c r="F416" i="1"/>
  <c r="F238" i="1"/>
  <c r="F91" i="1"/>
  <c r="F1191" i="1"/>
  <c r="F1049" i="1"/>
  <c r="F929" i="1"/>
  <c r="F823" i="1"/>
  <c r="F686" i="1"/>
  <c r="F578" i="1"/>
  <c r="F415" i="1"/>
  <c r="F222" i="1"/>
  <c r="F85" i="1"/>
  <c r="F1190" i="1"/>
  <c r="F1048" i="1"/>
  <c r="F928" i="1"/>
  <c r="F816" i="1"/>
  <c r="F681" i="1"/>
  <c r="F545" i="1"/>
  <c r="F414" i="1"/>
  <c r="F221" i="1"/>
  <c r="F57" i="1"/>
  <c r="F1189" i="1"/>
  <c r="F1047" i="1"/>
  <c r="F924" i="1"/>
  <c r="F812" i="1"/>
  <c r="F680" i="1"/>
  <c r="F544" i="1"/>
  <c r="F408" i="1"/>
  <c r="F220" i="1"/>
  <c r="F49" i="1"/>
  <c r="F1164" i="1"/>
  <c r="F1115" i="1"/>
  <c r="F1065" i="1"/>
  <c r="F1007" i="1"/>
  <c r="F959" i="1"/>
  <c r="F902" i="1"/>
  <c r="F852" i="1"/>
  <c r="F806" i="1"/>
  <c r="F751" i="1"/>
  <c r="F703" i="1"/>
  <c r="F641" i="1"/>
  <c r="F588" i="1"/>
  <c r="F536" i="1"/>
  <c r="F470" i="1"/>
  <c r="F413" i="1"/>
  <c r="F343" i="1"/>
  <c r="F281" i="1"/>
  <c r="F219" i="1"/>
  <c r="F147" i="1"/>
  <c r="F90" i="1"/>
  <c r="F35" i="1"/>
  <c r="F4" i="1"/>
  <c r="F1163" i="1"/>
  <c r="F1114" i="1"/>
  <c r="F1053" i="1"/>
  <c r="F1006" i="1"/>
  <c r="F958" i="1"/>
  <c r="F901" i="1"/>
  <c r="F851" i="1"/>
  <c r="F802" i="1"/>
  <c r="F742" i="1"/>
  <c r="F701" i="1"/>
  <c r="F640" i="1"/>
  <c r="F587" i="1"/>
  <c r="F535" i="1"/>
  <c r="F469" i="1"/>
  <c r="F409" i="1"/>
  <c r="F330" i="1"/>
  <c r="F280" i="1"/>
  <c r="F218" i="1"/>
  <c r="F146" i="1"/>
  <c r="F89" i="1"/>
  <c r="F23" i="1"/>
  <c r="F1103" i="1"/>
  <c r="F1068" i="1"/>
  <c r="F1029" i="1"/>
  <c r="F992" i="1"/>
  <c r="F953" i="1"/>
  <c r="F920" i="1"/>
  <c r="F881" i="1"/>
  <c r="F846" i="1"/>
  <c r="F805" i="1"/>
  <c r="F766" i="1"/>
  <c r="F730" i="1"/>
  <c r="F689" i="1"/>
  <c r="F659" i="1"/>
  <c r="F610" i="1"/>
  <c r="F577" i="1"/>
  <c r="F533" i="1"/>
  <c r="F491" i="1"/>
  <c r="F438" i="1"/>
  <c r="F394" i="1"/>
  <c r="F353" i="1"/>
  <c r="F306" i="1"/>
  <c r="F256" i="1"/>
  <c r="F216" i="1"/>
  <c r="F168" i="1"/>
  <c r="F114" i="1"/>
  <c r="F78" i="1"/>
  <c r="F29" i="1"/>
  <c r="F1173" i="1"/>
  <c r="F1143" i="1"/>
  <c r="F1102" i="1"/>
  <c r="F1067" i="1"/>
  <c r="F1026" i="1"/>
  <c r="F991" i="1"/>
  <c r="F952" i="1"/>
  <c r="F912" i="1"/>
  <c r="F880" i="1"/>
  <c r="F839" i="1"/>
  <c r="F804" i="1"/>
  <c r="F765" i="1"/>
  <c r="F729" i="1"/>
  <c r="F688" i="1"/>
  <c r="F650" i="1"/>
  <c r="F609" i="1"/>
  <c r="F576" i="1"/>
  <c r="F525" i="1"/>
  <c r="F490" i="1"/>
  <c r="F437" i="1"/>
  <c r="F393" i="1"/>
  <c r="F352" i="1"/>
  <c r="F305" i="1"/>
  <c r="F255" i="1"/>
  <c r="F215" i="1"/>
  <c r="F167" i="1"/>
  <c r="F113" i="1"/>
  <c r="F77" i="1"/>
  <c r="F28" i="1"/>
  <c r="F1172" i="1"/>
  <c r="F1140" i="1"/>
  <c r="F1101" i="1"/>
  <c r="F1066" i="1"/>
  <c r="F1025" i="1"/>
  <c r="F986" i="1"/>
  <c r="F951" i="1"/>
  <c r="F911" i="1"/>
  <c r="F879" i="1"/>
  <c r="F838" i="1"/>
  <c r="F803" i="1"/>
  <c r="F762" i="1"/>
  <c r="F726" i="1"/>
  <c r="F687" i="1"/>
  <c r="F649" i="1"/>
  <c r="F608" i="1"/>
  <c r="F575" i="1"/>
  <c r="F524" i="1"/>
  <c r="F481" i="1"/>
  <c r="F436" i="1"/>
  <c r="F392" i="1"/>
  <c r="F348" i="1"/>
  <c r="F301" i="1"/>
  <c r="F254" i="1"/>
  <c r="F213" i="1"/>
  <c r="F166" i="1"/>
  <c r="F112" i="1"/>
  <c r="F72" i="1"/>
  <c r="F18" i="1"/>
  <c r="F50" i="1"/>
  <c r="F86" i="1"/>
  <c r="F122" i="1"/>
  <c r="F158" i="1"/>
  <c r="F194" i="1"/>
  <c r="F230" i="1"/>
  <c r="F266" i="1"/>
  <c r="F302" i="1"/>
  <c r="F338" i="1"/>
  <c r="F370" i="1"/>
  <c r="F410" i="1"/>
  <c r="F446" i="1"/>
  <c r="F478" i="1"/>
  <c r="F518" i="1"/>
  <c r="F554" i="1"/>
  <c r="F585" i="1"/>
  <c r="F617" i="1"/>
  <c r="F657" i="1"/>
  <c r="F684" i="1"/>
  <c r="F716" i="1"/>
  <c r="F749" i="1"/>
  <c r="F779" i="1"/>
  <c r="F808" i="1"/>
  <c r="F840" i="1"/>
  <c r="F873" i="1"/>
  <c r="F903" i="1"/>
  <c r="F932" i="1"/>
  <c r="F968" i="1"/>
  <c r="F1000" i="1"/>
  <c r="F1027" i="1"/>
  <c r="F1056" i="1"/>
  <c r="F1092" i="1"/>
  <c r="F1122" i="1"/>
  <c r="F1150" i="1"/>
  <c r="F1186" i="1"/>
  <c r="F19" i="1"/>
  <c r="F51" i="1"/>
  <c r="F87" i="1"/>
  <c r="F123" i="1"/>
  <c r="F159" i="1"/>
  <c r="F195" i="1"/>
  <c r="F231" i="1"/>
  <c r="F267" i="1"/>
  <c r="F303" i="1"/>
  <c r="F339" i="1"/>
  <c r="F371" i="1"/>
  <c r="F411" i="1"/>
  <c r="F447" i="1"/>
  <c r="F479" i="1"/>
  <c r="F519" i="1"/>
  <c r="F555" i="1"/>
  <c r="F586" i="1"/>
  <c r="F618" i="1"/>
  <c r="F658" i="1"/>
  <c r="F685" i="1"/>
  <c r="F717" i="1"/>
  <c r="F750" i="1"/>
  <c r="F780" i="1"/>
  <c r="F809" i="1"/>
  <c r="F841" i="1"/>
  <c r="F874" i="1"/>
  <c r="F904" i="1"/>
  <c r="F933" i="1"/>
  <c r="F969" i="1"/>
  <c r="F1001" i="1"/>
  <c r="F1028" i="1"/>
  <c r="F1060" i="1"/>
  <c r="F1093" i="1"/>
  <c r="F1124" i="1"/>
  <c r="F1151" i="1"/>
  <c r="F1187" i="1"/>
  <c r="F20" i="1"/>
  <c r="F56" i="1"/>
  <c r="F88" i="1"/>
  <c r="F128" i="1"/>
  <c r="F164" i="1"/>
  <c r="F196" i="1"/>
  <c r="F232" i="1"/>
  <c r="F272" i="1"/>
  <c r="F304" i="1"/>
  <c r="F340" i="1"/>
  <c r="F380" i="1"/>
  <c r="F412" i="1"/>
  <c r="F448" i="1"/>
  <c r="F30" i="1"/>
  <c r="F66" i="1"/>
  <c r="F106" i="1"/>
  <c r="F138" i="1"/>
  <c r="F174" i="1"/>
  <c r="F214" i="1"/>
  <c r="F246" i="1"/>
  <c r="F282" i="1"/>
  <c r="F318" i="1"/>
  <c r="F354" i="1"/>
  <c r="F390" i="1"/>
  <c r="F426" i="1"/>
  <c r="F462" i="1"/>
  <c r="F498" i="1"/>
  <c r="F534" i="1"/>
  <c r="F563" i="1"/>
  <c r="F604" i="1"/>
  <c r="F636" i="1"/>
  <c r="F666" i="1"/>
  <c r="F702" i="1"/>
  <c r="F731" i="1"/>
  <c r="F761" i="1"/>
  <c r="F790" i="1"/>
  <c r="F826" i="1"/>
  <c r="F858" i="1"/>
  <c r="F885" i="1"/>
  <c r="F921" i="1"/>
  <c r="F950" i="1"/>
  <c r="F982" i="1"/>
  <c r="F1009" i="1"/>
  <c r="F1045" i="1"/>
  <c r="F1074" i="1"/>
  <c r="F1104" i="1"/>
  <c r="F1139" i="1"/>
  <c r="F1168" i="1"/>
  <c r="F1197" i="1"/>
  <c r="F1170" i="1"/>
  <c r="F1130" i="1"/>
  <c r="F1096" i="1"/>
  <c r="F1055" i="1"/>
  <c r="F1023" i="1"/>
  <c r="F984" i="1"/>
  <c r="F948" i="1"/>
  <c r="F909" i="1"/>
  <c r="F870" i="1"/>
  <c r="F831" i="1"/>
  <c r="F801" i="1"/>
  <c r="F759" i="1"/>
  <c r="F724" i="1"/>
  <c r="F683" i="1"/>
  <c r="F643" i="1"/>
  <c r="F606" i="1"/>
  <c r="F561" i="1"/>
  <c r="F522" i="1"/>
  <c r="F474" i="1"/>
  <c r="F434" i="1"/>
  <c r="F389" i="1"/>
  <c r="F342" i="1"/>
  <c r="F299" i="1"/>
  <c r="F252" i="1"/>
  <c r="F200" i="1"/>
  <c r="F157" i="1"/>
  <c r="F110" i="1"/>
  <c r="F65" i="1"/>
  <c r="F22" i="1"/>
  <c r="F5" i="1"/>
  <c r="F1169" i="1"/>
  <c r="F1129" i="1"/>
  <c r="F1095" i="1"/>
  <c r="F1054" i="1"/>
  <c r="F1022" i="1"/>
  <c r="F983" i="1"/>
  <c r="F947" i="1"/>
  <c r="F906" i="1"/>
  <c r="F869" i="1"/>
  <c r="F830" i="1"/>
  <c r="F798" i="1"/>
  <c r="F758" i="1"/>
  <c r="F719" i="1"/>
  <c r="F682" i="1"/>
  <c r="F642" i="1"/>
  <c r="F605" i="1"/>
  <c r="F560" i="1"/>
  <c r="F521" i="1"/>
  <c r="F473" i="1"/>
  <c r="F433" i="1"/>
  <c r="F388" i="1"/>
  <c r="F341" i="1"/>
  <c r="F298" i="1"/>
  <c r="F251" i="1"/>
  <c r="F199" i="1"/>
  <c r="F156" i="1"/>
  <c r="F109" i="1"/>
  <c r="F64" i="1"/>
  <c r="F21" i="1"/>
  <c r="E2" i="1"/>
  <c r="F2" i="1" s="1"/>
  <c r="F7" i="1"/>
  <c r="F25" i="1"/>
  <c r="F43" i="1"/>
  <c r="F61" i="1"/>
  <c r="F79" i="1"/>
  <c r="F97" i="1"/>
  <c r="F115" i="1"/>
  <c r="F133" i="1"/>
  <c r="F151" i="1"/>
  <c r="F169" i="1"/>
  <c r="F187" i="1"/>
  <c r="F205" i="1"/>
  <c r="F223" i="1"/>
  <c r="F241" i="1"/>
  <c r="F259" i="1"/>
  <c r="F277" i="1"/>
  <c r="F295" i="1"/>
  <c r="F313" i="1"/>
  <c r="F331" i="1"/>
  <c r="F349" i="1"/>
  <c r="F367" i="1"/>
  <c r="F385" i="1"/>
  <c r="F403" i="1"/>
  <c r="F421" i="1"/>
  <c r="F439" i="1"/>
  <c r="F457" i="1"/>
  <c r="F475" i="1"/>
  <c r="F493" i="1"/>
  <c r="F511" i="1"/>
  <c r="F529" i="1"/>
  <c r="F547" i="1"/>
  <c r="F565" i="1"/>
  <c r="F583" i="1"/>
  <c r="F601" i="1"/>
  <c r="F619" i="1"/>
  <c r="F637" i="1"/>
  <c r="F655" i="1"/>
  <c r="F673" i="1"/>
  <c r="F691" i="1"/>
  <c r="F709" i="1"/>
  <c r="F727" i="1"/>
  <c r="F745" i="1"/>
  <c r="F763" i="1"/>
  <c r="F781" i="1"/>
  <c r="F799" i="1"/>
  <c r="F817" i="1"/>
  <c r="F835" i="1"/>
  <c r="F853" i="1"/>
  <c r="F871" i="1"/>
  <c r="F889" i="1"/>
  <c r="F907" i="1"/>
  <c r="F925" i="1"/>
  <c r="F943" i="1"/>
  <c r="F961" i="1"/>
  <c r="F979" i="1"/>
  <c r="F997" i="1"/>
  <c r="F1015" i="1"/>
  <c r="F1033" i="1"/>
  <c r="F1051" i="1"/>
  <c r="F1069" i="1"/>
  <c r="F1087" i="1"/>
  <c r="F1105" i="1"/>
  <c r="F1123" i="1"/>
  <c r="F1141" i="1"/>
  <c r="F1159" i="1"/>
  <c r="F1177" i="1"/>
  <c r="F1195" i="1"/>
  <c r="F512" i="1"/>
  <c r="F620" i="1"/>
  <c r="F656" i="1"/>
  <c r="F692" i="1"/>
  <c r="F728" i="1"/>
  <c r="F764" i="1"/>
  <c r="F782" i="1"/>
  <c r="F818" i="1"/>
  <c r="F854" i="1"/>
  <c r="F890" i="1"/>
  <c r="F908" i="1"/>
  <c r="F944" i="1"/>
  <c r="F962" i="1"/>
  <c r="F998" i="1"/>
  <c r="F1016" i="1"/>
  <c r="F1034" i="1"/>
  <c r="F1070" i="1"/>
  <c r="F1106" i="1"/>
  <c r="F8" i="1"/>
  <c r="F26" i="1"/>
  <c r="F44" i="1"/>
  <c r="F62" i="1"/>
  <c r="F80" i="1"/>
  <c r="F98" i="1"/>
  <c r="F116" i="1"/>
  <c r="F134" i="1"/>
  <c r="F152" i="1"/>
  <c r="F170" i="1"/>
  <c r="F188" i="1"/>
  <c r="F206" i="1"/>
  <c r="F224" i="1"/>
  <c r="F242" i="1"/>
  <c r="F260" i="1"/>
  <c r="F278" i="1"/>
  <c r="F296" i="1"/>
  <c r="F314" i="1"/>
  <c r="F332" i="1"/>
  <c r="F350" i="1"/>
  <c r="F368" i="1"/>
  <c r="F386" i="1"/>
  <c r="F404" i="1"/>
  <c r="F422" i="1"/>
  <c r="F440" i="1"/>
  <c r="F458" i="1"/>
  <c r="F476" i="1"/>
  <c r="F494" i="1"/>
  <c r="F530" i="1"/>
  <c r="F548" i="1"/>
  <c r="F566" i="1"/>
  <c r="F584" i="1"/>
  <c r="F602" i="1"/>
  <c r="F638" i="1"/>
  <c r="F674" i="1"/>
  <c r="F710" i="1"/>
  <c r="F746" i="1"/>
  <c r="F800" i="1"/>
  <c r="F836" i="1"/>
  <c r="F872" i="1"/>
  <c r="F926" i="1"/>
  <c r="F980" i="1"/>
  <c r="F1052" i="1"/>
  <c r="F1088" i="1"/>
  <c r="F1142" i="1"/>
  <c r="F1160" i="1"/>
  <c r="F1178" i="1"/>
  <c r="F1196" i="1"/>
  <c r="F9" i="1"/>
  <c r="F27" i="1"/>
  <c r="F45" i="1"/>
  <c r="F63" i="1"/>
  <c r="F81" i="1"/>
  <c r="F99" i="1"/>
  <c r="F117" i="1"/>
  <c r="F135" i="1"/>
  <c r="F153" i="1"/>
  <c r="F171" i="1"/>
  <c r="F189" i="1"/>
  <c r="F207" i="1"/>
  <c r="F225" i="1"/>
  <c r="F243" i="1"/>
  <c r="F261" i="1"/>
  <c r="F279" i="1"/>
  <c r="F297" i="1"/>
  <c r="F315" i="1"/>
  <c r="F333" i="1"/>
  <c r="F351" i="1"/>
  <c r="F369" i="1"/>
  <c r="F387" i="1"/>
  <c r="F405" i="1"/>
  <c r="F423" i="1"/>
  <c r="F441" i="1"/>
  <c r="F459" i="1"/>
  <c r="F477" i="1"/>
  <c r="F495" i="1"/>
  <c r="F513" i="1"/>
  <c r="F531" i="1"/>
  <c r="F549" i="1"/>
  <c r="F567" i="1"/>
  <c r="F10" i="1"/>
  <c r="F31" i="1"/>
  <c r="F52" i="1"/>
  <c r="F73" i="1"/>
  <c r="F94" i="1"/>
  <c r="F118" i="1"/>
  <c r="F139" i="1"/>
  <c r="F160" i="1"/>
  <c r="F181" i="1"/>
  <c r="F202" i="1"/>
  <c r="F226" i="1"/>
  <c r="F247" i="1"/>
  <c r="F268" i="1"/>
  <c r="F289" i="1"/>
  <c r="F310" i="1"/>
  <c r="F334" i="1"/>
  <c r="F355" i="1"/>
  <c r="F376" i="1"/>
  <c r="F397" i="1"/>
  <c r="F418" i="1"/>
  <c r="F442" i="1"/>
  <c r="F463" i="1"/>
  <c r="F484" i="1"/>
  <c r="F505" i="1"/>
  <c r="F526" i="1"/>
  <c r="F550" i="1"/>
  <c r="F571" i="1"/>
  <c r="F591" i="1"/>
  <c r="F611" i="1"/>
  <c r="F631" i="1"/>
  <c r="F651" i="1"/>
  <c r="F671" i="1"/>
  <c r="F693" i="1"/>
  <c r="F713" i="1"/>
  <c r="F733" i="1"/>
  <c r="F753" i="1"/>
  <c r="F773" i="1"/>
  <c r="F793" i="1"/>
  <c r="F813" i="1"/>
  <c r="F833" i="1"/>
  <c r="F855" i="1"/>
  <c r="F875" i="1"/>
  <c r="F895" i="1"/>
  <c r="F915" i="1"/>
  <c r="F935" i="1"/>
  <c r="F955" i="1"/>
  <c r="F975" i="1"/>
  <c r="F995" i="1"/>
  <c r="F1017" i="1"/>
  <c r="F1037" i="1"/>
  <c r="F1057" i="1"/>
  <c r="F1077" i="1"/>
  <c r="F1097" i="1"/>
  <c r="F1117" i="1"/>
  <c r="F1136" i="1"/>
  <c r="F1156" i="1"/>
  <c r="F1176" i="1"/>
  <c r="F1198" i="1"/>
  <c r="F774" i="1"/>
  <c r="F856" i="1"/>
  <c r="F896" i="1"/>
  <c r="F936" i="1"/>
  <c r="F976" i="1"/>
  <c r="F996" i="1"/>
  <c r="F1038" i="1"/>
  <c r="F1058" i="1"/>
  <c r="F1098" i="1"/>
  <c r="F1137" i="1"/>
  <c r="F1179" i="1"/>
  <c r="F12" i="1"/>
  <c r="F54" i="1"/>
  <c r="F75" i="1"/>
  <c r="F96" i="1"/>
  <c r="F120" i="1"/>
  <c r="F141" i="1"/>
  <c r="F183" i="1"/>
  <c r="F228" i="1"/>
  <c r="F270" i="1"/>
  <c r="F312" i="1"/>
  <c r="F378" i="1"/>
  <c r="F420" i="1"/>
  <c r="F507" i="1"/>
  <c r="F593" i="1"/>
  <c r="F633" i="1"/>
  <c r="F675" i="1"/>
  <c r="F755" i="1"/>
  <c r="F795" i="1"/>
  <c r="F815" i="1"/>
  <c r="F877" i="1"/>
  <c r="F957" i="1"/>
  <c r="F1039" i="1"/>
  <c r="F1079" i="1"/>
  <c r="F1119" i="1"/>
  <c r="F1138" i="1"/>
  <c r="F1180" i="1"/>
  <c r="F34" i="1"/>
  <c r="F55" i="1"/>
  <c r="F76" i="1"/>
  <c r="F100" i="1"/>
  <c r="F121" i="1"/>
  <c r="F142" i="1"/>
  <c r="F163" i="1"/>
  <c r="F184" i="1"/>
  <c r="F208" i="1"/>
  <c r="F229" i="1"/>
  <c r="F250" i="1"/>
  <c r="F271" i="1"/>
  <c r="F292" i="1"/>
  <c r="F316" i="1"/>
  <c r="F358" i="1"/>
  <c r="F379" i="1"/>
  <c r="F400" i="1"/>
  <c r="F445" i="1"/>
  <c r="F466" i="1"/>
  <c r="F487" i="1"/>
  <c r="F508" i="1"/>
  <c r="F553" i="1"/>
  <c r="F574" i="1"/>
  <c r="F614" i="1"/>
  <c r="F654" i="1"/>
  <c r="F11" i="1"/>
  <c r="F32" i="1"/>
  <c r="F53" i="1"/>
  <c r="F74" i="1"/>
  <c r="F95" i="1"/>
  <c r="F119" i="1"/>
  <c r="F140" i="1"/>
  <c r="F161" i="1"/>
  <c r="F182" i="1"/>
  <c r="F203" i="1"/>
  <c r="F227" i="1"/>
  <c r="F248" i="1"/>
  <c r="F269" i="1"/>
  <c r="F290" i="1"/>
  <c r="F311" i="1"/>
  <c r="F335" i="1"/>
  <c r="F356" i="1"/>
  <c r="F377" i="1"/>
  <c r="F398" i="1"/>
  <c r="F419" i="1"/>
  <c r="F443" i="1"/>
  <c r="F464" i="1"/>
  <c r="F485" i="1"/>
  <c r="F506" i="1"/>
  <c r="F527" i="1"/>
  <c r="F551" i="1"/>
  <c r="F572" i="1"/>
  <c r="F592" i="1"/>
  <c r="F612" i="1"/>
  <c r="F632" i="1"/>
  <c r="F652" i="1"/>
  <c r="F672" i="1"/>
  <c r="F694" i="1"/>
  <c r="F714" i="1"/>
  <c r="F734" i="1"/>
  <c r="F754" i="1"/>
  <c r="F794" i="1"/>
  <c r="F814" i="1"/>
  <c r="F834" i="1"/>
  <c r="F876" i="1"/>
  <c r="F916" i="1"/>
  <c r="F956" i="1"/>
  <c r="F1018" i="1"/>
  <c r="F1078" i="1"/>
  <c r="F1118" i="1"/>
  <c r="F1157" i="1"/>
  <c r="F1199" i="1"/>
  <c r="F33" i="1"/>
  <c r="F162" i="1"/>
  <c r="F204" i="1"/>
  <c r="F249" i="1"/>
  <c r="F291" i="1"/>
  <c r="F336" i="1"/>
  <c r="F357" i="1"/>
  <c r="F399" i="1"/>
  <c r="F444" i="1"/>
  <c r="F465" i="1"/>
  <c r="F486" i="1"/>
  <c r="F528" i="1"/>
  <c r="F552" i="1"/>
  <c r="F573" i="1"/>
  <c r="F613" i="1"/>
  <c r="F653" i="1"/>
  <c r="F695" i="1"/>
  <c r="F715" i="1"/>
  <c r="F735" i="1"/>
  <c r="F775" i="1"/>
  <c r="F837" i="1"/>
  <c r="F857" i="1"/>
  <c r="F897" i="1"/>
  <c r="F917" i="1"/>
  <c r="F937" i="1"/>
  <c r="F977" i="1"/>
  <c r="F999" i="1"/>
  <c r="F1019" i="1"/>
  <c r="F1059" i="1"/>
  <c r="F1099" i="1"/>
  <c r="F1158" i="1"/>
  <c r="F1200" i="1"/>
  <c r="F13" i="1"/>
  <c r="F337" i="1"/>
  <c r="F424" i="1"/>
  <c r="F532" i="1"/>
  <c r="F594" i="1"/>
  <c r="F634" i="1"/>
  <c r="F1184" i="1"/>
  <c r="F1133" i="1"/>
  <c r="F1111" i="1"/>
  <c r="F1086" i="1"/>
  <c r="F1040" i="1"/>
  <c r="F1012" i="1"/>
  <c r="F989" i="1"/>
  <c r="F966" i="1"/>
  <c r="F941" i="1"/>
  <c r="F892" i="1"/>
  <c r="F867" i="1"/>
  <c r="F844" i="1"/>
  <c r="F821" i="1"/>
  <c r="F796" i="1"/>
  <c r="F770" i="1"/>
  <c r="F722" i="1"/>
  <c r="F699" i="1"/>
  <c r="F676" i="1"/>
  <c r="F647" i="1"/>
  <c r="F623" i="1"/>
  <c r="F569" i="1"/>
  <c r="F541" i="1"/>
  <c r="F516" i="1"/>
  <c r="F488" i="1"/>
  <c r="F456" i="1"/>
  <c r="F431" i="1"/>
  <c r="F374" i="1"/>
  <c r="F346" i="1"/>
  <c r="F321" i="1"/>
  <c r="F293" i="1"/>
  <c r="F264" i="1"/>
  <c r="F236" i="1"/>
  <c r="F211" i="1"/>
  <c r="F179" i="1"/>
  <c r="F154" i="1"/>
  <c r="F126" i="1"/>
  <c r="F101" i="1"/>
  <c r="F69" i="1"/>
  <c r="F16" i="1"/>
  <c r="F1183" i="1"/>
  <c r="F1110" i="1"/>
  <c r="F1062" i="1"/>
  <c r="F1011" i="1"/>
  <c r="F940" i="1"/>
  <c r="F820" i="1"/>
  <c r="F744" i="1"/>
  <c r="F698" i="1"/>
  <c r="F622" i="1"/>
  <c r="F568" i="1"/>
  <c r="F515" i="1"/>
  <c r="F455" i="1"/>
  <c r="F430" i="1"/>
  <c r="F402" i="1"/>
  <c r="F373" i="1"/>
  <c r="F320" i="1"/>
  <c r="F288" i="1"/>
  <c r="F263" i="1"/>
  <c r="F235" i="1"/>
  <c r="F210" i="1"/>
  <c r="F178" i="1"/>
  <c r="F150" i="1"/>
  <c r="F125" i="1"/>
  <c r="F93" i="1"/>
  <c r="F68" i="1"/>
  <c r="F40" i="1"/>
  <c r="F15" i="1"/>
  <c r="F1185" i="1"/>
  <c r="F1162" i="1"/>
  <c r="F1134" i="1"/>
  <c r="F1112" i="1"/>
  <c r="F1089" i="1"/>
  <c r="F1064" i="1"/>
  <c r="F1041" i="1"/>
  <c r="F1013" i="1"/>
  <c r="F990" i="1"/>
  <c r="F967" i="1"/>
  <c r="F942" i="1"/>
  <c r="F919" i="1"/>
  <c r="F893" i="1"/>
  <c r="F868" i="1"/>
  <c r="F845" i="1"/>
  <c r="F822" i="1"/>
  <c r="F797" i="1"/>
  <c r="F771" i="1"/>
  <c r="F748" i="1"/>
  <c r="F723" i="1"/>
  <c r="F700" i="1"/>
  <c r="F677" i="1"/>
  <c r="F648" i="1"/>
  <c r="F624" i="1"/>
  <c r="F598" i="1"/>
  <c r="F570" i="1"/>
  <c r="F542" i="1"/>
  <c r="F517" i="1"/>
  <c r="F489" i="1"/>
  <c r="F460" i="1"/>
  <c r="F432" i="1"/>
  <c r="F407" i="1"/>
  <c r="F375" i="1"/>
  <c r="F347" i="1"/>
  <c r="F322" i="1"/>
  <c r="F294" i="1"/>
  <c r="F265" i="1"/>
  <c r="F237" i="1"/>
  <c r="F212" i="1"/>
  <c r="F180" i="1"/>
  <c r="F155" i="1"/>
  <c r="F127" i="1"/>
  <c r="F102" i="1"/>
  <c r="F70" i="1"/>
  <c r="F42" i="1"/>
  <c r="F17" i="1"/>
  <c r="F1161" i="1"/>
  <c r="F1063" i="1"/>
  <c r="F918" i="1"/>
  <c r="F747" i="1"/>
  <c r="F597" i="1"/>
  <c r="F406" i="1"/>
  <c r="F41" i="1"/>
  <c r="F1155" i="1"/>
  <c r="F1132" i="1"/>
  <c r="F1085" i="1"/>
  <c r="F1036" i="1"/>
  <c r="F988" i="1"/>
  <c r="F965" i="1"/>
  <c r="F914" i="1"/>
  <c r="F891" i="1"/>
  <c r="F866" i="1"/>
  <c r="F843" i="1"/>
  <c r="F792" i="1"/>
  <c r="F769" i="1"/>
  <c r="F721" i="1"/>
  <c r="F670" i="1"/>
  <c r="F646" i="1"/>
  <c r="F596" i="1"/>
  <c r="F540" i="1"/>
  <c r="F483" i="1"/>
  <c r="F345" i="1"/>
  <c r="F6" i="1"/>
  <c r="F1182" i="1"/>
  <c r="F1154" i="1"/>
  <c r="F1131" i="1"/>
  <c r="F1109" i="1"/>
  <c r="F1084" i="1"/>
  <c r="F1061" i="1"/>
  <c r="F1035" i="1"/>
  <c r="F1010" i="1"/>
  <c r="F987" i="1"/>
  <c r="F964" i="1"/>
  <c r="F939" i="1"/>
  <c r="F913" i="1"/>
  <c r="F888" i="1"/>
  <c r="F865" i="1"/>
  <c r="F842" i="1"/>
  <c r="F819" i="1"/>
  <c r="F791" i="1"/>
  <c r="F768" i="1"/>
  <c r="F743" i="1"/>
  <c r="F720" i="1"/>
  <c r="F697" i="1"/>
  <c r="F669" i="1"/>
  <c r="F645" i="1"/>
  <c r="F621" i="1"/>
  <c r="F595" i="1"/>
  <c r="F564" i="1"/>
  <c r="F539" i="1"/>
  <c r="F514" i="1"/>
  <c r="F482" i="1"/>
  <c r="F454" i="1"/>
  <c r="F429" i="1"/>
  <c r="F401" i="1"/>
  <c r="F372" i="1"/>
  <c r="F344" i="1"/>
  <c r="F319" i="1"/>
  <c r="F287" i="1"/>
  <c r="F262" i="1"/>
  <c r="F234" i="1"/>
  <c r="F209" i="1"/>
  <c r="F177" i="1"/>
  <c r="F149" i="1"/>
  <c r="F124" i="1"/>
  <c r="F92" i="1"/>
  <c r="F67" i="1"/>
  <c r="F39" i="1"/>
  <c r="F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<sst xmlns="http://schemas.openxmlformats.org/spreadsheetml/2006/main" count="10999" uniqueCount="4696">
  <si>
    <t>Student_ID</t>
  </si>
  <si>
    <t>Name</t>
  </si>
  <si>
    <t>Email</t>
  </si>
  <si>
    <t>Gender</t>
  </si>
  <si>
    <t>Country</t>
  </si>
  <si>
    <t>Age</t>
  </si>
  <si>
    <t>Enrollment_Date</t>
  </si>
  <si>
    <t>Course_Name</t>
  </si>
  <si>
    <t>Course_Category</t>
  </si>
  <si>
    <t>Progress (%)</t>
  </si>
  <si>
    <t>Time_Spent (hrs)</t>
  </si>
  <si>
    <t>Completed</t>
  </si>
  <si>
    <t>Feedback_Rating</t>
  </si>
  <si>
    <t>Session_Attendance</t>
  </si>
  <si>
    <t>46685257-bdd6-40fb-8667-1ad11c80317f</t>
  </si>
  <si>
    <t>charles garcia</t>
  </si>
  <si>
    <t>fjohnson@hall.com</t>
  </si>
  <si>
    <t>Female</t>
  </si>
  <si>
    <t>us</t>
  </si>
  <si>
    <t>Python for Data Science</t>
  </si>
  <si>
    <t>Data Science</t>
  </si>
  <si>
    <t>90 mins</t>
  </si>
  <si>
    <t>N</t>
  </si>
  <si>
    <t>2024-12-25, 2025-01-01, 2025-01-08, 2025-01-15, 2025-01-22</t>
  </si>
  <si>
    <t>b38a088c-a65e-4389-b74d-0fb132e70629</t>
  </si>
  <si>
    <t>connie lawrence</t>
  </si>
  <si>
    <t>helenpeterson@lewis.com</t>
  </si>
  <si>
    <t>male</t>
  </si>
  <si>
    <t>India</t>
  </si>
  <si>
    <t>25-08-2024</t>
  </si>
  <si>
    <t>Social Media Strategy</t>
  </si>
  <si>
    <t>Marketing</t>
  </si>
  <si>
    <t>Yes</t>
  </si>
  <si>
    <t>d8f56413-5be6-428e-98c2-67976142ea7d</t>
  </si>
  <si>
    <t>dennis williams</t>
  </si>
  <si>
    <t>dudleynicholas@hotmail.com</t>
  </si>
  <si>
    <t>Startup Strategy</t>
  </si>
  <si>
    <t>Business</t>
  </si>
  <si>
    <t>No</t>
  </si>
  <si>
    <t>2022-08-29, 2022-09-05, 2022-09-12, 2022-09-19</t>
  </si>
  <si>
    <t>e2acf72f-9e57-4f7a-a0ee-89aed453dd32</t>
  </si>
  <si>
    <t>LAURA BUSH</t>
  </si>
  <si>
    <t>kendragalloway@delacruz.com</t>
  </si>
  <si>
    <t>F</t>
  </si>
  <si>
    <t>Canada</t>
  </si>
  <si>
    <t>Data Visualization with R</t>
  </si>
  <si>
    <t>1 hour</t>
  </si>
  <si>
    <t>2023-07-06, 2023-07-13, 2023-07-20, 2023-07-27, 2023-08-03</t>
  </si>
  <si>
    <t>29a3b2e9-5d65-4441-9588-42dea2bc372f</t>
  </si>
  <si>
    <t>DANIEL ADAMS</t>
  </si>
  <si>
    <t>amandasanchez@gray-mayo.net</t>
  </si>
  <si>
    <t>UK</t>
  </si>
  <si>
    <t>Project Management Essentials</t>
  </si>
  <si>
    <t>2024-03-11, 2024-03-18, 2024-03-25, 2024-04-01, 2024-04-08, 2024-04-15</t>
  </si>
  <si>
    <t>c4b032cc-d7c5-44a5-9304-317faf42e12f</t>
  </si>
  <si>
    <t>CRYSTAL JOHNSON</t>
  </si>
  <si>
    <t>nadams@hotmail.com</t>
  </si>
  <si>
    <t>female</t>
  </si>
  <si>
    <t>UI/UX Fundamentals</t>
  </si>
  <si>
    <t>Design</t>
  </si>
  <si>
    <t>2023-03-14, 2023-03-21, 2023-03-28, 2023-04-04</t>
  </si>
  <si>
    <t>654821d0-7fcd-4eb1-a7ca-d415366eb16f</t>
  </si>
  <si>
    <t>MARIA THOMAS</t>
  </si>
  <si>
    <t>julieryan@richards.com</t>
  </si>
  <si>
    <t>120 minutes</t>
  </si>
  <si>
    <t>2023-08-08, 2023-08-15, 2023-08-22, 2023-08-29, 2023-09-05, 2023-09-12, 2023-09-19, 2023-09-26</t>
  </si>
  <si>
    <t>c17af08a-1745-46d8-be57-0ddf827050a8</t>
  </si>
  <si>
    <t>BRIAN BURTON</t>
  </si>
  <si>
    <t>cruzcaitlin@yahoo.com</t>
  </si>
  <si>
    <t>SEO Fundamentals</t>
  </si>
  <si>
    <t>2022-11-07, 2022-11-14</t>
  </si>
  <si>
    <t>dc5c0eed-8da0-465b-b898-97b9405cacec</t>
  </si>
  <si>
    <t>melanie wilson</t>
  </si>
  <si>
    <t>daniel62@yahoo.com</t>
  </si>
  <si>
    <t>USA</t>
  </si>
  <si>
    <t>Finance 101</t>
  </si>
  <si>
    <t>Y</t>
  </si>
  <si>
    <t>b83cfe0b-e037-45ed-b8db-0672f42d47cc</t>
  </si>
  <si>
    <t>jonathan white</t>
  </si>
  <si>
    <t>meagan89@hernandez.net</t>
  </si>
  <si>
    <t>2022-04-12, 2022-04-19, 2022-04-26</t>
  </si>
  <si>
    <t>52fbe43b-9954-4eb4-8025-7ad1eb2263dd</t>
  </si>
  <si>
    <t>brian cox dvm</t>
  </si>
  <si>
    <t>brianhumphrey@gmail.com</t>
  </si>
  <si>
    <t>2024-07-08, 2024-07-15, 2024-07-22, 2024-07-29, 2024-08-05, 2024-08-12</t>
  </si>
  <si>
    <t>11b7e948-d0e6-4660-bc69-dee1bb5e4bcf</t>
  </si>
  <si>
    <t>KIM MARTINEZ</t>
  </si>
  <si>
    <t>josephbrennan@yahoo.com</t>
  </si>
  <si>
    <t>MALE</t>
  </si>
  <si>
    <t>Germany</t>
  </si>
  <si>
    <t>Digital Marketing 101</t>
  </si>
  <si>
    <t>2022-08-18, 2022-08-25, 2022-09-01</t>
  </si>
  <si>
    <t>badcc32a-c159-4f53-8a0f-4efbedcd465e</t>
  </si>
  <si>
    <t>MICHELLE ROSS</t>
  </si>
  <si>
    <t>clam@gmail.com</t>
  </si>
  <si>
    <t>Male</t>
  </si>
  <si>
    <t>india</t>
  </si>
  <si>
    <t>2023-03-02, 2023-03-09, 2023-03-16, 2023-03-23, 2023-03-30, 2023-04-06</t>
  </si>
  <si>
    <t>05628059-568c-469b-9064-005c3985c3cf</t>
  </si>
  <si>
    <t>CRYSTAL ROBINSON</t>
  </si>
  <si>
    <t>perezrebecca@jones-young.info</t>
  </si>
  <si>
    <t>2023-04-27, 2023-05-04</t>
  </si>
  <si>
    <t>ef7ddc76-b92d-422b-a1df-306f8a0b3c33</t>
  </si>
  <si>
    <t>LAURA SANCHEZ</t>
  </si>
  <si>
    <t>glee@hotmail.com</t>
  </si>
  <si>
    <t>2023-03-05, 2023-03-12, 2023-03-19, 2023-03-26</t>
  </si>
  <si>
    <t>778eedb3-693d-4fbc-ac6f-a6115ab33edf</t>
  </si>
  <si>
    <t>AMY VALDEZ</t>
  </si>
  <si>
    <t>powellmatthew@wright.net</t>
  </si>
  <si>
    <t>M</t>
  </si>
  <si>
    <t>2024-02-05, 2024-02-12, 2024-02-19, 2024-02-26, 2024-03-04, 2024-03-11, 2024-03-18</t>
  </si>
  <si>
    <t>474ebc19-2ef9-4276-ac00-6f6123e2fcb4</t>
  </si>
  <si>
    <t>SHANNON JONES</t>
  </si>
  <si>
    <t>pearsonamber@novak.com</t>
  </si>
  <si>
    <t>Adobe Illustrator Mastery</t>
  </si>
  <si>
    <t>2024-03-03, 2024-03-10</t>
  </si>
  <si>
    <t>dd59ba71-36b8-4481-bb3a-4e3e7c52fa17</t>
  </si>
  <si>
    <t>anthony gray</t>
  </si>
  <si>
    <t>sara74@yahoo.com</t>
  </si>
  <si>
    <t>FEMALE</t>
  </si>
  <si>
    <t>2023-12-29, 2024-01-05, 2024-01-12, 2024-01-19, 2024-01-26, 2024-02-02, 2024-02-09</t>
  </si>
  <si>
    <t>c88a618e-fed4-457d-bb02-6576f512c4c3</t>
  </si>
  <si>
    <t>michelle moore</t>
  </si>
  <si>
    <t>tanyariley@hotmail.com</t>
  </si>
  <si>
    <t>24-03-2025</t>
  </si>
  <si>
    <t>0cd620c2-0ea2-422b-9048-67babf7b539b</t>
  </si>
  <si>
    <t>kathryn farrell</t>
  </si>
  <si>
    <t>invalid-email</t>
  </si>
  <si>
    <t>2022-07-10, 2022-07-17, 2022-07-24, 2022-07-31</t>
  </si>
  <si>
    <t>14822f53-8201-4c62-b5f5-9b220e8fa8e0</t>
  </si>
  <si>
    <t>andrea jones</t>
  </si>
  <si>
    <t>kwilson@riley.org</t>
  </si>
  <si>
    <t>2022-12-07, 2022-12-14, 2022-12-21, 2022-12-28, 2023-01-04, 2023-01-11</t>
  </si>
  <si>
    <t>90b2b633-956b-4c0c-a849-9b926b5252e3</t>
  </si>
  <si>
    <t>taylor harris</t>
  </si>
  <si>
    <t>josephanderson@hotmail.com</t>
  </si>
  <si>
    <t>Uk</t>
  </si>
  <si>
    <t>2022-08-12, 2022-08-19, 2022-08-26, 2022-09-02</t>
  </si>
  <si>
    <t>c07a30f2-edd4-453b-90f0-fd0a750cab75</t>
  </si>
  <si>
    <t>ALEXANDRA HOWELL</t>
  </si>
  <si>
    <t>medinawilliam@mahoney.com</t>
  </si>
  <si>
    <t>17-07-2023</t>
  </si>
  <si>
    <t>2023-07-17, 2023-07-24, 2023-07-31, 2023-08-07, 2023-08-14</t>
  </si>
  <si>
    <t>d5704f32-702c-4d20-a862-18b848f4ef12</t>
  </si>
  <si>
    <t>elizabeth riggs</t>
  </si>
  <si>
    <t>sarah12@wilson-rodriguez.net</t>
  </si>
  <si>
    <t>React for Beginners</t>
  </si>
  <si>
    <t>Web Development</t>
  </si>
  <si>
    <t>2023-11-02, 2023-11-09, 2023-11-16, 2023-11-23, 2023-11-30</t>
  </si>
  <si>
    <t>35ebd32d-9ad6-40ab-8821-2ddb45b89cd9</t>
  </si>
  <si>
    <t>CHRISTINA WALTERS</t>
  </si>
  <si>
    <t>dking@gmail.com</t>
  </si>
  <si>
    <t>2022-12-04, 2022-12-11, 2022-12-18, 2022-12-25, 2023-01-01, 2023-01-08, 2023-01-15, 2023-01-22</t>
  </si>
  <si>
    <t>0b49452d-46d4-43f3-9450-281c6c6f7633</t>
  </si>
  <si>
    <t>RAY WALSH</t>
  </si>
  <si>
    <t>joycearnold@yahoo.com</t>
  </si>
  <si>
    <t>IN</t>
  </si>
  <si>
    <t>17-12-2024</t>
  </si>
  <si>
    <t>Graphic Design Basics</t>
  </si>
  <si>
    <t>f1eedba3-1343-4e61-9ca3-c4480279b6a6</t>
  </si>
  <si>
    <t>STEPHANIE GARDNER</t>
  </si>
  <si>
    <t>russellwilliams@yahoo.com</t>
  </si>
  <si>
    <t>2024-08-25, 2024-09-01, 2024-09-08</t>
  </si>
  <si>
    <t>ae9bec36-35c7-436c-9b99-62c6e61fecc0</t>
  </si>
  <si>
    <t>BRIAN DELEON</t>
  </si>
  <si>
    <t>sarayoung@gmail.com</t>
  </si>
  <si>
    <t>2022-06-07, 2022-06-14</t>
  </si>
  <si>
    <t>2dea9493-0658-463a-a98c-206fe1a47e10</t>
  </si>
  <si>
    <t>evelyn galvan</t>
  </si>
  <si>
    <t>erik16@garrison.com</t>
  </si>
  <si>
    <t>JavaScript Bootcamp</t>
  </si>
  <si>
    <t>2023-01-07, 2023-01-14, 2023-01-21, 2023-01-28, 2023-02-04, 2023-02-11</t>
  </si>
  <si>
    <t>cb9bc326-d20e-4c17-8e20-fd1a598336e3</t>
  </si>
  <si>
    <t>courtney keller</t>
  </si>
  <si>
    <t>joshua14@yahoo.com</t>
  </si>
  <si>
    <t>2024-03-22, 2024-03-29, 2024-04-05, 2024-04-12, 2024-04-19, 2024-04-26, 2024-05-03</t>
  </si>
  <si>
    <t>fb2ca025-adf4-462d-a651-529e8268690b</t>
  </si>
  <si>
    <t>erin johnson</t>
  </si>
  <si>
    <t>beverlyterrell@gmail.com</t>
  </si>
  <si>
    <t>2024-12-28, 2025-01-04, 2025-01-11, 2025-01-18</t>
  </si>
  <si>
    <t>ba81edd9-587e-4344-af3f-920c98b8e4cc</t>
  </si>
  <si>
    <t>jessica joyce</t>
  </si>
  <si>
    <t>mlam@williams-graham.net</t>
  </si>
  <si>
    <t>2022-09-22, 2022-09-29, 2022-10-06, 2022-10-13, 2022-10-20</t>
  </si>
  <si>
    <t>bdf070aa-f0b5-456b-b82c-9074afd5dea5</t>
  </si>
  <si>
    <t>christina reynolds</t>
  </si>
  <si>
    <t>elizabeth14@hotmail.com</t>
  </si>
  <si>
    <t>2024-07-21, 2024-07-28, 2024-08-04, 2024-08-11, 2024-08-18, 2024-08-25, 2024-09-01</t>
  </si>
  <si>
    <t>6703b636-5380-4904-a88c-7015aab97e49</t>
  </si>
  <si>
    <t>KRISTEN LEE</t>
  </si>
  <si>
    <t>2023-07-31, 2023-08-07</t>
  </si>
  <si>
    <t>bf85bf0e-ad64-456c-a10f-aa3ff0bbac67</t>
  </si>
  <si>
    <t>lisa turner</t>
  </si>
  <si>
    <t>justin69@pena.com</t>
  </si>
  <si>
    <t>2025-02-02, 2025-02-09, 2025-02-16, 2025-02-23, 2025-03-02, 2025-03-09, 2025-03-16</t>
  </si>
  <si>
    <t>f5b78cc7-e6b3-4944-8b32-3e357922bac2</t>
  </si>
  <si>
    <t>CAROLYN MILLER</t>
  </si>
  <si>
    <t>cardenaskaren@hotmail.com</t>
  </si>
  <si>
    <t>25b8fd4b-32fa-4de8-8e7a-e7f639820cff</t>
  </si>
  <si>
    <t>david alvarez</t>
  </si>
  <si>
    <t>operry@lee.com</t>
  </si>
  <si>
    <t>2023-08-02, 2023-08-09, 2023-08-16</t>
  </si>
  <si>
    <t>e4855aa1-016b-4287-b008-05cca7f36ae9</t>
  </si>
  <si>
    <t>PATRICIA RODRIGUEZ</t>
  </si>
  <si>
    <t>gregoryrubio@hotmail.com</t>
  </si>
  <si>
    <t>2022-11-22, 2022-11-29, 2022-12-06, 2022-12-13, 2022-12-20</t>
  </si>
  <si>
    <t>eadf5085-3fcb-4546-8eb2-25790cdb1ca4</t>
  </si>
  <si>
    <t>joyce solis</t>
  </si>
  <si>
    <t>usalazar@hotmail.com</t>
  </si>
  <si>
    <t>2024-03-28, 2024-04-04, 2024-04-11, 2024-04-18, 2024-04-25, 2024-05-02, 2024-05-09, 2024-05-16</t>
  </si>
  <si>
    <t>722764e6-8c41-461b-a827-a1b9d4a02e53</t>
  </si>
  <si>
    <t>NATASHA WELLS</t>
  </si>
  <si>
    <t>maryramirez@hotmail.com</t>
  </si>
  <si>
    <t>29-01-2024</t>
  </si>
  <si>
    <t>2024-01-29, 2024-02-05, 2024-02-12, 2024-02-19</t>
  </si>
  <si>
    <t>709b7d97-464c-44af-bd3f-3799a07295e9</t>
  </si>
  <si>
    <t>dustin nelson</t>
  </si>
  <si>
    <t>taylorjesse@hotmail.com</t>
  </si>
  <si>
    <t>2024-04-28, 2024-05-05, 2024-05-12, 2024-05-19, 2024-05-26, 2024-06-02, 2024-06-09</t>
  </si>
  <si>
    <t>6a34c854-1071-4d51-b6c5-9dacb4d7e28e</t>
  </si>
  <si>
    <t>joshua perry</t>
  </si>
  <si>
    <t>xprice@shah.org</t>
  </si>
  <si>
    <t>2022-11-30, 2022-12-07, 2022-12-14, 2022-12-21, 2022-12-28, 2023-01-04</t>
  </si>
  <si>
    <t>5a0cdd7c-f157-4470-8182-67c47a1b5806</t>
  </si>
  <si>
    <t>JAMES SNOW</t>
  </si>
  <si>
    <t>tracynelson@yahoo.com</t>
  </si>
  <si>
    <t>18-11-2023</t>
  </si>
  <si>
    <t>2023-11-18, 2023-11-25, 2023-12-02, 2023-12-09</t>
  </si>
  <si>
    <t>addc3e13-ab3b-4d37-960c-95ee638c254c</t>
  </si>
  <si>
    <t>MISTY PITTMAN</t>
  </si>
  <si>
    <t>meadowsbrittany@johnson.info</t>
  </si>
  <si>
    <t>2022-05-22, 2022-05-29</t>
  </si>
  <si>
    <t>53cd6268-610c-4373-8299-9aa40cdf742b</t>
  </si>
  <si>
    <t>gabriel juarez</t>
  </si>
  <si>
    <t>karen64@gmail.com</t>
  </si>
  <si>
    <t>HTML &amp; CSS Basics</t>
  </si>
  <si>
    <t>2023-01-14, 2023-01-21, 2023-01-28, 2023-02-04, 2023-02-11</t>
  </si>
  <si>
    <t>0d557b61-8a17-4dfe-bfc0-0dc804f64d86</t>
  </si>
  <si>
    <t>mrs. marie harrington dds</t>
  </si>
  <si>
    <t>jamessmith@allen.com</t>
  </si>
  <si>
    <t>2024-04-06, 2024-04-13, 2024-04-20, 2024-04-27, 2024-05-04, 2024-05-11, 2024-05-18</t>
  </si>
  <si>
    <t>b31022f0-770c-4798-b7cc-863bf2a03459</t>
  </si>
  <si>
    <t>JACOB OBRIEN</t>
  </si>
  <si>
    <t>tamirodriguez@hickman.biz</t>
  </si>
  <si>
    <t>2024-08-30, 2024-09-06, 2024-09-13, 2024-09-20, 2024-09-27, 2024-10-04, 2024-10-11, 2024-10-18</t>
  </si>
  <si>
    <t>13748146-32c5-4d89-b70b-3420f1043785</t>
  </si>
  <si>
    <t>sandra sanchez</t>
  </si>
  <si>
    <t>hoganashlee@gmail.com</t>
  </si>
  <si>
    <t>2023-12-14, 2023-12-21, 2023-12-28, 2024-01-04, 2024-01-11, 2024-01-18, 2024-01-25</t>
  </si>
  <si>
    <t>5eddbbbf-a959-4663-adaa-2e688861fe18</t>
  </si>
  <si>
    <t>matthew smith</t>
  </si>
  <si>
    <t>xgarcia@hotmail.com</t>
  </si>
  <si>
    <t>2023-09-28, 2023-10-05, 2023-10-12, 2023-10-19</t>
  </si>
  <si>
    <t>2d174fc9-6f7c-45ea-a72a-6d8eb5122df8</t>
  </si>
  <si>
    <t>tracie nelson</t>
  </si>
  <si>
    <t>ugraham@hotmail.com</t>
  </si>
  <si>
    <t>2024-03-21, 2024-03-28, 2024-04-04, 2024-04-11</t>
  </si>
  <si>
    <t>d4aac9a3-3ed8-456c-9a09-dfa052828d80</t>
  </si>
  <si>
    <t>diana hayes</t>
  </si>
  <si>
    <t>frogers@yahoo.com</t>
  </si>
  <si>
    <t>28-05-2023</t>
  </si>
  <si>
    <t>2023-05-28, 2023-06-04, 2023-06-11, 2023-06-18</t>
  </si>
  <si>
    <t>cc3ebdde-5ad5-4f06-b64d-7c877cd0129d</t>
  </si>
  <si>
    <t>douglas carlson</t>
  </si>
  <si>
    <t>blackjames@gmail.com</t>
  </si>
  <si>
    <t>2023-01-14, 2023-01-21</t>
  </si>
  <si>
    <t>3d85de89-c217-4429-8e20-07247d137018</t>
  </si>
  <si>
    <t>maria henry</t>
  </si>
  <si>
    <t>phillipsrichard@torres.com</t>
  </si>
  <si>
    <t>2023-12-29, 2024-01-05, 2024-01-12, 2024-01-19, 2024-01-26, 2024-02-02, 2024-02-09, 2024-02-16</t>
  </si>
  <si>
    <t>6cedd15d-5800-4c02-87ea-7ff58db06746</t>
  </si>
  <si>
    <t>KRISTA BELL MD</t>
  </si>
  <si>
    <t>jerry35@gmail.com</t>
  </si>
  <si>
    <t>2024-04-11, 2024-04-18</t>
  </si>
  <si>
    <t>2f65fafa-b0ae-4f08-831e-dbbcf36cb62b</t>
  </si>
  <si>
    <t>parker hill</t>
  </si>
  <si>
    <t>wallkenneth@yahoo.com</t>
  </si>
  <si>
    <t>2024-07-17, 2024-07-24, 2024-07-31, 2024-08-07</t>
  </si>
  <si>
    <t>88bd13d1-b540-430e-839f-3a254d6168bd</t>
  </si>
  <si>
    <t>ANGEL BROWN</t>
  </si>
  <si>
    <t>danamullins@gmail.com</t>
  </si>
  <si>
    <t>2023-01-10, 2023-01-17</t>
  </si>
  <si>
    <t>7a8d03aa-782a-45e0-88ca-765192f5df7b</t>
  </si>
  <si>
    <t>cody williams</t>
  </si>
  <si>
    <t>shortrichard@gmail.com</t>
  </si>
  <si>
    <t>2022-04-26, 2022-05-03, 2022-05-10, 2022-05-17</t>
  </si>
  <si>
    <t>26d794d3-0db9-4301-afbb-411aa1235a8c</t>
  </si>
  <si>
    <t>justin torres</t>
  </si>
  <si>
    <t>grantrobert@gibbs.info</t>
  </si>
  <si>
    <t>19-09-2024</t>
  </si>
  <si>
    <t>fd72b050-96a9-454f-9c33-e1f94c1f55ab</t>
  </si>
  <si>
    <t>keith brown</t>
  </si>
  <si>
    <t>colleenbaker@moore.net</t>
  </si>
  <si>
    <t>2024-02-23, 2024-03-01, 2024-03-08, 2024-03-15, 2024-03-22, 2024-03-29, 2024-04-05, 2024-04-12</t>
  </si>
  <si>
    <t>735435ea-6894-4b8d-80af-5b3a2812859a</t>
  </si>
  <si>
    <t>julie johnson</t>
  </si>
  <si>
    <t>jacqueline71@hotmail.com</t>
  </si>
  <si>
    <t>2022-08-01, 2022-08-08, 2022-08-15, 2022-08-22, 2022-08-29</t>
  </si>
  <si>
    <t>ca8f3653-c9af-48f8-83b9-da13ec856f37</t>
  </si>
  <si>
    <t>mary peck</t>
  </si>
  <si>
    <t>stephensdeborah@yahoo.com</t>
  </si>
  <si>
    <t>Machine Learning A-Z</t>
  </si>
  <si>
    <t>2023-04-04, 2023-04-11, 2023-04-18, 2023-04-25, 2023-05-02, 2023-05-09</t>
  </si>
  <si>
    <t>cae9b4a7-2a79-4a68-8f44-704f1247ea4e</t>
  </si>
  <si>
    <t>paul carroll</t>
  </si>
  <si>
    <t>smartinez@yahoo.com</t>
  </si>
  <si>
    <t>2022-11-13, 2022-11-20</t>
  </si>
  <si>
    <t>801ef1da-45b1-4d25-b153-3ae8670acc5c</t>
  </si>
  <si>
    <t>JESSICA GEORGE</t>
  </si>
  <si>
    <t>cassandra01@gmail.com</t>
  </si>
  <si>
    <t>2025-03-28, 2025-04-04, 2025-04-11, 2025-04-18, 2025-04-25, 2025-05-02, 2025-05-09, 2025-05-16</t>
  </si>
  <si>
    <t>964db03f-9340-4fad-9c4a-d56bd6016237</t>
  </si>
  <si>
    <t>YVONNE CHAMBERS</t>
  </si>
  <si>
    <t>hinesgregory@hotmail.com</t>
  </si>
  <si>
    <t>2025-02-17, 2025-02-24, 2025-03-03</t>
  </si>
  <si>
    <t>2e76128b-4735-44f9-aa83-bf007135f221</t>
  </si>
  <si>
    <t>jessica olsen dvm</t>
  </si>
  <si>
    <t>ricky51@gmail.com</t>
  </si>
  <si>
    <t>2025-01-13, 2025-01-20, 2025-01-27, 2025-02-03, 2025-02-10</t>
  </si>
  <si>
    <t>49c8a43f-7ed7-4ed7-b194-990b6961929e</t>
  </si>
  <si>
    <t>jennifer hodges</t>
  </si>
  <si>
    <t>qmiller@wilson-barton.net</t>
  </si>
  <si>
    <t>2023-09-01, 2023-09-08, 2023-09-15, 2023-09-22, 2023-09-29</t>
  </si>
  <si>
    <t>764414fd-8ae7-49ed-9e8e-de0ba85c6e4a</t>
  </si>
  <si>
    <t>CODY COX</t>
  </si>
  <si>
    <t>nwolf@yahoo.com</t>
  </si>
  <si>
    <t>2022-04-08, 2022-04-15, 2022-04-22, 2022-04-29, 2022-05-06, 2022-05-13, 2022-05-20</t>
  </si>
  <si>
    <t>70286046-49bc-473f-ad7b-f656218a1536</t>
  </si>
  <si>
    <t>kari johnson</t>
  </si>
  <si>
    <t>lancesmith@davis-gay.com</t>
  </si>
  <si>
    <t>2024-08-07, 2024-08-14, 2024-08-21</t>
  </si>
  <si>
    <t>d50755d9-a5d0-4d53-9e12-42e3f27292b6</t>
  </si>
  <si>
    <t>timothy carter</t>
  </si>
  <si>
    <t>edavenport@gmail.com</t>
  </si>
  <si>
    <t>2024-03-23, 2024-03-30, 2024-04-06</t>
  </si>
  <si>
    <t>30cbd755-6232-417a-a507-41818d1fb540</t>
  </si>
  <si>
    <t>katie suarez</t>
  </si>
  <si>
    <t>kendra65@adams.org</t>
  </si>
  <si>
    <t>2024-03-16, 2024-03-23, 2024-03-30, 2024-04-06, 2024-04-13, 2024-04-20, 2024-04-27, 2024-05-04</t>
  </si>
  <si>
    <t>dd81b7f5-7d59-41c6-a8f1-e091ffb8102d</t>
  </si>
  <si>
    <t>joshua reed</t>
  </si>
  <si>
    <t>mcantu@hotmail.com</t>
  </si>
  <si>
    <t>2024-09-23, 2024-09-30, 2024-10-07</t>
  </si>
  <si>
    <t>db23aa8c-3bca-4f85-a20a-60ac9261549d</t>
  </si>
  <si>
    <t>amanda garner</t>
  </si>
  <si>
    <t>ymcneil@hotmail.com</t>
  </si>
  <si>
    <t>2023-04-12, 2023-04-19, 2023-04-26</t>
  </si>
  <si>
    <t>2051acef-097a-4e10-b6fe-bc0e7ecddbaf</t>
  </si>
  <si>
    <t>LESLIE KANE</t>
  </si>
  <si>
    <t>foxstephen@hotmail.com</t>
  </si>
  <si>
    <t>29-11-2022</t>
  </si>
  <si>
    <t>f84f16b3-a79f-4faf-9ef5-768968f45bce</t>
  </si>
  <si>
    <t>john costa</t>
  </si>
  <si>
    <t>vsantos@hotmail.com</t>
  </si>
  <si>
    <t>2022-11-16, 2022-11-23, 2022-11-30, 2022-12-07, 2022-12-14, 2022-12-21, 2022-12-28</t>
  </si>
  <si>
    <t>a075e927-5110-4492-b442-7e0b61484bb3</t>
  </si>
  <si>
    <t>olivia brennan</t>
  </si>
  <si>
    <t>younggabrielle@bright-francis.biz</t>
  </si>
  <si>
    <t>13-07-2024</t>
  </si>
  <si>
    <t>df615a5c-b432-4070-a23d-4c2fc2a79689</t>
  </si>
  <si>
    <t>christopher evans</t>
  </si>
  <si>
    <t>nguyenbrian@brooks-thomas.net</t>
  </si>
  <si>
    <t>2022-09-06, 2022-09-13</t>
  </si>
  <si>
    <t>2e183554-cae2-4e66-ae8a-781390e0a95b</t>
  </si>
  <si>
    <t>BOB PITTS</t>
  </si>
  <si>
    <t>jdurham@murray.info</t>
  </si>
  <si>
    <t>2024-01-07, 2024-01-14, 2024-01-21, 2024-01-28, 2024-02-04, 2024-02-11</t>
  </si>
  <si>
    <t>cdfc6ee0-e61e-4e90-8267-deb3aab612c9</t>
  </si>
  <si>
    <t>dwayne payne</t>
  </si>
  <si>
    <t>llandry@fowler-coleman.com</t>
  </si>
  <si>
    <t>2023-05-08, 2023-05-15, 2023-05-22, 2023-05-29</t>
  </si>
  <si>
    <t>ffd6f232-32ff-4294-8d57-d880d865d69a</t>
  </si>
  <si>
    <t>JOHN YOUNG</t>
  </si>
  <si>
    <t>2024-03-16, 2024-03-23, 2024-03-30, 2024-04-06, 2024-04-13, 2024-04-20, 2024-04-27</t>
  </si>
  <si>
    <t>fe2110d0-4bbe-4aff-9326-dffd5be4bf51</t>
  </si>
  <si>
    <t>alison greer</t>
  </si>
  <si>
    <t>alan09@hotmail.com</t>
  </si>
  <si>
    <t>2024-09-11, 2024-09-18, 2024-09-25, 2024-10-02, 2024-10-09, 2024-10-16, 2024-10-23</t>
  </si>
  <si>
    <t>4944051b-e726-4e23-a776-b886d534ee1d</t>
  </si>
  <si>
    <t>crystal pham</t>
  </si>
  <si>
    <t>christinebyrd@saunders.com</t>
  </si>
  <si>
    <t>2024-05-17, 2024-05-24, 2024-05-31</t>
  </si>
  <si>
    <t>c9e26074-4f16-49a0-8a17-991ea5769411</t>
  </si>
  <si>
    <t>KEVIN OCONNOR</t>
  </si>
  <si>
    <t>mark62@anderson.com</t>
  </si>
  <si>
    <t>2024-12-06, 2024-12-13, 2024-12-20, 2024-12-27, 2025-01-03, 2025-01-10</t>
  </si>
  <si>
    <t>d499da99-45c4-4a3e-a9da-484a80759f1f</t>
  </si>
  <si>
    <t>thomas raymond</t>
  </si>
  <si>
    <t>linda71@gmail.com</t>
  </si>
  <si>
    <t>aca5e2fd-b966-442a-ad23-8d36dc322c97</t>
  </si>
  <si>
    <t>tracy ballard</t>
  </si>
  <si>
    <t>gibbsalexander@hotmail.com</t>
  </si>
  <si>
    <t>2023-03-23, 2023-03-30, 2023-04-06, 2023-04-13, 2023-04-20</t>
  </si>
  <si>
    <t>bfbf397b-ac3e-4b0d-9e5b-a13d746cdb77</t>
  </si>
  <si>
    <t>lauren carson</t>
  </si>
  <si>
    <t>leonardthomas@hotmail.com</t>
  </si>
  <si>
    <t>15-10-2022</t>
  </si>
  <si>
    <t>38ab854c-9c2e-48de-aa4e-361753f8382b</t>
  </si>
  <si>
    <t>madison marshall</t>
  </si>
  <si>
    <t>cwilson@gmail.com</t>
  </si>
  <si>
    <t>2024-08-26, 2024-09-02, 2024-09-09, 2024-09-16</t>
  </si>
  <si>
    <t>18e19331-1dba-4267-be1c-a5a1fef518a6</t>
  </si>
  <si>
    <t>JOSHUA PRICE</t>
  </si>
  <si>
    <t>umatthews@gmail.com</t>
  </si>
  <si>
    <t>23-07-2023</t>
  </si>
  <si>
    <t>2023-07-23, 2023-07-30, 2023-08-06, 2023-08-13, 2023-08-20, 2023-08-27, 2023-09-03, 2023-09-10</t>
  </si>
  <si>
    <t>7d45d8ef-d56c-48ea-9959-7b5aa7a8f636</t>
  </si>
  <si>
    <t>teresa ramirez</t>
  </si>
  <si>
    <t>scottsampson@yahoo.com</t>
  </si>
  <si>
    <t>2024-01-11, 2024-01-18</t>
  </si>
  <si>
    <t>8b621d41-5e09-49ee-af88-bdecfb1e143b</t>
  </si>
  <si>
    <t>maria brown</t>
  </si>
  <si>
    <t>tammyrush@yahoo.com</t>
  </si>
  <si>
    <t>2022-09-08, 2022-09-15</t>
  </si>
  <si>
    <t>a3b5cece-a446-4e72-b64c-911aa9ab364a</t>
  </si>
  <si>
    <t>alison buchanan</t>
  </si>
  <si>
    <t>kristinharris@clark.com</t>
  </si>
  <si>
    <t>27-08-2022</t>
  </si>
  <si>
    <t>00b9d4a3-9892-40ac-a689-33a9c9e48e8c</t>
  </si>
  <si>
    <t>WILLIAM HUERTA</t>
  </si>
  <si>
    <t>danieldelacruz@gmail.com</t>
  </si>
  <si>
    <t>2022-11-22, 2022-11-29, 2022-12-06, 2022-12-13</t>
  </si>
  <si>
    <t>3ce915e7-c9d6-463b-8a3c-6f5f5bb5c40c</t>
  </si>
  <si>
    <t>ALEXIS BAKER</t>
  </si>
  <si>
    <t>vfox@alvarez.net</t>
  </si>
  <si>
    <t>30-04-2022</t>
  </si>
  <si>
    <t>38b77c07-80fb-4296-b3b6-a09b1beaf6ac</t>
  </si>
  <si>
    <t>AMANDA LOGAN</t>
  </si>
  <si>
    <t>bschneider@gmail.com</t>
  </si>
  <si>
    <t>2024-10-15, 2024-10-22, 2024-10-29, 2024-11-05, 2024-11-12, 2024-11-19, 2024-11-26</t>
  </si>
  <si>
    <t>afa415e5-6d20-4496-a6d0-6371d8e88ebb</t>
  </si>
  <si>
    <t>MICHEAL WALLACE</t>
  </si>
  <si>
    <t>charlene12@weber-richards.com</t>
  </si>
  <si>
    <t>2024-04-20, 2024-04-27</t>
  </si>
  <si>
    <t>4b7e6b3c-87d2-42a6-98ee-ac2bfe9fecaa</t>
  </si>
  <si>
    <t>larry garcia</t>
  </si>
  <si>
    <t>russellbeasley@morgan-chavez.biz</t>
  </si>
  <si>
    <t>2023-11-19, 2023-11-26</t>
  </si>
  <si>
    <t>aa448259-5001-4b7b-ad40-67f450032b35</t>
  </si>
  <si>
    <t>TROY MCDANIEL</t>
  </si>
  <si>
    <t>davischristopher@yahoo.com</t>
  </si>
  <si>
    <t>2022-09-01, 2022-09-08, 2022-09-15, 2022-09-22, 2022-09-29</t>
  </si>
  <si>
    <t>cfd01cbd-5f65-48ce-bd21-bc11be9d61ee</t>
  </si>
  <si>
    <t>anthony frye</t>
  </si>
  <si>
    <t>jenkinsmorgan@yahoo.com</t>
  </si>
  <si>
    <t>2022-09-04, 2022-09-11, 2022-09-18, 2022-09-25, 2022-10-02, 2022-10-09</t>
  </si>
  <si>
    <t>4ffca6b1-99b4-49d4-89a2-14aef7e8f8e5</t>
  </si>
  <si>
    <t>kenneth lewis</t>
  </si>
  <si>
    <t>melaniebell@hotmail.com</t>
  </si>
  <si>
    <t>2022-06-25, 2022-07-02</t>
  </si>
  <si>
    <t>92f837d4-4750-4f1d-833a-1f6c1d691fba</t>
  </si>
  <si>
    <t>JEFFREY HOFFMAN</t>
  </si>
  <si>
    <t>anthony44@bell-white.com</t>
  </si>
  <si>
    <t>2023-10-29, 2023-11-05</t>
  </si>
  <si>
    <t>2451e5a4-11d0-49b2-a699-cd99a847bce7</t>
  </si>
  <si>
    <t>VALERIE DAVIS</t>
  </si>
  <si>
    <t>vbarnes@wood.com</t>
  </si>
  <si>
    <t>2024-09-02, 2024-09-09, 2024-09-16</t>
  </si>
  <si>
    <t>0d77c5a0-e222-46a6-95bf-be9798a21f1c</t>
  </si>
  <si>
    <t>paul williams</t>
  </si>
  <si>
    <t>scott67@ramos.com</t>
  </si>
  <si>
    <t>2024-09-04, 2024-09-11, 2024-09-18, 2024-09-25, 2024-10-02, 2024-10-09</t>
  </si>
  <si>
    <t>ad9fb00d-4882-473c-9c63-45ab6e0ed1e8</t>
  </si>
  <si>
    <t>katelyn estrada</t>
  </si>
  <si>
    <t>randallgreene@harris.com</t>
  </si>
  <si>
    <t>25-09-2023</t>
  </si>
  <si>
    <t>01fa964e-1eb7-4b56-93ff-d3a24a193501</t>
  </si>
  <si>
    <t>jeffrey anderson md</t>
  </si>
  <si>
    <t>charles06@stevens.com</t>
  </si>
  <si>
    <t>b5a1b949-6788-4209-92ca-525a6de59332</t>
  </si>
  <si>
    <t>donna sullivan</t>
  </si>
  <si>
    <t>lauriemontgomery@hotmail.com</t>
  </si>
  <si>
    <t>2024-09-17, 2024-09-24, 2024-10-01</t>
  </si>
  <si>
    <t>1b19d8b8-d830-4081-afcc-57dd168fae12</t>
  </si>
  <si>
    <t>KEVIN WARREN</t>
  </si>
  <si>
    <t>julie35@gmail.com</t>
  </si>
  <si>
    <t>2023-10-21, 2023-10-28, 2023-11-04, 2023-11-11, 2023-11-18</t>
  </si>
  <si>
    <t>87d5b7be-1d30-4990-a21b-030782af085c</t>
  </si>
  <si>
    <t>susan bailey</t>
  </si>
  <si>
    <t>curtisscott@morrison.com</t>
  </si>
  <si>
    <t>2022-08-03, 2022-08-10</t>
  </si>
  <si>
    <t>7e7e7419-a0c1-4035-85d9-5f51f387e1bd</t>
  </si>
  <si>
    <t>JUSTIN RILEY</t>
  </si>
  <si>
    <t>edward17@yahoo.com</t>
  </si>
  <si>
    <t>97674900-4651-4367-8bdc-43184d85a3d2</t>
  </si>
  <si>
    <t>JORDAN COLLINS</t>
  </si>
  <si>
    <t>brownmarie@gmail.com</t>
  </si>
  <si>
    <t>2024-12-12, 2024-12-19, 2024-12-26, 2025-01-02, 2025-01-09, 2025-01-16</t>
  </si>
  <si>
    <t>171dabf9-daf4-41a7-ba34-d2e8dd3f7d7e</t>
  </si>
  <si>
    <t>KATIE FORD</t>
  </si>
  <si>
    <t>kstout@lopez.com</t>
  </si>
  <si>
    <t>2025-01-02, 2025-01-09, 2025-01-16, 2025-01-23, 2025-01-30</t>
  </si>
  <si>
    <t>d65e59dd-e62d-4d06-8f9b-85581a7f195b</t>
  </si>
  <si>
    <t>MIGUEL WAGNER</t>
  </si>
  <si>
    <t>wrightsamuel@warren-bishop.com</t>
  </si>
  <si>
    <t>2024-03-06, 2024-03-13, 2024-03-20, 2024-03-27, 2024-04-03, 2024-04-10, 2024-04-17</t>
  </si>
  <si>
    <t>68a51c68-632d-4b5e-886b-b6bfeafde7d9</t>
  </si>
  <si>
    <t>meghan williams</t>
  </si>
  <si>
    <t>riveraangela@yahoo.com</t>
  </si>
  <si>
    <t>2023-11-07, 2023-11-14</t>
  </si>
  <si>
    <t>a8149562-da00-4f16-b946-9bcf4082cbb9</t>
  </si>
  <si>
    <t>lindsey hernandez</t>
  </si>
  <si>
    <t>2023-06-22, 2023-06-29, 2023-07-06, 2023-07-13, 2023-07-20, 2023-07-27, 2023-08-03</t>
  </si>
  <si>
    <t>eaafe543-2434-4678-a9e2-7ba9952e6abb</t>
  </si>
  <si>
    <t>walter hale</t>
  </si>
  <si>
    <t>2022-08-11, 2022-08-18, 2022-08-25</t>
  </si>
  <si>
    <t>f020e992-b576-455e-9854-9f222102f9c9</t>
  </si>
  <si>
    <t>justin schneider</t>
  </si>
  <si>
    <t>elizabethcalderon@hotmail.com</t>
  </si>
  <si>
    <t>2023-12-06, 2023-12-13, 2023-12-20, 2023-12-27</t>
  </si>
  <si>
    <t>a561e1e9-17ec-489c-86c1-b6cbe99630f7</t>
  </si>
  <si>
    <t>katie smith</t>
  </si>
  <si>
    <t>stephaniepeterson@yahoo.com</t>
  </si>
  <si>
    <t>2025-03-06, 2025-03-13, 2025-03-20, 2025-03-27</t>
  </si>
  <si>
    <t>27aa7cbc-2337-4bbc-bffe-77c839feb99c</t>
  </si>
  <si>
    <t>ryan garcia</t>
  </si>
  <si>
    <t>nancy92@bennett.org</t>
  </si>
  <si>
    <t>30-01-2023</t>
  </si>
  <si>
    <t>692e07b6-0b2f-4d5c-b00b-5d5fb89f72f3</t>
  </si>
  <si>
    <t>nathan montes</t>
  </si>
  <si>
    <t>pyoung@yahoo.com</t>
  </si>
  <si>
    <t>20-12-2022</t>
  </si>
  <si>
    <t>2022-12-20, 2022-12-27, 2023-01-03, 2023-01-10, 2023-01-17, 2023-01-24</t>
  </si>
  <si>
    <t>5e2ad32d-31ab-4b56-95c9-fdc7e76adca9</t>
  </si>
  <si>
    <t>laura alexander</t>
  </si>
  <si>
    <t>ashaw@gmail.com</t>
  </si>
  <si>
    <t>2024-04-04, 2024-04-11, 2024-04-18, 2024-04-25, 2024-05-02</t>
  </si>
  <si>
    <t>df7d0dd7-236e-4608-9acb-394acd1f5318</t>
  </si>
  <si>
    <t>MARTIN SAWYER</t>
  </si>
  <si>
    <t>mitchellkathryn@cole-palmer.biz</t>
  </si>
  <si>
    <t>2023-02-11, 2023-02-18, 2023-02-25, 2023-03-04, 2023-03-11, 2023-03-18</t>
  </si>
  <si>
    <t>d11376e0-38d7-4b9a-a916-da57f24823ab</t>
  </si>
  <si>
    <t>gregory johnson</t>
  </si>
  <si>
    <t>pshaw@vang-brooks.com</t>
  </si>
  <si>
    <t>2022-08-27, 2022-09-03, 2022-09-10, 2022-09-17, 2022-09-24</t>
  </si>
  <si>
    <t>b6f6dbf1-d6d4-41cc-995d-82f8ee4a9b5d</t>
  </si>
  <si>
    <t>RAVEN TAYLOR</t>
  </si>
  <si>
    <t>ihorton@hotmail.com</t>
  </si>
  <si>
    <t>2023-08-15, 2023-08-22, 2023-08-29, 2023-09-05, 2023-09-12, 2023-09-19, 2023-09-26</t>
  </si>
  <si>
    <t>e7e646c7-0158-4463-9d87-76a072d78bdd</t>
  </si>
  <si>
    <t>DAVID CONLEY</t>
  </si>
  <si>
    <t>2024-04-04, 2024-04-11, 2024-04-18, 2024-04-25, 2024-05-02, 2024-05-09, 2024-05-16</t>
  </si>
  <si>
    <t>871c0884-9bdf-40f2-ba2c-0f19f0b2a5d1</t>
  </si>
  <si>
    <t>ricardo young</t>
  </si>
  <si>
    <t>allendanielle@bryant.org</t>
  </si>
  <si>
    <t>2024-08-06, 2024-08-13, 2024-08-20, 2024-08-27, 2024-09-03, 2024-09-10, 2024-09-17</t>
  </si>
  <si>
    <t>93364f7e-83ef-49f3-a1c7-cc8a04351b64</t>
  </si>
  <si>
    <t>CHARLES PATTERSON</t>
  </si>
  <si>
    <t>ashleylopez@hotmail.com</t>
  </si>
  <si>
    <t>2024-07-17, 2024-07-24, 2024-07-31, 2024-08-07, 2024-08-14</t>
  </si>
  <si>
    <t>11536e99-5c50-4720-b982-f4e08603156a</t>
  </si>
  <si>
    <t>KIMBERLY HARTMAN</t>
  </si>
  <si>
    <t>cmarks@hughes.com</t>
  </si>
  <si>
    <t>2022-08-17, 2022-08-24, 2022-08-31, 2022-09-07, 2022-09-14, 2022-09-21, 2022-09-28, 2022-10-05</t>
  </si>
  <si>
    <t>a837fe68-bba2-45ca-bdba-6da85844f9fc</t>
  </si>
  <si>
    <t>PATRICIA MOSS</t>
  </si>
  <si>
    <t>bradleypayne@hotmail.com</t>
  </si>
  <si>
    <t>2022-07-20, 2022-07-27, 2022-08-03, 2022-08-10, 2022-08-17</t>
  </si>
  <si>
    <t>76f186ab-af47-4b49-8775-e395d49405f0</t>
  </si>
  <si>
    <t>mrs. catherine taylor</t>
  </si>
  <si>
    <t>carterbradley@gmail.com</t>
  </si>
  <si>
    <t>2023-01-03, 2023-01-10, 2023-01-17, 2023-01-24, 2023-01-31, 2023-02-07</t>
  </si>
  <si>
    <t>83f02dc7-4f61-4217-aef1-669450cae32d</t>
  </si>
  <si>
    <t>robert kennedy</t>
  </si>
  <si>
    <t>justinatkins@glenn.com</t>
  </si>
  <si>
    <t>2022-06-11, 2022-06-18</t>
  </si>
  <si>
    <t>e3b56360-6fdc-4bad-9e36-8127cca1b45c</t>
  </si>
  <si>
    <t>JEREMIAH HUBER</t>
  </si>
  <si>
    <t>tylerjimenez@hotmail.com</t>
  </si>
  <si>
    <t>17-10-2022</t>
  </si>
  <si>
    <t>6cac028c-ba22-4065-9526-0718cd180a82</t>
  </si>
  <si>
    <t>LANCE SHORT</t>
  </si>
  <si>
    <t>curtis54@yahoo.com</t>
  </si>
  <si>
    <t>2023-05-26, 2023-06-02, 2023-06-09, 2023-06-16, 2023-06-23</t>
  </si>
  <si>
    <t>2aa93b43-6d15-416f-b7b8-c1a59a45693d</t>
  </si>
  <si>
    <t>heather williams</t>
  </si>
  <si>
    <t>yhill@gmail.com</t>
  </si>
  <si>
    <t>28-02-2024</t>
  </si>
  <si>
    <t>5d01f55f-67fd-44c4-a334-058aabd2b512</t>
  </si>
  <si>
    <t>nicole moore</t>
  </si>
  <si>
    <t>melindagregory@johnson-jones.com</t>
  </si>
  <si>
    <t>2022-08-01, 2022-08-08, 2022-08-15, 2022-08-22</t>
  </si>
  <si>
    <t>084a6780-9136-41f8-b310-46dc6202bee6</t>
  </si>
  <si>
    <t>MEGHAN RUSH</t>
  </si>
  <si>
    <t>khines@gmail.com</t>
  </si>
  <si>
    <t>2023-10-21, 2023-10-28, 2023-11-04, 2023-11-11, 2023-11-18, 2023-11-25</t>
  </si>
  <si>
    <t>a6499cdc-507b-4072-a5e5-8f345df06e8c</t>
  </si>
  <si>
    <t>tyler johnson</t>
  </si>
  <si>
    <t>jholmes@green.info</t>
  </si>
  <si>
    <t>2024-07-07, 2024-07-14</t>
  </si>
  <si>
    <t>b1a8b71f-491b-40e9-9ca3-fbb3ff11c8ba</t>
  </si>
  <si>
    <t>KATHERINE MARTINEZ</t>
  </si>
  <si>
    <t>tthompson@osborn-cochran.com</t>
  </si>
  <si>
    <t>2023-03-06, 2023-03-13, 2023-03-20, 2023-03-27, 2023-04-03, 2023-04-10, 2023-04-17, 2023-04-24</t>
  </si>
  <si>
    <t>8ccc9cea-109f-48ee-b5a4-720058f0dd23</t>
  </si>
  <si>
    <t>STEPHANIE YORK</t>
  </si>
  <si>
    <t>william13@young.com</t>
  </si>
  <si>
    <t>2025-02-07, 2025-02-14, 2025-02-21, 2025-02-28, 2025-03-07, 2025-03-14, 2025-03-21, 2025-03-28</t>
  </si>
  <si>
    <t>77a7e8b7-5e70-465f-9280-c5aa8dd4595b</t>
  </si>
  <si>
    <t>kristen salazar</t>
  </si>
  <si>
    <t>parkeryvonne@mendoza.org</t>
  </si>
  <si>
    <t>2023-10-19, 2023-10-26, 2023-11-02, 2023-11-09, 2023-11-16, 2023-11-23</t>
  </si>
  <si>
    <t>a4704d48-5128-49b1-b8ed-e0ca20156a72</t>
  </si>
  <si>
    <t>JOHN HOLMES</t>
  </si>
  <si>
    <t>2022-07-30, 2022-08-06, 2022-08-13</t>
  </si>
  <si>
    <t>8d2238e6-c7bf-4fbc-943c-dd6de0c1ff1e</t>
  </si>
  <si>
    <t>catherine burch</t>
  </si>
  <si>
    <t>guerraapril@yahoo.com</t>
  </si>
  <si>
    <t>2022-10-23, 2022-10-30, 2022-11-06, 2022-11-13, 2022-11-20, 2022-11-27</t>
  </si>
  <si>
    <t>b596ca7c-ef4a-4a88-9299-e5052976aab2</t>
  </si>
  <si>
    <t>travis stone</t>
  </si>
  <si>
    <t>kingcynthia@hotmail.com</t>
  </si>
  <si>
    <t>2022-12-18, 2022-12-25, 2023-01-01, 2023-01-08, 2023-01-15</t>
  </si>
  <si>
    <t>9d4b2bf9-4d85-49c7-a001-7720200b2903</t>
  </si>
  <si>
    <t>KATHRYN JACKSON</t>
  </si>
  <si>
    <t>2023-06-07, 2023-06-14, 2023-06-21</t>
  </si>
  <si>
    <t>9fddde2e-a8a2-47ad-abd3-cdcd27794685</t>
  </si>
  <si>
    <t>lisa kirby</t>
  </si>
  <si>
    <t>millerstacy@baker.org</t>
  </si>
  <si>
    <t>2024-09-25, 2024-10-02, 2024-10-09, 2024-10-16, 2024-10-23, 2024-10-30, 2024-11-06, 2024-11-13</t>
  </si>
  <si>
    <t>a08dd21b-e395-4cb1-bf7f-6c0a07c0d116</t>
  </si>
  <si>
    <t>maria turner</t>
  </si>
  <si>
    <t>eevans@brown.com</t>
  </si>
  <si>
    <t>2024-12-24, 2024-12-31, 2025-01-07, 2025-01-14, 2025-01-21, 2025-01-28</t>
  </si>
  <si>
    <t>dc8a4922-5005-480f-a4c7-78a59b4e164b</t>
  </si>
  <si>
    <t>morgan valencia</t>
  </si>
  <si>
    <t>kathleenrobertson@gmail.com</t>
  </si>
  <si>
    <t>2023-09-17, 2023-09-24, 2023-10-01, 2023-10-08</t>
  </si>
  <si>
    <t>44790612-1f5d-488f-b76a-bf093de28859</t>
  </si>
  <si>
    <t>charles williams</t>
  </si>
  <si>
    <t>kwright@yahoo.com</t>
  </si>
  <si>
    <t>2023-08-15, 2023-08-22, 2023-08-29</t>
  </si>
  <si>
    <t>c35bec2c-3098-47b2-900e-15c0b89bdf7f</t>
  </si>
  <si>
    <t>ZACHARY OWENS</t>
  </si>
  <si>
    <t>zjohnson@hotmail.com</t>
  </si>
  <si>
    <t>2024-09-20, 2024-09-27, 2024-10-04, 2024-10-11, 2024-10-18</t>
  </si>
  <si>
    <t>95560a2d-3713-4466-bda0-6476f778c676</t>
  </si>
  <si>
    <t>anthony simpson</t>
  </si>
  <si>
    <t>amanda16@gmail.com</t>
  </si>
  <si>
    <t>2024-03-17, 2024-03-24, 2024-03-31</t>
  </si>
  <si>
    <t>673ba8bd-c38c-4dec-9da3-9a73ba3df7ff</t>
  </si>
  <si>
    <t>james hudson</t>
  </si>
  <si>
    <t>angela16@cole.org</t>
  </si>
  <si>
    <t>22-05-2023</t>
  </si>
  <si>
    <t>f99f0704-20f0-456a-9e6a-66289c6d52d5</t>
  </si>
  <si>
    <t>JAKE HATFIELD</t>
  </si>
  <si>
    <t>jameshicks@hotmail.com</t>
  </si>
  <si>
    <t>2025-02-26, 2025-03-05, 2025-03-12</t>
  </si>
  <si>
    <t>b6adf48b-2314-40c8-89f6-44050b990034</t>
  </si>
  <si>
    <t>JOHN BRYANT</t>
  </si>
  <si>
    <t>sarah52@ewing-stevenson.com</t>
  </si>
  <si>
    <t>2022-06-08, 2022-06-15, 2022-06-22</t>
  </si>
  <si>
    <t>827c9f8c-d40a-45e9-81df-6517561c9210</t>
  </si>
  <si>
    <t>michelle evans</t>
  </si>
  <si>
    <t>mark16@parker.com</t>
  </si>
  <si>
    <t>2024-10-15, 2024-10-22, 2024-10-29, 2024-11-05</t>
  </si>
  <si>
    <t>a7d4cf50-f791-41e5-83f9-cd6b797ebe87</t>
  </si>
  <si>
    <t>paula lane</t>
  </si>
  <si>
    <t>ojackson@harvey.com</t>
  </si>
  <si>
    <t>2024-10-20, 2024-10-27, 2024-11-03, 2024-11-10</t>
  </si>
  <si>
    <t>1c221cea-b355-46a5-b2bd-92f29293f705</t>
  </si>
  <si>
    <t>jeremy barnes</t>
  </si>
  <si>
    <t>roberthampton@yahoo.com</t>
  </si>
  <si>
    <t>2022-05-26, 2022-06-02</t>
  </si>
  <si>
    <t>35145890-84c8-4c46-a359-5fa4b4adaf89</t>
  </si>
  <si>
    <t>yolanda mendoza</t>
  </si>
  <si>
    <t>sue78@yahoo.com</t>
  </si>
  <si>
    <t>2022-07-12, 2022-07-19, 2022-07-26, 2022-08-02, 2022-08-09, 2022-08-16, 2022-08-23, 2022-08-30</t>
  </si>
  <si>
    <t>de1e994a-c5a1-4f5c-ad05-b9125ab28d4a</t>
  </si>
  <si>
    <t>MARIA STEELE</t>
  </si>
  <si>
    <t>susanramirez@yahoo.com</t>
  </si>
  <si>
    <t>2024-08-02, 2024-08-09, 2024-08-16, 2024-08-23, 2024-08-30, 2024-09-06, 2024-09-13, 2024-09-20</t>
  </si>
  <si>
    <t>4c3077c4-fb75-4923-b910-abb3f1053252</t>
  </si>
  <si>
    <t>michele vaughn</t>
  </si>
  <si>
    <t>timothy84@yahoo.com</t>
  </si>
  <si>
    <t>2023-03-22, 2023-03-29, 2023-04-05, 2023-04-12</t>
  </si>
  <si>
    <t>6133a34d-8b0e-4eb1-ad37-1d9e92cf6021</t>
  </si>
  <si>
    <t>JENNIFER REED</t>
  </si>
  <si>
    <t>bobby15@douglas-burgess.com</t>
  </si>
  <si>
    <t>2022-10-13, 2022-10-20, 2022-10-27, 2022-11-03, 2022-11-10</t>
  </si>
  <si>
    <t>eedaa802-4568-4426-89e0-3e22d3f4a49b</t>
  </si>
  <si>
    <t>DENISE RODRIGUEZ</t>
  </si>
  <si>
    <t>brentstein@little.com</t>
  </si>
  <si>
    <t>2023-02-14, 2023-02-21, 2023-02-28, 2023-03-07, 2023-03-14, 2023-03-21, 2023-03-28, 2023-04-04</t>
  </si>
  <si>
    <t>19bd4f93-78ef-4666-b7a4-c719548e1f6b</t>
  </si>
  <si>
    <t>brenda oconnell</t>
  </si>
  <si>
    <t>edelgado@santos-avila.com</t>
  </si>
  <si>
    <t>2024-01-09, 2024-01-16, 2024-01-23</t>
  </si>
  <si>
    <t>e86e8e63-0f25-477d-a559-90e74910fade</t>
  </si>
  <si>
    <t>marissa hall</t>
  </si>
  <si>
    <t>robertmonroe@osborn.info</t>
  </si>
  <si>
    <t>2023-08-18, 2023-08-25, 2023-09-01, 2023-09-08, 2023-09-15, 2023-09-22, 2023-09-29</t>
  </si>
  <si>
    <t>df4e713e-f64e-4dfc-bfbe-ac7aefc59738</t>
  </si>
  <si>
    <t>sherri smith</t>
  </si>
  <si>
    <t>justin88@small-anderson.net</t>
  </si>
  <si>
    <t>2023-01-21, 2023-01-28</t>
  </si>
  <si>
    <t>1cd66b09-cf0e-4d2b-b15c-167a45d8a6ad</t>
  </si>
  <si>
    <t>nicholas wong</t>
  </si>
  <si>
    <t>doylekrystal@craig.biz</t>
  </si>
  <si>
    <t>2024-04-03, 2024-04-10, 2024-04-17, 2024-04-24, 2024-05-01</t>
  </si>
  <si>
    <t>669d01ff-1634-425b-93f3-007383e96ef4</t>
  </si>
  <si>
    <t>cathy taylor</t>
  </si>
  <si>
    <t>adamreyes@yahoo.com</t>
  </si>
  <si>
    <t>31-01-2024</t>
  </si>
  <si>
    <t>2024-01-31, 2024-02-07, 2024-02-14, 2024-02-21, 2024-02-28</t>
  </si>
  <si>
    <t>951c25d5-4d4c-4280-9462-52e7f43ba052</t>
  </si>
  <si>
    <t>alexandra valdez</t>
  </si>
  <si>
    <t>contrerassteven@sullivan.com</t>
  </si>
  <si>
    <t>2023-05-26, 2023-06-02, 2023-06-09, 2023-06-16, 2023-06-23, 2023-06-30</t>
  </si>
  <si>
    <t>f0cd7f05-ea87-455e-a382-95d31e0ef546</t>
  </si>
  <si>
    <t>lucas robinson</t>
  </si>
  <si>
    <t>vhernandez@brooks.net</t>
  </si>
  <si>
    <t>14-03-2025</t>
  </si>
  <si>
    <t>3f59e4f2-c309-4b6e-b7e9-d2e2d35ac07a</t>
  </si>
  <si>
    <t>linda cobb</t>
  </si>
  <si>
    <t>christian91@gmail.com</t>
  </si>
  <si>
    <t>2025-02-01, 2025-02-08, 2025-02-15, 2025-02-22</t>
  </si>
  <si>
    <t>929c93b3-33c0-4bf1-8167-999fe723ada3</t>
  </si>
  <si>
    <t>carmen bond</t>
  </si>
  <si>
    <t>frazierjennifer@yahoo.com</t>
  </si>
  <si>
    <t>2024-08-04, 2024-08-11, 2024-08-18, 2024-08-25</t>
  </si>
  <si>
    <t>cf0671c7-720b-474b-82a7-f586e61d9cde</t>
  </si>
  <si>
    <t>carlos perry</t>
  </si>
  <si>
    <t>tchambers@johnson.com</t>
  </si>
  <si>
    <t>2022-08-26, 2022-09-02, 2022-09-09, 2022-09-16, 2022-09-23, 2022-09-30</t>
  </si>
  <si>
    <t>58330b30-6c77-4e95-8b98-1ccd12b2102d</t>
  </si>
  <si>
    <t>kimberly brown</t>
  </si>
  <si>
    <t>ajohnson@mack.biz</t>
  </si>
  <si>
    <t>2024-09-21, 2024-09-28, 2024-10-05</t>
  </si>
  <si>
    <t>72d35458-61ea-4f30-a42e-707afe2bd987</t>
  </si>
  <si>
    <t>susan bennett</t>
  </si>
  <si>
    <t>david86@anderson.com</t>
  </si>
  <si>
    <t>2023-11-09, 2023-11-16, 2023-11-23, 2023-11-30, 2023-12-07, 2023-12-14</t>
  </si>
  <si>
    <t>8b60c511-b816-4aeb-ac6a-7c8576876c62</t>
  </si>
  <si>
    <t>james hall</t>
  </si>
  <si>
    <t>eric31@gmail.com</t>
  </si>
  <si>
    <t>14-07-2023</t>
  </si>
  <si>
    <t>efad49e9-c41c-447e-9d6b-9b626b535a19</t>
  </si>
  <si>
    <t>alexis harris</t>
  </si>
  <si>
    <t>griffinemily@sanchez.biz</t>
  </si>
  <si>
    <t>2025-01-26, 2025-02-02, 2025-02-09, 2025-02-16</t>
  </si>
  <si>
    <t>c11f6bf5-379e-4467-8a2d-b2e63bfda8a6</t>
  </si>
  <si>
    <t>amy gordon</t>
  </si>
  <si>
    <t>lisadennis@yahoo.com</t>
  </si>
  <si>
    <t>2024-02-17, 2024-02-24, 2024-03-02, 2024-03-09, 2024-03-16</t>
  </si>
  <si>
    <t>d18183d1-ac2b-4cfc-85c5-1060991121e7</t>
  </si>
  <si>
    <t>eric thomas</t>
  </si>
  <si>
    <t>dturner@fry.biz</t>
  </si>
  <si>
    <t>582b91ee-f8e8-435b-8c00-988a7ee1011a</t>
  </si>
  <si>
    <t>megan floyd</t>
  </si>
  <si>
    <t>trussell@yahoo.com</t>
  </si>
  <si>
    <t>17-08-2024</t>
  </si>
  <si>
    <t>2024-08-17, 2024-08-24, 2024-08-31, 2024-09-07, 2024-09-14, 2024-09-21, 2024-09-28</t>
  </si>
  <si>
    <t>3db0174e-7938-478a-89b5-aab0c12169db</t>
  </si>
  <si>
    <t>elizabeth zimmerman</t>
  </si>
  <si>
    <t>17-01-2023</t>
  </si>
  <si>
    <t>69a53b4f-8ff8-469d-8ec0-713dea2c7a51</t>
  </si>
  <si>
    <t>kristin anderson</t>
  </si>
  <si>
    <t>james17@davis-hardy.com</t>
  </si>
  <si>
    <t>2024-03-26, 2024-04-02, 2024-04-09, 2024-04-16</t>
  </si>
  <si>
    <t>9adf4709-ac75-4344-a08e-149e44b9e602</t>
  </si>
  <si>
    <t>shelly lopez</t>
  </si>
  <si>
    <t>vclark@krueger-smith.com</t>
  </si>
  <si>
    <t>2022-06-26, 2022-07-03, 2022-07-10</t>
  </si>
  <si>
    <t>7a9a8ef5-c11b-41c4-bfe3-f366bf337a15</t>
  </si>
  <si>
    <t>melissa padilla</t>
  </si>
  <si>
    <t>andrearowe@yahoo.com</t>
  </si>
  <si>
    <t>2022-10-06, 2022-10-13, 2022-10-20, 2022-10-27, 2022-11-03, 2022-11-10</t>
  </si>
  <si>
    <t>4ef4c34d-5bf8-4f3c-a612-9a1c889d4b76</t>
  </si>
  <si>
    <t>JOSE CRAWFORD</t>
  </si>
  <si>
    <t>ugill@wood.com</t>
  </si>
  <si>
    <t>2024-03-31, 2024-04-07, 2024-04-14, 2024-04-21, 2024-04-28</t>
  </si>
  <si>
    <t>255b30e2-bdc2-474b-b8a5-6b49dd34aa18</t>
  </si>
  <si>
    <t>juan silva</t>
  </si>
  <si>
    <t>elijah53@yahoo.com</t>
  </si>
  <si>
    <t>2024-08-27, 2024-09-03, 2024-09-10, 2024-09-17, 2024-09-24, 2024-10-01</t>
  </si>
  <si>
    <t>8cf6e8b8-7fd2-48c3-bee8-2983d5574241</t>
  </si>
  <si>
    <t>melinda scott</t>
  </si>
  <si>
    <t>umurray@yahoo.com</t>
  </si>
  <si>
    <t>2024-09-08, 2024-09-15, 2024-09-22, 2024-09-29, 2024-10-06, 2024-10-13</t>
  </si>
  <si>
    <t>7d024c6d-8bea-45c1-b866-77aa23d4526b</t>
  </si>
  <si>
    <t>STEVE MOONEY</t>
  </si>
  <si>
    <t>combscharles@williams.com</t>
  </si>
  <si>
    <t>2022-12-25, 2023-01-01, 2023-01-08, 2023-01-15, 2023-01-22</t>
  </si>
  <si>
    <t>37fe032c-0257-4851-a6a9-e100b509109b</t>
  </si>
  <si>
    <t>jacqueline williamson</t>
  </si>
  <si>
    <t>ismith@hotmail.com</t>
  </si>
  <si>
    <t>2022-07-21, 2022-07-28, 2022-08-04, 2022-08-11</t>
  </si>
  <si>
    <t>b8e19f56-8787-4a21-8448-2a220308aa5e</t>
  </si>
  <si>
    <t>william smith</t>
  </si>
  <si>
    <t>danieldavis@gmail.com</t>
  </si>
  <si>
    <t>2024-01-05, 2024-01-12, 2024-01-19, 2024-01-26, 2024-02-02</t>
  </si>
  <si>
    <t>409e7a80-86c5-41d6-9ea9-f50831227592</t>
  </si>
  <si>
    <t>debra sanders</t>
  </si>
  <si>
    <t>pstevens@hotmail.com</t>
  </si>
  <si>
    <t>2023-04-16, 2023-04-23, 2023-04-30, 2023-05-07, 2023-05-14, 2023-05-21</t>
  </si>
  <si>
    <t>d90dd19b-d3fb-4043-af1d-5a1a4ccb2355</t>
  </si>
  <si>
    <t>william santos</t>
  </si>
  <si>
    <t>sullivannicholas@brown-smith.com</t>
  </si>
  <si>
    <t>2023-03-23, 2023-03-30, 2023-04-06, 2023-04-13</t>
  </si>
  <si>
    <t>a518a418-6f14-43f6-9867-888b7ff6b824</t>
  </si>
  <si>
    <t>kylie hodge</t>
  </si>
  <si>
    <t>hallrachel@clay.com</t>
  </si>
  <si>
    <t>2022-08-13, 2022-08-20, 2022-08-27, 2022-09-03, 2022-09-10, 2022-09-17, 2022-09-24</t>
  </si>
  <si>
    <t>8b040f53-e639-49d4-87c6-8688ecf32053</t>
  </si>
  <si>
    <t>amanda mcfarland</t>
  </si>
  <si>
    <t>alibrenda@hotmail.com</t>
  </si>
  <si>
    <t>2025-03-05, 2025-03-12</t>
  </si>
  <si>
    <t>299656e2-4c9d-4907-93b2-2cecedcabf94</t>
  </si>
  <si>
    <t>lacey atkinson</t>
  </si>
  <si>
    <t>icampos@hotmail.com</t>
  </si>
  <si>
    <t>2023-12-16, 2023-12-23</t>
  </si>
  <si>
    <t>588a3f87-f96d-40f8-bed6-3da08033f5c2</t>
  </si>
  <si>
    <t>JEFFREY ROBERSON</t>
  </si>
  <si>
    <t>unovak@gmail.com</t>
  </si>
  <si>
    <t>2022-08-06, 2022-08-13, 2022-08-20</t>
  </si>
  <si>
    <t>735741e5-fe1a-4ba9-8896-9c5b45f8c28d</t>
  </si>
  <si>
    <t>henry pugh md</t>
  </si>
  <si>
    <t>bartonkenneth@gmail.com</t>
  </si>
  <si>
    <t>2024-12-17, 2024-12-24, 2024-12-31, 2025-01-07</t>
  </si>
  <si>
    <t>6147adeb-277b-4667-8499-d0a615007170</t>
  </si>
  <si>
    <t>madison singh</t>
  </si>
  <si>
    <t>daniel04@yahoo.com</t>
  </si>
  <si>
    <t>2022-07-30, 2022-08-06</t>
  </si>
  <si>
    <t>21ebfaa9-1a2b-469c-850f-69eec2e79a98</t>
  </si>
  <si>
    <t>jeffrey hawkins</t>
  </si>
  <si>
    <t>johnsonmichael@gmail.com</t>
  </si>
  <si>
    <t>2023-10-18, 2023-10-25, 2023-11-01, 2023-11-08, 2023-11-15, 2023-11-22, 2023-11-29</t>
  </si>
  <si>
    <t>dd1ca267-530d-4da6-88d0-f9e5991965ea</t>
  </si>
  <si>
    <t>EDGAR HUGHES</t>
  </si>
  <si>
    <t>ashleyjackson@jackson-adams.com</t>
  </si>
  <si>
    <t>2024-10-20, 2024-10-27, 2024-11-03</t>
  </si>
  <si>
    <t>6f46f1b1-2ace-4aa9-9032-46b3255bfc1c</t>
  </si>
  <si>
    <t>elijah patton</t>
  </si>
  <si>
    <t>sheryl79@hotmail.com</t>
  </si>
  <si>
    <t>2024-05-12, 2024-05-19, 2024-05-26</t>
  </si>
  <si>
    <t>4dfe1117-22af-411f-9b62-8a9d75366b9f</t>
  </si>
  <si>
    <t>james skinner</t>
  </si>
  <si>
    <t>scott69@gmail.com</t>
  </si>
  <si>
    <t>2023-02-04, 2023-02-11, 2023-02-18, 2023-02-25, 2023-03-04, 2023-03-11, 2023-03-18</t>
  </si>
  <si>
    <t>b1fead13-f280-4f1d-9a6c-0db952171c88</t>
  </si>
  <si>
    <t>ERNEST OCONNELL</t>
  </si>
  <si>
    <t>jessica79@gmail.com</t>
  </si>
  <si>
    <t>c92e8c93-d105-48d6-87c1-c01760452909</t>
  </si>
  <si>
    <t>BRIAN ELLIOTT</t>
  </si>
  <si>
    <t>bentonsteven@clark.com</t>
  </si>
  <si>
    <t>2023-08-26, 2023-09-02</t>
  </si>
  <si>
    <t>a2224f96-23a1-4e20-bfd2-55eeac484366</t>
  </si>
  <si>
    <t>david moore</t>
  </si>
  <si>
    <t>mjones@yahoo.com</t>
  </si>
  <si>
    <t>2024-01-02, 2024-01-09</t>
  </si>
  <si>
    <t>ec6a37ad-81b1-4db9-88cc-4d49669b29b8</t>
  </si>
  <si>
    <t>melissa stephens</t>
  </si>
  <si>
    <t>rodriguezjohn@hotmail.com</t>
  </si>
  <si>
    <t>27-09-2024</t>
  </si>
  <si>
    <t>0b570720-9cd8-458b-a5a1-c8252a9528c3</t>
  </si>
  <si>
    <t>maria lucas</t>
  </si>
  <si>
    <t>grodriguez@yahoo.com</t>
  </si>
  <si>
    <t>2023-10-10, 2023-10-17, 2023-10-24, 2023-10-31, 2023-11-07, 2023-11-14, 2023-11-21</t>
  </si>
  <si>
    <t>8ed8a80d-84cf-4e39-bf31-c29f82bbad84</t>
  </si>
  <si>
    <t>LAURA GRIFFIN</t>
  </si>
  <si>
    <t>lbarton@hotmail.com</t>
  </si>
  <si>
    <t>2023-03-17, 2023-03-24, 2023-03-31, 2023-04-07, 2023-04-14</t>
  </si>
  <si>
    <t>0649bcf6-ff69-423d-984f-c85b2697384d</t>
  </si>
  <si>
    <t>mr. thomas miller</t>
  </si>
  <si>
    <t>larry73@webb.info</t>
  </si>
  <si>
    <t>2024-05-23, 2024-05-30, 2024-06-06, 2024-06-13, 2024-06-20, 2024-06-27</t>
  </si>
  <si>
    <t>cf685878-0b70-4933-8cde-1b6b1132567c</t>
  </si>
  <si>
    <t>alison cooper</t>
  </si>
  <si>
    <t>sarahyang@thompson.info</t>
  </si>
  <si>
    <t>2023-08-15, 2023-08-22, 2023-08-29, 2023-09-05, 2023-09-12</t>
  </si>
  <si>
    <t>2f383b43-a137-48e4-a7b1-3040cc39b925</t>
  </si>
  <si>
    <t>MATTHEW FOSTER</t>
  </si>
  <si>
    <t>yvargas@bush.com</t>
  </si>
  <si>
    <t>2023-04-02, 2023-04-09, 2023-04-16, 2023-04-23, 2023-04-30, 2023-05-07, 2023-05-14</t>
  </si>
  <si>
    <t>93cd1291-1004-4d82-8bc7-2f1acf08ea54</t>
  </si>
  <si>
    <t>shane lopez</t>
  </si>
  <si>
    <t>stephenbaker@yahoo.com</t>
  </si>
  <si>
    <t>98d3148b-503b-4078-a39c-9ec6f7464c02</t>
  </si>
  <si>
    <t>james wilson</t>
  </si>
  <si>
    <t>rwilliamson@hotmail.com</t>
  </si>
  <si>
    <t>2024-07-04, 2024-07-11, 2024-07-18</t>
  </si>
  <si>
    <t>15b24e1d-9715-4633-9d4e-db71eb2ec80e</t>
  </si>
  <si>
    <t>EMILY ALLEN</t>
  </si>
  <si>
    <t>nathanielthomas@barnes-taylor.biz</t>
  </si>
  <si>
    <t>2023-07-13, 2023-07-20</t>
  </si>
  <si>
    <t>8991b01a-a2b0-4c4b-bc96-6b552f8d8ded</t>
  </si>
  <si>
    <t>maria cooke</t>
  </si>
  <si>
    <t>lroberts@wilkinson-harvey.com</t>
  </si>
  <si>
    <t>2024-01-24, 2024-01-31, 2024-02-07</t>
  </si>
  <si>
    <t>d0b1fde0-31f3-40c0-a2f3-f0687c0f549d</t>
  </si>
  <si>
    <t>justin delgado</t>
  </si>
  <si>
    <t>cperry@yahoo.com</t>
  </si>
  <si>
    <t>21-04-2022</t>
  </si>
  <si>
    <t>cbbed980-07e6-4cb0-90bd-e9001529e6f5</t>
  </si>
  <si>
    <t>dorothy hill</t>
  </si>
  <si>
    <t>kimberlycunningham@yahoo.com</t>
  </si>
  <si>
    <t>22-12-2022</t>
  </si>
  <si>
    <t>2022-12-22, 2022-12-29, 2023-01-05</t>
  </si>
  <si>
    <t>1d3ca5a4-929d-4377-9cfb-655f82c42e48</t>
  </si>
  <si>
    <t>JOSHUA RITTER</t>
  </si>
  <si>
    <t>bpayne@fitzgerald.com</t>
  </si>
  <si>
    <t>2024-08-07, 2024-08-14, 2024-08-21, 2024-08-28, 2024-09-04</t>
  </si>
  <si>
    <t>7321a8b2-0840-405a-bfd2-f491dff389aa</t>
  </si>
  <si>
    <t>scott miller</t>
  </si>
  <si>
    <t>jasonrojas@bell.com</t>
  </si>
  <si>
    <t>d0437e4c-34e5-4699-88eb-e27a23a4e70e</t>
  </si>
  <si>
    <t>ANTHONY BELL</t>
  </si>
  <si>
    <t>mariopadilla@yahoo.com</t>
  </si>
  <si>
    <t>2024-11-19, 2024-11-26, 2024-12-03</t>
  </si>
  <si>
    <t>83b0b35c-dba6-4df8-b3d0-4ffb44709848</t>
  </si>
  <si>
    <t>miss anna estes</t>
  </si>
  <si>
    <t>riddlemichelle@gmail.com</t>
  </si>
  <si>
    <t>2024-09-12, 2024-09-19, 2024-09-26, 2024-10-03, 2024-10-10, 2024-10-17, 2024-10-24</t>
  </si>
  <si>
    <t>257035db-3fea-490a-a1f8-072dddb7570e</t>
  </si>
  <si>
    <t>sandra juarez</t>
  </si>
  <si>
    <t>othomas@yahoo.com</t>
  </si>
  <si>
    <t>2025-03-31, 2025-04-07, 2025-04-14, 2025-04-21, 2025-04-28, 2025-05-05</t>
  </si>
  <si>
    <t>135508d0-73b5-4ad5-a00b-4b356a0aa7d5</t>
  </si>
  <si>
    <t>sheryl davis</t>
  </si>
  <si>
    <t>shawn75@hotmail.com</t>
  </si>
  <si>
    <t>2024-12-07, 2024-12-14, 2024-12-21, 2024-12-28, 2025-01-04, 2025-01-11, 2025-01-18, 2025-01-25</t>
  </si>
  <si>
    <t>bb93cd40-d8df-4535-862d-baeade70bd30</t>
  </si>
  <si>
    <t>william reid</t>
  </si>
  <si>
    <t>flynnraymond@yahoo.com</t>
  </si>
  <si>
    <t>2022-04-10, 2022-04-17, 2022-04-24, 2022-05-01, 2022-05-08</t>
  </si>
  <si>
    <t>d40e53ce-52a7-4a41-84be-d4867ea5a387</t>
  </si>
  <si>
    <t>joshua anderson</t>
  </si>
  <si>
    <t>patricia00@gmail.com</t>
  </si>
  <si>
    <t>2023-03-02, 2023-03-09</t>
  </si>
  <si>
    <t>042b03ca-75a7-4686-9632-1d31c8acffcf</t>
  </si>
  <si>
    <t>SCOTT ALEXANDER</t>
  </si>
  <si>
    <t>sharris@khan.com</t>
  </si>
  <si>
    <t>40198303-5c45-4e4d-a793-13b817e52113</t>
  </si>
  <si>
    <t>MATTHEW BANKS</t>
  </si>
  <si>
    <t>ugarrett@fischer.com</t>
  </si>
  <si>
    <t>2023-06-06, 2023-06-13, 2023-06-20, 2023-06-27, 2023-07-04, 2023-07-11</t>
  </si>
  <si>
    <t>21f89d06-13f3-4ade-ba10-013f36a2c52b</t>
  </si>
  <si>
    <t>KELLY WALLACE</t>
  </si>
  <si>
    <t>lisa62@jones-reyes.com</t>
  </si>
  <si>
    <t>4c9bff5c-e188-4eaf-9e18-85c35037cd6b</t>
  </si>
  <si>
    <t>raymond mullins</t>
  </si>
  <si>
    <t>caseyelliott@santos.com</t>
  </si>
  <si>
    <t>2022-09-14, 2022-09-21, 2022-09-28, 2022-10-05, 2022-10-12</t>
  </si>
  <si>
    <t>dc268108-7140-41a1-afc2-ccfc9db7284b</t>
  </si>
  <si>
    <t>STEVEN TAYLOR</t>
  </si>
  <si>
    <t>bbell@moody-wright.com</t>
  </si>
  <si>
    <t>2024-01-06, 2024-01-13, 2024-01-20, 2024-01-27, 2024-02-03, 2024-02-10</t>
  </si>
  <si>
    <t>b89f3a92-999a-4d86-99db-13028dab66d3</t>
  </si>
  <si>
    <t>peggy vaughn</t>
  </si>
  <si>
    <t>aprilhicks@hotmail.com</t>
  </si>
  <si>
    <t>2023-04-27, 2023-05-04, 2023-05-11</t>
  </si>
  <si>
    <t>c8a738ab-0df8-4e12-a56b-61e04ba8a4ca</t>
  </si>
  <si>
    <t>tina simpson</t>
  </si>
  <si>
    <t>victorwheeler@oneal.com</t>
  </si>
  <si>
    <t>2023-12-06, 2023-12-13, 2023-12-20, 2023-12-27, 2024-01-03, 2024-01-10, 2024-01-17</t>
  </si>
  <si>
    <t>91816091-d6c6-445c-9c5e-4e786307d4d1</t>
  </si>
  <si>
    <t>joshua thompson</t>
  </si>
  <si>
    <t>smithcarlos@yahoo.com</t>
  </si>
  <si>
    <t>2022-10-29, 2022-11-05, 2022-11-12, 2022-11-19, 2022-11-26, 2022-12-03, 2022-12-10, 2022-12-17</t>
  </si>
  <si>
    <t>f2dcb12b-0f7a-4302-ac2e-28150a3217d2</t>
  </si>
  <si>
    <t>katie fuller</t>
  </si>
  <si>
    <t>fmiles@hotmail.com</t>
  </si>
  <si>
    <t>2023-03-08, 2023-03-15, 2023-03-22, 2023-03-29, 2023-04-05, 2023-04-12</t>
  </si>
  <si>
    <t>4708203b-2716-40c1-9db5-428389a3c811</t>
  </si>
  <si>
    <t>bob mccall</t>
  </si>
  <si>
    <t>peter14@kim.com</t>
  </si>
  <si>
    <t>2024-07-18, 2024-07-25, 2024-08-01, 2024-08-08, 2024-08-15, 2024-08-22, 2024-08-29</t>
  </si>
  <si>
    <t>74102d5d-1db1-4bfc-af3a-5115ecb4678c</t>
  </si>
  <si>
    <t>AMY WADE</t>
  </si>
  <si>
    <t>smithderrick@martin.net</t>
  </si>
  <si>
    <t>425e0259-b884-46d2-928f-cf68c871d7b3</t>
  </si>
  <si>
    <t>cameron norman</t>
  </si>
  <si>
    <t>wiseanthony@yahoo.com</t>
  </si>
  <si>
    <t>2024-06-18, 2024-06-25, 2024-07-02, 2024-07-09</t>
  </si>
  <si>
    <t>b65ad0f1-4350-4b06-9059-ea28861b4f5b</t>
  </si>
  <si>
    <t>LORI CRAWFORD</t>
  </si>
  <si>
    <t>porterashley@yahoo.com</t>
  </si>
  <si>
    <t>2023-06-03, 2023-06-10, 2023-06-17, 2023-06-24, 2023-07-01, 2023-07-08, 2023-07-15</t>
  </si>
  <si>
    <t>e4eec67c-1a57-49e4-85f8-e2f8414f4994</t>
  </si>
  <si>
    <t>miranda perez</t>
  </si>
  <si>
    <t>trevinoalexander@ruiz.com</t>
  </si>
  <si>
    <t>2022-12-07, 2022-12-14, 2022-12-21, 2022-12-28</t>
  </si>
  <si>
    <t>090d9655-db84-4660-b5d8-fb91ee6081ac</t>
  </si>
  <si>
    <t>suzanne yang</t>
  </si>
  <si>
    <t>marcbutler@hotmail.com</t>
  </si>
  <si>
    <t>92502e59-13f0-4822-9374-8a1145712959</t>
  </si>
  <si>
    <t>jonathan winters</t>
  </si>
  <si>
    <t>lindajarvis@jones-marshall.com</t>
  </si>
  <si>
    <t>17-08-2023</t>
  </si>
  <si>
    <t>2023-08-17, 2023-08-24, 2023-08-31, 2023-09-07, 2023-09-14</t>
  </si>
  <si>
    <t>74ed5145-8d97-45c7-961d-5c8753c9fe59</t>
  </si>
  <si>
    <t>curtis elliott</t>
  </si>
  <si>
    <t>stevenvargas@yahoo.com</t>
  </si>
  <si>
    <t>c2aef674-8beb-4e78-a683-73a3bb82b796</t>
  </si>
  <si>
    <t>BRITTANY RANDOLPH</t>
  </si>
  <si>
    <t>amberfields@wiley.biz</t>
  </si>
  <si>
    <t>fbad793f-87a1-4c02-b487-9e411a9c672a</t>
  </si>
  <si>
    <t>johnathan brown</t>
  </si>
  <si>
    <t>christopher38@haynes-watson.com</t>
  </si>
  <si>
    <t>2023-07-28, 2023-08-04, 2023-08-11, 2023-08-18</t>
  </si>
  <si>
    <t>a3209116-222d-46a4-8163-b6ce1877bc06</t>
  </si>
  <si>
    <t>ANGELA BRADLEY</t>
  </si>
  <si>
    <t>joelgreen@yahoo.com</t>
  </si>
  <si>
    <t>2024-09-25, 2024-10-02, 2024-10-09</t>
  </si>
  <si>
    <t>53853918-bc40-45fa-94f7-6322b362c0d2</t>
  </si>
  <si>
    <t>dillon jones</t>
  </si>
  <si>
    <t>kimberlyrichards@garcia.info</t>
  </si>
  <si>
    <t>2023-12-08, 2023-12-15, 2023-12-22, 2023-12-29, 2024-01-05, 2024-01-12</t>
  </si>
  <si>
    <t>5bb8b9c8-8932-49f3-9ee8-9a4c681134e2</t>
  </si>
  <si>
    <t>christine parker</t>
  </si>
  <si>
    <t>davislindsey@yahoo.com</t>
  </si>
  <si>
    <t>2023-08-07, 2023-08-14, 2023-08-21, 2023-08-28</t>
  </si>
  <si>
    <t>370b9a29-0a53-4df9-9a72-083cb266986c</t>
  </si>
  <si>
    <t>erin davis</t>
  </si>
  <si>
    <t>randy04@wilkins-thompson.biz</t>
  </si>
  <si>
    <t>3ff6579e-8cd4-490a-bf82-11bc8e52fc42</t>
  </si>
  <si>
    <t>brian leon</t>
  </si>
  <si>
    <t>brownkimberly@anderson.com</t>
  </si>
  <si>
    <t>2024-03-09, 2024-03-16</t>
  </si>
  <si>
    <t>15839b99-a50a-43dc-b004-e897a15b2e18</t>
  </si>
  <si>
    <t>deanna hess</t>
  </si>
  <si>
    <t>gonzalezdebbie@davis.com</t>
  </si>
  <si>
    <t>2025-03-08, 2025-03-15, 2025-03-22, 2025-03-29, 2025-04-05, 2025-04-12, 2025-04-19</t>
  </si>
  <si>
    <t>2b015723-0cf6-47a5-b603-c36cf1394e3c</t>
  </si>
  <si>
    <t>JESSICA RAMSEY</t>
  </si>
  <si>
    <t>reyesronald@yahoo.com</t>
  </si>
  <si>
    <t>2022-06-12, 2022-06-19, 2022-06-26, 2022-07-03, 2022-07-10, 2022-07-17, 2022-07-24, 2022-07-31</t>
  </si>
  <si>
    <t>47a48c42-4665-4497-afe9-22aae886a011</t>
  </si>
  <si>
    <t>charles mendez</t>
  </si>
  <si>
    <t>victor87@miller.com</t>
  </si>
  <si>
    <t>2023-03-06, 2023-03-13</t>
  </si>
  <si>
    <t>cc152a1b-e278-4642-a484-e035330faaa3</t>
  </si>
  <si>
    <t>LYDIA PHAM</t>
  </si>
  <si>
    <t>wcasey@stephens-washington.org</t>
  </si>
  <si>
    <t>2024-01-18, 2024-01-25, 2024-02-01, 2024-02-08, 2024-02-15</t>
  </si>
  <si>
    <t>2e0869c1-453b-45fe-a36c-f4995254aad3</t>
  </si>
  <si>
    <t>kyle johnson</t>
  </si>
  <si>
    <t>stokesthomas@yahoo.com</t>
  </si>
  <si>
    <t>2024-05-26, 2024-06-02, 2024-06-09, 2024-06-16, 2024-06-23, 2024-06-30, 2024-07-07, 2024-07-14</t>
  </si>
  <si>
    <t>28dd2bfd-f956-4e95-bb96-4c74ffe62994</t>
  </si>
  <si>
    <t>MATTHEW ADAMS</t>
  </si>
  <si>
    <t>2024-09-30, 2024-10-07, 2024-10-14, 2024-10-21, 2024-10-28, 2024-11-04, 2024-11-11</t>
  </si>
  <si>
    <t>382b5b86-f2a3-4efd-bf13-8c80c398c332</t>
  </si>
  <si>
    <t>vickie price</t>
  </si>
  <si>
    <t>joelstewart@wolfe.com</t>
  </si>
  <si>
    <t>2022-07-02, 2022-07-09</t>
  </si>
  <si>
    <t>f2c84743-9027-4770-a460-d0d2904883c1</t>
  </si>
  <si>
    <t>william keith</t>
  </si>
  <si>
    <t>gregory01@gmail.com</t>
  </si>
  <si>
    <t>2024-09-04, 2024-09-11, 2024-09-18, 2024-09-25</t>
  </si>
  <si>
    <t>86c5547c-051a-4039-b803-dcee9a069295</t>
  </si>
  <si>
    <t>GARY MENDEZ</t>
  </si>
  <si>
    <t>jennifer50@hernandez.com</t>
  </si>
  <si>
    <t>2023-04-03, 2023-04-10, 2023-04-17</t>
  </si>
  <si>
    <t>5d696bc8-dc54-459b-86bb-42c7d8b2f8b6</t>
  </si>
  <si>
    <t>jacqueline mcmahon</t>
  </si>
  <si>
    <t>rogersmarcus@gmail.com</t>
  </si>
  <si>
    <t>2022-09-26, 2022-10-03, 2022-10-10, 2022-10-17, 2022-10-24, 2022-10-31, 2022-11-07</t>
  </si>
  <si>
    <t>7cb923f5-f5ed-4382-a3a6-ef83cab63107</t>
  </si>
  <si>
    <t>carrie novak</t>
  </si>
  <si>
    <t>elizabetholsen@yahoo.com</t>
  </si>
  <si>
    <t>2024-02-14, 2024-02-21</t>
  </si>
  <si>
    <t>2099e71f-4b65-4bcc-b041-6f19bbe71835</t>
  </si>
  <si>
    <t>aaron miles</t>
  </si>
  <si>
    <t>whitelucas@hotmail.com</t>
  </si>
  <si>
    <t>2023-07-27, 2023-08-03, 2023-08-10</t>
  </si>
  <si>
    <t>efcac577-1aa6-47cb-90c7-e6aca3bfe403</t>
  </si>
  <si>
    <t>GARY MILLER MD</t>
  </si>
  <si>
    <t>daisymccarty@hotmail.com</t>
  </si>
  <si>
    <t>16-03-2023</t>
  </si>
  <si>
    <t>55f3ad50-e2fb-4984-bab2-7bcea39c3bd5</t>
  </si>
  <si>
    <t>DEREK WRIGHT</t>
  </si>
  <si>
    <t>jonathan10@cruz.biz</t>
  </si>
  <si>
    <t>2025-02-10, 2025-02-17, 2025-02-24, 2025-03-03, 2025-03-10, 2025-03-17, 2025-03-24</t>
  </si>
  <si>
    <t>e1bbb8cd-7e3a-4f07-a9fd-28e6e271fff9</t>
  </si>
  <si>
    <t>joshua garcia</t>
  </si>
  <si>
    <t>franciscojones@gmail.com</t>
  </si>
  <si>
    <t>2022-12-21, 2022-12-28, 2023-01-04, 2023-01-11, 2023-01-18</t>
  </si>
  <si>
    <t>f3a02120-42d9-43ee-9197-6e750523d4fd</t>
  </si>
  <si>
    <t>glenn barron</t>
  </si>
  <si>
    <t>paynerachael@morgan.info</t>
  </si>
  <si>
    <t>a754a29f-f143-4545-ae6b-34b907ef2ba8</t>
  </si>
  <si>
    <t>steve moore</t>
  </si>
  <si>
    <t>jamie36@spencer.com</t>
  </si>
  <si>
    <t>2025-04-05, 2025-04-12, 2025-04-19, 2025-04-26, 2025-05-03, 2025-05-10</t>
  </si>
  <si>
    <t>64953d5f-0cb4-4891-988d-f23b3ccff6eb</t>
  </si>
  <si>
    <t>sara hernandez</t>
  </si>
  <si>
    <t>pattersonkelly@hotmail.com</t>
  </si>
  <si>
    <t>2023-07-12, 2023-07-19, 2023-07-26, 2023-08-02</t>
  </si>
  <si>
    <t>18d42238-331d-435c-baf6-cd4199a7b99b</t>
  </si>
  <si>
    <t>christopher carter</t>
  </si>
  <si>
    <t>tanthony@ruiz-jacobson.com</t>
  </si>
  <si>
    <t>2024-12-03, 2024-12-10, 2024-12-17, 2024-12-24, 2024-12-31</t>
  </si>
  <si>
    <t>2f546033-6334-4a2a-8b4b-d7e7a4515ae0</t>
  </si>
  <si>
    <t>james lopez</t>
  </si>
  <si>
    <t>scott43@elliott-hernandez.com</t>
  </si>
  <si>
    <t>2022-08-26, 2022-09-02, 2022-09-09, 2022-09-16, 2022-09-23, 2022-09-30, 2022-10-07</t>
  </si>
  <si>
    <t>8a9c66f7-cee4-4512-9802-b640ab0b4cc5</t>
  </si>
  <si>
    <t>PETER PEREZ</t>
  </si>
  <si>
    <t>acardenas@mcdaniel.com</t>
  </si>
  <si>
    <t>2022-08-18, 2022-08-25, 2022-09-01, 2022-09-08, 2022-09-15, 2022-09-22</t>
  </si>
  <si>
    <t>e71c681a-6511-461a-9436-65f54c819260</t>
  </si>
  <si>
    <t>amanda duncan</t>
  </si>
  <si>
    <t>averyshane@stanton.com</t>
  </si>
  <si>
    <t>15-04-2024</t>
  </si>
  <si>
    <t>aee14f87-fcff-49e3-940f-f5896c624c2c</t>
  </si>
  <si>
    <t>ZACHARY BURTON</t>
  </si>
  <si>
    <t>renee11@yahoo.com</t>
  </si>
  <si>
    <t>db4bb8eb-537d-4bd1-8d53-6c7565b90e94</t>
  </si>
  <si>
    <t>jimmy marks</t>
  </si>
  <si>
    <t>perryeddie@hotmail.com</t>
  </si>
  <si>
    <t>2024-08-18, 2024-08-25, 2024-09-01, 2024-09-08, 2024-09-15, 2024-09-22</t>
  </si>
  <si>
    <t>19a6f80e-f08c-46c2-b6ff-3521c2250530</t>
  </si>
  <si>
    <t>kristine garcia</t>
  </si>
  <si>
    <t>natalie46@hotmail.com</t>
  </si>
  <si>
    <t>2024-09-28, 2024-10-05</t>
  </si>
  <si>
    <t>099759a3-7919-455c-9be4-f19f92701d60</t>
  </si>
  <si>
    <t>jamie montgomery</t>
  </si>
  <si>
    <t>fosternatasha@hotmail.com</t>
  </si>
  <si>
    <t>2024-04-30, 2024-05-07, 2024-05-14, 2024-05-21, 2024-05-28, 2024-06-04, 2024-06-11, 2024-06-18</t>
  </si>
  <si>
    <t>ebbbd763-79a7-463b-bee9-75da0c9e5550</t>
  </si>
  <si>
    <t>JAIME MORGAN</t>
  </si>
  <si>
    <t>juan71@gmail.com</t>
  </si>
  <si>
    <t>2023-04-11, 2023-04-18, 2023-04-25</t>
  </si>
  <si>
    <t>716fb276-be64-4c2a-b966-71a54cec495b</t>
  </si>
  <si>
    <t>erica daniel</t>
  </si>
  <si>
    <t>2022-11-01, 2022-11-08, 2022-11-15, 2022-11-22, 2022-11-29, 2022-12-06</t>
  </si>
  <si>
    <t>711456de-301c-4db3-96db-80dba543148e</t>
  </si>
  <si>
    <t>rodney figueroa</t>
  </si>
  <si>
    <t>robertsonerik@yahoo.com</t>
  </si>
  <si>
    <t>2024-11-01, 2024-11-08, 2024-11-15, 2024-11-22, 2024-11-29, 2024-12-06, 2024-12-13</t>
  </si>
  <si>
    <t>d9ee7dc9-c7cf-4ca8-a2b9-f24c67443fb8</t>
  </si>
  <si>
    <t>laura thompson</t>
  </si>
  <si>
    <t>wrightstephen@bush-hill.info</t>
  </si>
  <si>
    <t>2024-06-02, 2024-06-09, 2024-06-16</t>
  </si>
  <si>
    <t>1fb621ae-ec4e-4cbb-a2aa-378c659e0258</t>
  </si>
  <si>
    <t>dana burns</t>
  </si>
  <si>
    <t>susanwells@hotmail.com</t>
  </si>
  <si>
    <t>30-05-2024</t>
  </si>
  <si>
    <t>e4fd6c34-d670-4a21-a9dc-073e5820b3f2</t>
  </si>
  <si>
    <t>RONALD DAVIS</t>
  </si>
  <si>
    <t>kwilliams@vincent.com</t>
  </si>
  <si>
    <t>2023-10-02, 2023-10-09</t>
  </si>
  <si>
    <t>68d576b8-a6ce-4d7a-84e2-a94b34ec5264</t>
  </si>
  <si>
    <t>sharon coffey</t>
  </si>
  <si>
    <t>pbuck@burke.com</t>
  </si>
  <si>
    <t>2025-02-22, 2025-03-01, 2025-03-08, 2025-03-15, 2025-03-22, 2025-03-29, 2025-04-05</t>
  </si>
  <si>
    <t>4e329b4b-f168-4605-8e1a-16699bbc6cbc</t>
  </si>
  <si>
    <t>michelle hill</t>
  </si>
  <si>
    <t>stephen37@yahoo.com</t>
  </si>
  <si>
    <t>2023-05-04, 2023-05-11, 2023-05-18, 2023-05-25, 2023-06-01, 2023-06-08, 2023-06-15, 2023-06-22</t>
  </si>
  <si>
    <t>65abc9ff-9fa4-4627-9306-08be8548867b</t>
  </si>
  <si>
    <t>ADRIENNE KEY</t>
  </si>
  <si>
    <t>kenneth17@gmail.com</t>
  </si>
  <si>
    <t>2025-02-21, 2025-02-28, 2025-03-07, 2025-03-14, 2025-03-21, 2025-03-28, 2025-04-04, 2025-04-11</t>
  </si>
  <si>
    <t>533c2ed5-a3fe-4479-86c7-9b36fd053963</t>
  </si>
  <si>
    <t>debbie dawson</t>
  </si>
  <si>
    <t>edwardcannon@gmail.com</t>
  </si>
  <si>
    <t>2023-09-11, 2023-09-18, 2023-09-25, 2023-10-02</t>
  </si>
  <si>
    <t>ae46024d-51d0-4ef3-a918-83fc6772fe9f</t>
  </si>
  <si>
    <t>alexander jimenez</t>
  </si>
  <si>
    <t>rebecca66@hotmail.com</t>
  </si>
  <si>
    <t>2024-10-25, 2024-11-01</t>
  </si>
  <si>
    <t>92715f6e-fea8-4e3a-b544-01cb95410a9d</t>
  </si>
  <si>
    <t>GRACE REEVES</t>
  </si>
  <si>
    <t>william28@gmail.com</t>
  </si>
  <si>
    <t>2022-05-31, 2022-06-07, 2022-06-14, 2022-06-21, 2022-06-28, 2022-07-05</t>
  </si>
  <si>
    <t>bdacdc5e-20c0-4275-b885-187d18fc83b7</t>
  </si>
  <si>
    <t>robert hines</t>
  </si>
  <si>
    <t>destiny35@garner.biz</t>
  </si>
  <si>
    <t>2023-07-07, 2023-07-14</t>
  </si>
  <si>
    <t>4b46ef33-95e7-4614-82b4-02815f269466</t>
  </si>
  <si>
    <t>BRUCE BROWN</t>
  </si>
  <si>
    <t>gpreston@dillon.net</t>
  </si>
  <si>
    <t>2023-09-03, 2023-09-10, 2023-09-17, 2023-09-24, 2023-10-01, 2023-10-08, 2023-10-15, 2023-10-22</t>
  </si>
  <si>
    <t>daaf7529-deef-482a-8dd7-015869c165ae</t>
  </si>
  <si>
    <t>WILLIE COOPER</t>
  </si>
  <si>
    <t>lesliebaldwin@gmail.com</t>
  </si>
  <si>
    <t>2023-07-14, 2023-07-21, 2023-07-28, 2023-08-04, 2023-08-11, 2023-08-18</t>
  </si>
  <si>
    <t>2d445af8-fc94-46b1-a18b-5d1555273407</t>
  </si>
  <si>
    <t>anthony hayes</t>
  </si>
  <si>
    <t>barbaramoore@anderson.biz</t>
  </si>
  <si>
    <t>62210670-7a36-4788-b71f-b9a66dd49c96</t>
  </si>
  <si>
    <t>JOSEPH CROSS</t>
  </si>
  <si>
    <t>katherine83@rhodes.com</t>
  </si>
  <si>
    <t>2023-12-24, 2023-12-31, 2024-01-07, 2024-01-14</t>
  </si>
  <si>
    <t>4fe54745-5827-4e80-a082-1918b18ad67d</t>
  </si>
  <si>
    <t>james chapman</t>
  </si>
  <si>
    <t>colonkenneth@bryant-meyer.net</t>
  </si>
  <si>
    <t>24-03-2023</t>
  </si>
  <si>
    <t>fed747be-afd0-42f7-a352-44446f04af36</t>
  </si>
  <si>
    <t>zachary henry</t>
  </si>
  <si>
    <t>stacyhull@smith-walker.com</t>
  </si>
  <si>
    <t>13-09-2023</t>
  </si>
  <si>
    <t>812faa38-96f6-4c09-859c-1ba0bbec721d</t>
  </si>
  <si>
    <t>jacob santos</t>
  </si>
  <si>
    <t>qmcdowell@dean.com</t>
  </si>
  <si>
    <t>2023-03-01, 2023-03-08, 2023-03-15, 2023-03-22, 2023-03-29, 2023-04-05</t>
  </si>
  <si>
    <t>b0937085-0c59-41f8-850d-cbfed60bf603</t>
  </si>
  <si>
    <t>jeremy martinez</t>
  </si>
  <si>
    <t>nmiles@hotmail.com</t>
  </si>
  <si>
    <t>2025-01-16, 2025-01-23, 2025-01-30, 2025-02-06, 2025-02-13</t>
  </si>
  <si>
    <t>6bbe3b5a-4d15-47d8-8261-c87aa15c159a</t>
  </si>
  <si>
    <t>mary nelson</t>
  </si>
  <si>
    <t>2025-03-07, 2025-03-14, 2025-03-21, 2025-03-28, 2025-04-04, 2025-04-11, 2025-04-18, 2025-04-25</t>
  </si>
  <si>
    <t>d4a5a81e-6b38-4a0a-a31d-260bb362cd55</t>
  </si>
  <si>
    <t>kayla williamson</t>
  </si>
  <si>
    <t>glovertyler@hotmail.com</t>
  </si>
  <si>
    <t>2024-11-02, 2024-11-09, 2024-11-16</t>
  </si>
  <si>
    <t>85ece729-d4dd-4b56-8353-91b2c72850c1</t>
  </si>
  <si>
    <t>HEATHER ORTIZ</t>
  </si>
  <si>
    <t>kelleyrenee@fitzpatrick.com</t>
  </si>
  <si>
    <t>2023-02-11, 2023-02-18, 2023-02-25, 2023-03-04, 2023-03-11, 2023-03-18, 2023-03-25</t>
  </si>
  <si>
    <t>7e7d9a19-ab45-4578-92fb-acf6d5d1c669</t>
  </si>
  <si>
    <t>brandon hunt</t>
  </si>
  <si>
    <t>dawn74@marshall-garcia.com</t>
  </si>
  <si>
    <t>2022-09-25, 2022-10-02, 2022-10-09, 2022-10-16</t>
  </si>
  <si>
    <t>cd3566ef-5c37-4739-8a62-9c5eda2cf852</t>
  </si>
  <si>
    <t>jessica wilson</t>
  </si>
  <si>
    <t>christianelizabeth@murphy.org</t>
  </si>
  <si>
    <t>2022-06-07, 2022-06-14, 2022-06-21, 2022-06-28, 2022-07-05, 2022-07-12, 2022-07-19, 2022-07-26</t>
  </si>
  <si>
    <t>5f642a53-17cb-485d-bbaa-574fe0e3c5ce</t>
  </si>
  <si>
    <t>catherine morales</t>
  </si>
  <si>
    <t>mary76@hotmail.com</t>
  </si>
  <si>
    <t>b9f6143b-b238-4056-a1ec-47541cf14654</t>
  </si>
  <si>
    <t>tommy moore</t>
  </si>
  <si>
    <t>rpham@yahoo.com</t>
  </si>
  <si>
    <t>5bcd236c-c777-4fae-a137-58c39c7faca6</t>
  </si>
  <si>
    <t>shari hobbs</t>
  </si>
  <si>
    <t>hknapp@alexander-brown.com</t>
  </si>
  <si>
    <t>13-01-2023</t>
  </si>
  <si>
    <t>865a7766-ad8c-4fea-9e4b-061eb45e9463</t>
  </si>
  <si>
    <t>laura cunningham</t>
  </si>
  <si>
    <t>reynoldsjessica@yahoo.com</t>
  </si>
  <si>
    <t>2022-04-26, 2022-05-03, 2022-05-10, 2022-05-17, 2022-05-24, 2022-05-31</t>
  </si>
  <si>
    <t>62874624-a433-4510-ad21-b4cca9e8f0d8</t>
  </si>
  <si>
    <t>RONALD MCCLAIN</t>
  </si>
  <si>
    <t>schneidereric@christian-booth.com</t>
  </si>
  <si>
    <t>2023-09-26, 2023-10-03, 2023-10-10, 2023-10-17, 2023-10-24, 2023-10-31, 2023-11-07</t>
  </si>
  <si>
    <t>f85b6d0a-54b5-4635-bdab-161452150ed8</t>
  </si>
  <si>
    <t>jonathon pierce</t>
  </si>
  <si>
    <t>fmontoya@yahoo.com</t>
  </si>
  <si>
    <t>2024-05-09, 2024-05-16, 2024-05-23, 2024-05-30, 2024-06-06, 2024-06-13</t>
  </si>
  <si>
    <t>1688782f-72b6-46ca-92b2-6acdcd1f75a3</t>
  </si>
  <si>
    <t>jillian wilson</t>
  </si>
  <si>
    <t>garciarobert@hotmail.com</t>
  </si>
  <si>
    <t>26-02-2024</t>
  </si>
  <si>
    <t>2024-02-26, 2024-03-04</t>
  </si>
  <si>
    <t>cab24f24-1744-4e3f-936e-c1bd000b1f5e</t>
  </si>
  <si>
    <t>lisa torres</t>
  </si>
  <si>
    <t>xclements@velasquez.com</t>
  </si>
  <si>
    <t>791f49f6-9996-4612-9ea8-7552c47566bf</t>
  </si>
  <si>
    <t>heidi chavez</t>
  </si>
  <si>
    <t>aaronkelly@brandt.com</t>
  </si>
  <si>
    <t>2024-08-24, 2024-08-31, 2024-09-07, 2024-09-14, 2024-09-21</t>
  </si>
  <si>
    <t>23f47a55-7e0f-40b2-aa06-1609e599bd3c</t>
  </si>
  <si>
    <t>NATALIE ORTIZ</t>
  </si>
  <si>
    <t>jacobconrad@yahoo.com</t>
  </si>
  <si>
    <t>2022-06-17, 2022-06-24, 2022-07-01</t>
  </si>
  <si>
    <t>30c9c51f-c80b-4af7-9315-fafa7500f785</t>
  </si>
  <si>
    <t>ashley perry</t>
  </si>
  <si>
    <t>2023-03-07, 2023-03-14</t>
  </si>
  <si>
    <t>1f8b4af1-96bc-432d-ac11-7babd6642fe8</t>
  </si>
  <si>
    <t>joanna barrett</t>
  </si>
  <si>
    <t>vsmith@tran.org</t>
  </si>
  <si>
    <t>2024-12-15, 2024-12-22, 2024-12-29, 2025-01-05, 2025-01-12, 2025-01-19, 2025-01-26</t>
  </si>
  <si>
    <t>ebd14b0c-c7f4-44f9-8222-1ad3eca391d4</t>
  </si>
  <si>
    <t>melissa thompson</t>
  </si>
  <si>
    <t>hughescaroline@gordon-cruz.org</t>
  </si>
  <si>
    <t>2024-04-26, 2024-05-03</t>
  </si>
  <si>
    <t>65daced0-460a-4125-bf8c-93d4c32afc4a</t>
  </si>
  <si>
    <t>tracy chavez</t>
  </si>
  <si>
    <t>robertgraves@hunt.com</t>
  </si>
  <si>
    <t>2025-03-17, 2025-03-24, 2025-03-31</t>
  </si>
  <si>
    <t>35afbb2d-336d-4786-b7a3-c30aa1f0fa7a</t>
  </si>
  <si>
    <t>donna reed</t>
  </si>
  <si>
    <t>williambenson@page-hodges.net</t>
  </si>
  <si>
    <t>2024-08-13, 2024-08-20, 2024-08-27</t>
  </si>
  <si>
    <t>aacad101-f153-4f68-9215-583a9532caba</t>
  </si>
  <si>
    <t>MEGAN ENGLISH</t>
  </si>
  <si>
    <t>hstokes@gmail.com</t>
  </si>
  <si>
    <t>2024-04-22, 2024-04-29, 2024-05-06, 2024-05-13, 2024-05-20, 2024-05-27, 2024-06-03</t>
  </si>
  <si>
    <t>ab95c72f-0d95-4af5-a534-21bc6180b78a</t>
  </si>
  <si>
    <t>DEREK FLOYD</t>
  </si>
  <si>
    <t>dwayne04@gmail.com</t>
  </si>
  <si>
    <t>2022-05-16, 2022-05-23, 2022-05-30, 2022-06-06, 2022-06-13, 2022-06-20, 2022-06-27, 2022-07-04</t>
  </si>
  <si>
    <t>73dd3bc6-d064-45a8-9bd2-9cb108453b2f</t>
  </si>
  <si>
    <t>sean stevenson</t>
  </si>
  <si>
    <t>yyoung@roberts.biz</t>
  </si>
  <si>
    <t>25-07-2024</t>
  </si>
  <si>
    <t>2024-07-25, 2024-08-01</t>
  </si>
  <si>
    <t>af65e8cc-f9cf-4499-89c1-ad45f4ea6b97</t>
  </si>
  <si>
    <t>JUAN SMITH</t>
  </si>
  <si>
    <t>christinenorman@yahoo.com</t>
  </si>
  <si>
    <t>2024-01-14, 2024-01-21, 2024-01-28, 2024-02-04</t>
  </si>
  <si>
    <t>b5a4c55b-b462-4214-a23f-f67de9572bc2</t>
  </si>
  <si>
    <t>NICOLE PAYNE</t>
  </si>
  <si>
    <t>kellythompson@jones.com</t>
  </si>
  <si>
    <t>2023-03-23, 2023-03-30</t>
  </si>
  <si>
    <t>8e7d3f5a-4773-466a-adb2-b0200a670143</t>
  </si>
  <si>
    <t>CHRISTOPHER SINGLETON</t>
  </si>
  <si>
    <t>13-11-2023</t>
  </si>
  <si>
    <t>efffa2f4-b5ae-429d-b761-7d80549fc34c</t>
  </si>
  <si>
    <t>christian morris</t>
  </si>
  <si>
    <t>tracy98@jones-zimmerman.net</t>
  </si>
  <si>
    <t>2022-04-15, 2022-04-22, 2022-04-29, 2022-05-06</t>
  </si>
  <si>
    <t>11740357-8546-4426-af12-0b9ef4fd25b7</t>
  </si>
  <si>
    <t>caitlin daniels</t>
  </si>
  <si>
    <t>baileynicole@hotmail.com</t>
  </si>
  <si>
    <t>2023-03-14, 2023-03-21, 2023-03-28</t>
  </si>
  <si>
    <t>37ec07a6-4b27-4079-9c5d-3f1b54c0c6c2</t>
  </si>
  <si>
    <t>lisa wells</t>
  </si>
  <si>
    <t>caldwellsean@austin.com</t>
  </si>
  <si>
    <t>2023-09-04, 2023-09-11, 2023-09-18, 2023-09-25, 2023-10-02, 2023-10-09</t>
  </si>
  <si>
    <t>1d06149e-f1ea-464a-8bd4-31ccea7a8c21</t>
  </si>
  <si>
    <t>JOSHUA CAMPBELL</t>
  </si>
  <si>
    <t>stucker@hotmail.com</t>
  </si>
  <si>
    <t>2023-11-20, 2023-11-27, 2023-12-04, 2023-12-11, 2023-12-18</t>
  </si>
  <si>
    <t>f2be029f-1514-4755-838e-9a615200044b</t>
  </si>
  <si>
    <t>WESLEY AYALA</t>
  </si>
  <si>
    <t>clarkcrystal@hancock.com</t>
  </si>
  <si>
    <t>2023-01-31, 2023-02-07, 2023-02-14, 2023-02-21, 2023-02-28, 2023-03-07</t>
  </si>
  <si>
    <t>e0ee5e8a-b3e6-44c6-9428-df6c89aa4293</t>
  </si>
  <si>
    <t>PATRICIA LUCAS</t>
  </si>
  <si>
    <t>andrewlove@miller.com</t>
  </si>
  <si>
    <t>2023-02-20, 2023-02-27, 2023-03-06</t>
  </si>
  <si>
    <t>d255a4de-9330-4a83-9208-7e208ede9b46</t>
  </si>
  <si>
    <t>david hughes</t>
  </si>
  <si>
    <t>ystewart@hotmail.com</t>
  </si>
  <si>
    <t>2023-05-03, 2023-05-10, 2023-05-17, 2023-05-24, 2023-05-31, 2023-06-07, 2023-06-14</t>
  </si>
  <si>
    <t>b864a47b-a434-47fb-8182-978288eae7d4</t>
  </si>
  <si>
    <t>NICOLE RICHARDS</t>
  </si>
  <si>
    <t>sarah14@turner.info</t>
  </si>
  <si>
    <t>07e3c39a-a925-4745-9276-9c9665262474</t>
  </si>
  <si>
    <t>joseph taylor</t>
  </si>
  <si>
    <t>susan24@hotmail.com</t>
  </si>
  <si>
    <t>2023-11-20, 2023-11-27, 2023-12-04</t>
  </si>
  <si>
    <t>02dabd76-f310-4525-b517-9e725f857b21</t>
  </si>
  <si>
    <t>kristen martinez</t>
  </si>
  <si>
    <t>fmedina@clark-figueroa.com</t>
  </si>
  <si>
    <t>2025-01-07, 2025-01-14, 2025-01-21, 2025-01-28, 2025-02-04, 2025-02-11, 2025-02-18</t>
  </si>
  <si>
    <t>d9f93502-a55b-444f-a7d7-3d1d69a3b991</t>
  </si>
  <si>
    <t>candace walker</t>
  </si>
  <si>
    <t>dannylambert@hotmail.com</t>
  </si>
  <si>
    <t>2023-03-01, 2023-03-08, 2023-03-15, 2023-03-22, 2023-03-29, 2023-04-05, 2023-04-12</t>
  </si>
  <si>
    <t>fd75a5f3-eeaf-4a83-8044-46bfd9f48bbd</t>
  </si>
  <si>
    <t>julia dunn md</t>
  </si>
  <si>
    <t>corey97@howard-lambert.com</t>
  </si>
  <si>
    <t>2022-06-30, 2022-07-07, 2022-07-14, 2022-07-21, 2022-07-28, 2022-08-04, 2022-08-11</t>
  </si>
  <si>
    <t>e66e2c11-11de-4ebf-9e98-961d48febf6d</t>
  </si>
  <si>
    <t>john murphy</t>
  </si>
  <si>
    <t>arianadiaz@yahoo.com</t>
  </si>
  <si>
    <t>2022-09-09, 2022-09-16</t>
  </si>
  <si>
    <t>3f05557c-502e-4818-813c-a9982b2bf58c</t>
  </si>
  <si>
    <t>michelle davidson</t>
  </si>
  <si>
    <t>dennis57@yahoo.com</t>
  </si>
  <si>
    <t>2024-02-01, 2024-02-08, 2024-02-15, 2024-02-22, 2024-02-29, 2024-03-07, 2024-03-14</t>
  </si>
  <si>
    <t>7caa281b-4e33-4644-8657-20ae5bd67d4d</t>
  </si>
  <si>
    <t>casey obrien</t>
  </si>
  <si>
    <t>patriciagonzalez@hotmail.com</t>
  </si>
  <si>
    <t>2024-02-27, 2024-03-05, 2024-03-12, 2024-03-19, 2024-03-26, 2024-04-02</t>
  </si>
  <si>
    <t>e4610160-134d-495a-ba38-8c8f139309d1</t>
  </si>
  <si>
    <t>jonathon johnson</t>
  </si>
  <si>
    <t>rebeccaarnold@hotmail.com</t>
  </si>
  <si>
    <t>2024-12-05, 2024-12-12, 2024-12-19, 2024-12-26, 2025-01-02, 2025-01-09, 2025-01-16</t>
  </si>
  <si>
    <t>260ccfb4-c673-4380-a766-861778dbcde3</t>
  </si>
  <si>
    <t>daniel barton</t>
  </si>
  <si>
    <t>stevendixon@yahoo.com</t>
  </si>
  <si>
    <t>2024-07-23, 2024-07-30</t>
  </si>
  <si>
    <t>3d274ad5-a9a5-4c24-82b6-22e9808e08d2</t>
  </si>
  <si>
    <t>renee mendez</t>
  </si>
  <si>
    <t>seanwhite@hopkins.info</t>
  </si>
  <si>
    <t>2023-10-24, 2023-10-31, 2023-11-07, 2023-11-14, 2023-11-21, 2023-11-28, 2023-12-05, 2023-12-12</t>
  </si>
  <si>
    <t>7cd61da4-c2ef-4a8b-b804-87860a58f43c</t>
  </si>
  <si>
    <t>dennis young</t>
  </si>
  <si>
    <t>paul70@hooper.com</t>
  </si>
  <si>
    <t>2023-10-16, 2023-10-23</t>
  </si>
  <si>
    <t>d463c183-a231-4211-8578-b1c6f7ebc69a</t>
  </si>
  <si>
    <t>patrick lane</t>
  </si>
  <si>
    <t>xvaldez@valdez.biz</t>
  </si>
  <si>
    <t>2025-04-04, 2025-04-11, 2025-04-18, 2025-04-25, 2025-05-02, 2025-05-09</t>
  </si>
  <si>
    <t>d1366db1-5a57-4607-a7e5-46468430f0fa</t>
  </si>
  <si>
    <t>katelyn olson</t>
  </si>
  <si>
    <t>scotthall@schneider.com</t>
  </si>
  <si>
    <t>2023-03-19, 2023-03-26, 2023-04-02, 2023-04-09, 2023-04-16, 2023-04-23</t>
  </si>
  <si>
    <t>a93e7b5b-1e4a-43a7-9123-f7c1b7a1267e</t>
  </si>
  <si>
    <t>ROBERT CORTEZ</t>
  </si>
  <si>
    <t>lmendoza@gmail.com</t>
  </si>
  <si>
    <t>2024-10-28, 2024-11-04, 2024-11-11, 2024-11-18, 2024-11-25, 2024-12-02, 2024-12-09, 2024-12-16</t>
  </si>
  <si>
    <t>3e612d66-05bf-4618-a930-b0c4d5576899</t>
  </si>
  <si>
    <t>KENNETH MARTIN</t>
  </si>
  <si>
    <t>brianscott@black.org</t>
  </si>
  <si>
    <t>b8344070-e0e5-46e5-84c4-4853a33b3dfd</t>
  </si>
  <si>
    <t>samantha valentine</t>
  </si>
  <si>
    <t>eobrien@jackson-greer.org</t>
  </si>
  <si>
    <t>2024-08-29, 2024-09-05, 2024-09-12, 2024-09-19, 2024-09-26</t>
  </si>
  <si>
    <t>c47a3b7e-d209-483b-9528-4c0acb6bf562</t>
  </si>
  <si>
    <t>matthew baker</t>
  </si>
  <si>
    <t>ecarlson@gmail.com</t>
  </si>
  <si>
    <t>2022-11-14, 2022-11-21, 2022-11-28</t>
  </si>
  <si>
    <t>043d72db-1bcb-404c-a1d8-b96a62ada157</t>
  </si>
  <si>
    <t>SCOTT GORDON</t>
  </si>
  <si>
    <t>catherinethompson@hotmail.com</t>
  </si>
  <si>
    <t>2023-11-15, 2023-11-22, 2023-11-29, 2023-12-06, 2023-12-13</t>
  </si>
  <si>
    <t>880bcb0e-c8ab-46ac-a0b4-659a09fe4cdd</t>
  </si>
  <si>
    <t>autumn olson</t>
  </si>
  <si>
    <t>princekimberly@reynolds.net</t>
  </si>
  <si>
    <t>2024-10-24, 2024-10-31, 2024-11-07, 2024-11-14, 2024-11-21, 2024-11-28</t>
  </si>
  <si>
    <t>7b6c7129-cd63-4ba8-b03c-664b3abf9c65</t>
  </si>
  <si>
    <t>jane chapman</t>
  </si>
  <si>
    <t>eanderson@kent.com</t>
  </si>
  <si>
    <t>2024-02-02, 2024-02-09</t>
  </si>
  <si>
    <t>41ff81d1-689d-4205-8b31-f4d8e073c1d0</t>
  </si>
  <si>
    <t>MICHAEL CLARKE</t>
  </si>
  <si>
    <t>brooksjamie@ortiz-rodriguez.biz</t>
  </si>
  <si>
    <t>2024-10-22, 2024-10-29, 2024-11-05, 2024-11-12, 2024-11-19, 2024-11-26</t>
  </si>
  <si>
    <t>dadfc499-42e4-4f01-80ee-131d95dad216</t>
  </si>
  <si>
    <t>krystal carr</t>
  </si>
  <si>
    <t>2025-01-13, 2025-01-20, 2025-01-27, 2025-02-03</t>
  </si>
  <si>
    <t>69c9520f-3425-449c-8145-d6ba65bf8e04</t>
  </si>
  <si>
    <t>kristin white</t>
  </si>
  <si>
    <t>vanessa95@hotmail.com</t>
  </si>
  <si>
    <t>2025-02-27, 2025-03-06, 2025-03-13, 2025-03-20, 2025-03-27</t>
  </si>
  <si>
    <t>dd23ff41-dae1-4586-a358-755cbc5c3cd8</t>
  </si>
  <si>
    <t>nicole griffin</t>
  </si>
  <si>
    <t>lewisrichard@owen-mendez.com</t>
  </si>
  <si>
    <t>2023-12-16, 2023-12-23, 2023-12-30, 2024-01-06, 2024-01-13, 2024-01-20</t>
  </si>
  <si>
    <t>015aba1d-a2c8-4f62-b6ee-137d639c4c6c</t>
  </si>
  <si>
    <t>samantha ruiz</t>
  </si>
  <si>
    <t>brownjeffrey@gmail.com</t>
  </si>
  <si>
    <t>2022-12-12, 2022-12-19, 2022-12-26</t>
  </si>
  <si>
    <t>ee415f16-6263-407c-b978-7c4b09aa5570</t>
  </si>
  <si>
    <t>miss kelly dawson</t>
  </si>
  <si>
    <t>daniellegonzales@jefferson.com</t>
  </si>
  <si>
    <t>2024-11-08, 2024-11-15, 2024-11-22, 2024-11-29, 2024-12-06, 2024-12-13</t>
  </si>
  <si>
    <t>82b34384-9979-4f26-88b1-90e1089a9f4f</t>
  </si>
  <si>
    <t>crystal jackson</t>
  </si>
  <si>
    <t>john02@shea.com</t>
  </si>
  <si>
    <t>2023-02-03, 2023-02-10, 2023-02-17, 2023-02-24, 2023-03-03, 2023-03-10, 2023-03-17</t>
  </si>
  <si>
    <t>33478a91-9609-498e-a7cb-a27a65281970</t>
  </si>
  <si>
    <t>NANCY JONES</t>
  </si>
  <si>
    <t>jessica89@bailey-ochoa.com</t>
  </si>
  <si>
    <t>2025-02-10, 2025-02-17, 2025-02-24, 2025-03-03, 2025-03-10</t>
  </si>
  <si>
    <t>ee01b9e0-746b-461a-b1cc-6738f68ae9b7</t>
  </si>
  <si>
    <t>aaron thompson</t>
  </si>
  <si>
    <t>gordonmatthew@pratt.net</t>
  </si>
  <si>
    <t>2024-11-03, 2024-11-10</t>
  </si>
  <si>
    <t>f74f6900-7159-4914-b1b6-8ecd400945ce</t>
  </si>
  <si>
    <t>john sanchez</t>
  </si>
  <si>
    <t>lmaldonado@gmail.com</t>
  </si>
  <si>
    <t>16-09-2024</t>
  </si>
  <si>
    <t>2024-09-16, 2024-09-23, 2024-09-30</t>
  </si>
  <si>
    <t>61f6dfbe-114b-4c79-8200-79f51dc3c26e</t>
  </si>
  <si>
    <t>wendy rhodes</t>
  </si>
  <si>
    <t>robert58@smith.com</t>
  </si>
  <si>
    <t>2024-04-24, 2024-05-01, 2024-05-08, 2024-05-15, 2024-05-22, 2024-05-29, 2024-06-05, 2024-06-12</t>
  </si>
  <si>
    <t>578cd875-d231-4372-bfb0-942cac777762</t>
  </si>
  <si>
    <t>TIMOTHY WOODS</t>
  </si>
  <si>
    <t>patriciaadams@hotmail.com</t>
  </si>
  <si>
    <t>2023-12-17, 2023-12-24, 2023-12-31, 2024-01-07, 2024-01-14, 2024-01-21</t>
  </si>
  <si>
    <t>7fbe6bb3-30ae-412d-a8f1-0194ee25356a</t>
  </si>
  <si>
    <t>CYNTHIA ALLEN</t>
  </si>
  <si>
    <t>2025-03-03, 2025-03-10, 2025-03-17, 2025-03-24, 2025-03-31</t>
  </si>
  <si>
    <t>d5bea8dc-33e8-4249-baad-584034ef71df</t>
  </si>
  <si>
    <t>luke moore</t>
  </si>
  <si>
    <t>moraemma@vasquez.com</t>
  </si>
  <si>
    <t>2023-05-24, 2023-05-31, 2023-06-07, 2023-06-14, 2023-06-21, 2023-06-28, 2023-07-05</t>
  </si>
  <si>
    <t>7e0a04c2-50bf-4995-9ee4-105d5f06bc76</t>
  </si>
  <si>
    <t>sierra andrews</t>
  </si>
  <si>
    <t>wwhite@hotmail.com</t>
  </si>
  <si>
    <t>2024-04-25, 2024-05-02</t>
  </si>
  <si>
    <t>93a05478-c00b-49de-b8db-128d65db6e43</t>
  </si>
  <si>
    <t>joseph henderson</t>
  </si>
  <si>
    <t>phillip27@wolfe.com</t>
  </si>
  <si>
    <t>2023-06-16, 2023-06-23</t>
  </si>
  <si>
    <t>35f3de4a-ac92-44b4-8306-a2580227b8d5</t>
  </si>
  <si>
    <t>brian ward</t>
  </si>
  <si>
    <t>amyyoung@yahoo.com</t>
  </si>
  <si>
    <t>2025-03-12, 2025-03-19, 2025-03-26, 2025-04-02, 2025-04-09, 2025-04-16, 2025-04-23, 2025-04-30</t>
  </si>
  <si>
    <t>7faf6458-2f14-4777-9dad-348e57d52b78</t>
  </si>
  <si>
    <t>jason goodwin</t>
  </si>
  <si>
    <t>lramirez@hotmail.com</t>
  </si>
  <si>
    <t>2024-11-14, 2024-11-21, 2024-11-28, 2024-12-05, 2024-12-12</t>
  </si>
  <si>
    <t>3a8359b6-af9e-4a0e-936d-b4a7fab1996a</t>
  </si>
  <si>
    <t>MICHELLE BROCK</t>
  </si>
  <si>
    <t>zgonzalez@hotmail.com</t>
  </si>
  <si>
    <t>2022-10-27, 2022-11-03, 2022-11-10, 2022-11-17</t>
  </si>
  <si>
    <t>2d36226c-027e-489c-8e40-483b7915ad7e</t>
  </si>
  <si>
    <t>CHAD BARRY</t>
  </si>
  <si>
    <t>jevans@hotmail.com</t>
  </si>
  <si>
    <t>2022-11-25, 2022-12-02, 2022-12-09, 2022-12-16</t>
  </si>
  <si>
    <t>29d0c613-b0c7-4002-9956-699065fdaadb</t>
  </si>
  <si>
    <t>ROBERT WOODS</t>
  </si>
  <si>
    <t>qgarner@ward-grant.com</t>
  </si>
  <si>
    <t>2022-06-20, 2022-06-27, 2022-07-04, 2022-07-11, 2022-07-18, 2022-07-25, 2022-08-01, 2022-08-08</t>
  </si>
  <si>
    <t>59e110eb-1f09-4b9d-a969-29b20513eda8</t>
  </si>
  <si>
    <t>tracey gonzalez</t>
  </si>
  <si>
    <t>michael87@griffin.info</t>
  </si>
  <si>
    <t>2023-09-23, 2023-09-30</t>
  </si>
  <si>
    <t>2ae63af6-de46-422e-a514-c7cef4e35f7b</t>
  </si>
  <si>
    <t>tanya fisher</t>
  </si>
  <si>
    <t>millermatthew@yahoo.com</t>
  </si>
  <si>
    <t>13-12-2024</t>
  </si>
  <si>
    <t>44791214-b5de-4807-8a96-5478a72bdddd</t>
  </si>
  <si>
    <t>jennifer barron</t>
  </si>
  <si>
    <t>lgutierrez@gmail.com</t>
  </si>
  <si>
    <t>2023-08-12, 2023-08-19, 2023-08-26</t>
  </si>
  <si>
    <t>406bf02d-a97a-4f4e-bc10-871bba4f4b03</t>
  </si>
  <si>
    <t>mercedes miller</t>
  </si>
  <si>
    <t>egarcia@kelley-johnson.biz</t>
  </si>
  <si>
    <t>2022-10-18, 2022-10-25, 2022-11-01, 2022-11-08, 2022-11-15, 2022-11-22</t>
  </si>
  <si>
    <t>1a9b0d42-154f-437d-befa-c198c3d6cd54</t>
  </si>
  <si>
    <t>CHRISTOPHER PENA</t>
  </si>
  <si>
    <t>jerome47@hotmail.com</t>
  </si>
  <si>
    <t>2024-06-28, 2024-07-05, 2024-07-12, 2024-07-19, 2024-07-26</t>
  </si>
  <si>
    <t>2bacf712-d6a9-49e8-86d8-95e5219b606d</t>
  </si>
  <si>
    <t>matthew dalton</t>
  </si>
  <si>
    <t>imcdonald@yahoo.com</t>
  </si>
  <si>
    <t>20-10-2022</t>
  </si>
  <si>
    <t>f2cffcae-f833-4bfb-a296-e3f171e15b9f</t>
  </si>
  <si>
    <t>cassandra harper</t>
  </si>
  <si>
    <t>regina78@gmail.com</t>
  </si>
  <si>
    <t>2024-08-06, 2024-08-13, 2024-08-20, 2024-08-27, 2024-09-03, 2024-09-10, 2024-09-17, 2024-09-24</t>
  </si>
  <si>
    <t>6986305a-5da3-49cf-8ed0-730d711dc1dd</t>
  </si>
  <si>
    <t>eric smith</t>
  </si>
  <si>
    <t>justin80@weeks.com</t>
  </si>
  <si>
    <t>24-08-2022</t>
  </si>
  <si>
    <t>3b30ee97-98d5-4cf5-8afc-f9e8cc476b72</t>
  </si>
  <si>
    <t>kimberly lopez</t>
  </si>
  <si>
    <t>twright@hotmail.com</t>
  </si>
  <si>
    <t>2024-02-04, 2024-02-11, 2024-02-18, 2024-02-25</t>
  </si>
  <si>
    <t>3878becf-60dc-42eb-9413-c85063c4e76d</t>
  </si>
  <si>
    <t>JAY ALLEN</t>
  </si>
  <si>
    <t>deborah84@yahoo.com</t>
  </si>
  <si>
    <t>2025-01-04, 2025-01-11, 2025-01-18</t>
  </si>
  <si>
    <t>22f9cafe-2eb2-4ca3-9186-da93da7dcc53</t>
  </si>
  <si>
    <t>mark williamson</t>
  </si>
  <si>
    <t>blopez@gmail.com</t>
  </si>
  <si>
    <t>2023-01-24, 2023-01-31, 2023-02-07, 2023-02-14, 2023-02-21, 2023-02-28, 2023-03-07</t>
  </si>
  <si>
    <t>2f999b2a-05aa-4eab-88f3-d7eaf83f5274</t>
  </si>
  <si>
    <t>diane martinez</t>
  </si>
  <si>
    <t>halledward@yahoo.com</t>
  </si>
  <si>
    <t>23-06-2022</t>
  </si>
  <si>
    <t>c9254bb5-4fc3-4d4e-ab95-0c1d578799d9</t>
  </si>
  <si>
    <t>YOLANDA FORD</t>
  </si>
  <si>
    <t>christopher20@rowe-jones.info</t>
  </si>
  <si>
    <t>2023-03-10, 2023-03-17, 2023-03-24</t>
  </si>
  <si>
    <t>4005353d-d76f-4e65-a54c-87393133839e</t>
  </si>
  <si>
    <t>sandra martinez</t>
  </si>
  <si>
    <t>cwise@rojas.com</t>
  </si>
  <si>
    <t>85695f97-180d-4855-855f-fde8bc3e1d19</t>
  </si>
  <si>
    <t>christine price</t>
  </si>
  <si>
    <t>eric08@hotmail.com</t>
  </si>
  <si>
    <t>2024-03-22, 2024-03-29, 2024-04-05, 2024-04-12, 2024-04-19, 2024-04-26</t>
  </si>
  <si>
    <t>4c7f03bb-a376-4c2d-bb31-dcdc40d91a8e</t>
  </si>
  <si>
    <t>stephen boyer</t>
  </si>
  <si>
    <t>youngryan@jackson.org</t>
  </si>
  <si>
    <t>2022-10-13, 2022-10-20, 2022-10-27, 2022-11-03, 2022-11-10, 2022-11-17</t>
  </si>
  <si>
    <t>02493a09-3e3b-4a40-8a05-53a26553b15f</t>
  </si>
  <si>
    <t>lauren vazquez</t>
  </si>
  <si>
    <t>kelli32@davis-montgomery.com</t>
  </si>
  <si>
    <t>2022-10-09, 2022-10-16, 2022-10-23, 2022-10-30, 2022-11-06</t>
  </si>
  <si>
    <t>b38a3db1-2767-42d3-a502-dc4b5b0334d8</t>
  </si>
  <si>
    <t>ashley freeman</t>
  </si>
  <si>
    <t>linda73@gmail.com</t>
  </si>
  <si>
    <t>2022-07-08, 2022-07-15, 2022-07-22, 2022-07-29, 2022-08-05, 2022-08-12, 2022-08-19, 2022-08-26</t>
  </si>
  <si>
    <t>227dcecc-b972-493a-9bb0-dd7660b57717</t>
  </si>
  <si>
    <t>ANDREW MANN</t>
  </si>
  <si>
    <t>llopez@hotmail.com</t>
  </si>
  <si>
    <t>2025-03-12, 2025-03-19</t>
  </si>
  <si>
    <t>467ba9e5-77e8-4762-bb7e-b97952dcbffd</t>
  </si>
  <si>
    <t>linda valencia</t>
  </si>
  <si>
    <t>schmidtshannon@weaver-gibson.net</t>
  </si>
  <si>
    <t>29-09-2023</t>
  </si>
  <si>
    <t>2023-09-29, 2023-10-06, 2023-10-13, 2023-10-20, 2023-10-27, 2023-11-03, 2023-11-10, 2023-11-17</t>
  </si>
  <si>
    <t>04cad30a-e207-4b20-af7f-2cd7bbd0fe6c</t>
  </si>
  <si>
    <t>helen oliver</t>
  </si>
  <si>
    <t>16-11-2023</t>
  </si>
  <si>
    <t>f7980131-a885-47b4-9037-2a5cb893b08a</t>
  </si>
  <si>
    <t>jasmine warren</t>
  </si>
  <si>
    <t>chloemorris@hotmail.com</t>
  </si>
  <si>
    <t>2023-08-18, 2023-08-25, 2023-09-01</t>
  </si>
  <si>
    <t>a8ad1539-85f0-486a-98a4-40bd1c4760a5</t>
  </si>
  <si>
    <t>russell anderson</t>
  </si>
  <si>
    <t>daniellee@duncan.info</t>
  </si>
  <si>
    <t>20-08-2023</t>
  </si>
  <si>
    <t>4185300d-971d-45fd-b389-50ce9fbc879e</t>
  </si>
  <si>
    <t>daniel robbins</t>
  </si>
  <si>
    <t>dianahebert@mcdonald.com</t>
  </si>
  <si>
    <t>2024-07-01, 2024-07-08, 2024-07-15, 2024-07-22, 2024-07-29, 2024-08-05, 2024-08-12</t>
  </si>
  <si>
    <t>e3f342a8-f030-4fd4-be54-898e8eda6433</t>
  </si>
  <si>
    <t>jacob erickson</t>
  </si>
  <si>
    <t>2023-10-19, 2023-10-26, 2023-11-02, 2023-11-09</t>
  </si>
  <si>
    <t>bbfb1b71-0a68-4eb8-876d-e8c5440c7e5b</t>
  </si>
  <si>
    <t>eric blackburn</t>
  </si>
  <si>
    <t>hardyamanda@lee.com</t>
  </si>
  <si>
    <t>2024-11-20, 2024-11-27, 2024-12-04, 2024-12-11, 2024-12-18</t>
  </si>
  <si>
    <t>8ef4d74b-2dcc-4095-b28f-9444a0154d65</t>
  </si>
  <si>
    <t>jennifer garcia</t>
  </si>
  <si>
    <t>bpark@gmail.com</t>
  </si>
  <si>
    <t>2024-09-08, 2024-09-15, 2024-09-22, 2024-09-29</t>
  </si>
  <si>
    <t>66cc7376-8cca-4963-ae2e-77a4cadec379</t>
  </si>
  <si>
    <t>mary ferguson</t>
  </si>
  <si>
    <t>rachel85@yahoo.com</t>
  </si>
  <si>
    <t>2022-12-22, 2022-12-29, 2023-01-05, 2023-01-12</t>
  </si>
  <si>
    <t>d37ee471-6e3b-4507-a21c-1209c3a1962d</t>
  </si>
  <si>
    <t>lisa hart</t>
  </si>
  <si>
    <t>vcannon@ward-chavez.biz</t>
  </si>
  <si>
    <t>48d3d2ce-fba3-491f-88df-aaf8b9efaad6</t>
  </si>
  <si>
    <t>kelly holder</t>
  </si>
  <si>
    <t>evansjeffrey@yahoo.com</t>
  </si>
  <si>
    <t>2022-04-07, 2022-04-14, 2022-04-21, 2022-04-28</t>
  </si>
  <si>
    <t>b0916fb7-f17f-4f92-926a-a790c5828939</t>
  </si>
  <si>
    <t>tamara dixon</t>
  </si>
  <si>
    <t>johnsonmichael@baker.com</t>
  </si>
  <si>
    <t>2022-05-10, 2022-05-17, 2022-05-24, 2022-05-31, 2022-06-07, 2022-06-14, 2022-06-21, 2022-06-28</t>
  </si>
  <si>
    <t>17871810-4ce0-4ecb-8fa2-8fb84199322e</t>
  </si>
  <si>
    <t>LAURA ROBINSON</t>
  </si>
  <si>
    <t>laura27@warner.com</t>
  </si>
  <si>
    <t>2023-04-03, 2023-04-10, 2023-04-17, 2023-04-24</t>
  </si>
  <si>
    <t>61ad018a-9387-4413-8eef-7261bb1502ea</t>
  </si>
  <si>
    <t>anthony wise</t>
  </si>
  <si>
    <t>hbutler@gmail.com</t>
  </si>
  <si>
    <t>02ed5d15-edbc-46d8-9a30-7096d97766be</t>
  </si>
  <si>
    <t>lynn brown</t>
  </si>
  <si>
    <t>amber25@wolfe.biz</t>
  </si>
  <si>
    <t>2025-01-15, 2025-01-22, 2025-01-29, 2025-02-05, 2025-02-12, 2025-02-19, 2025-02-26</t>
  </si>
  <si>
    <t>8135f15a-9343-46ea-985a-9548c0ba22a4</t>
  </si>
  <si>
    <t>jeffrey hartman</t>
  </si>
  <si>
    <t>matthewalvarez@williams.net</t>
  </si>
  <si>
    <t>2024-02-28, 2024-03-06, 2024-03-13, 2024-03-20, 2024-03-27, 2024-04-03, 2024-04-10</t>
  </si>
  <si>
    <t>c31496ea-2160-446e-b2a7-a475c6196773</t>
  </si>
  <si>
    <t>justin freeman</t>
  </si>
  <si>
    <t>johnadams@morris-glass.com</t>
  </si>
  <si>
    <t>2024-02-10, 2024-02-17, 2024-02-24, 2024-03-02, 2024-03-09, 2024-03-16, 2024-03-23</t>
  </si>
  <si>
    <t>5d822e3a-6c6d-482b-a9e0-8370abf7a5d0</t>
  </si>
  <si>
    <t>frank wheeler</t>
  </si>
  <si>
    <t>gary59@hanson-alexander.com</t>
  </si>
  <si>
    <t>2022-09-28, 2022-10-05</t>
  </si>
  <si>
    <t>c1fad753-27ef-4a4b-9fb2-b838af73b3cf</t>
  </si>
  <si>
    <t>angelica singh</t>
  </si>
  <si>
    <t>mistywilkins@cooper.com</t>
  </si>
  <si>
    <t>3581a632-54f5-4f70-85d2-d205789fed96</t>
  </si>
  <si>
    <t>christy payne</t>
  </si>
  <si>
    <t>jdean@hotmail.com</t>
  </si>
  <si>
    <t>2024-03-06, 2024-03-13, 2024-03-20</t>
  </si>
  <si>
    <t>953fcfd4-6069-4b6d-84b5-1c12ab132032</t>
  </si>
  <si>
    <t>kelsey scott</t>
  </si>
  <si>
    <t>james94@marshall.com</t>
  </si>
  <si>
    <t>2025-03-27, 2025-04-03, 2025-04-10, 2025-04-17</t>
  </si>
  <si>
    <t>da221b85-a9b9-4a1d-8574-98caa90e319d</t>
  </si>
  <si>
    <t>HEATHER RODRIGUEZ</t>
  </si>
  <si>
    <t>2023-12-01, 2023-12-08, 2023-12-15</t>
  </si>
  <si>
    <t>62f32fae-a63f-4f12-a226-a768de0e9c53</t>
  </si>
  <si>
    <t>james bray</t>
  </si>
  <si>
    <t>todd98@lopez.info</t>
  </si>
  <si>
    <t>2023-07-05, 2023-07-12, 2023-07-19, 2023-07-26, 2023-08-02</t>
  </si>
  <si>
    <t>0a2d36a6-0580-4493-b664-6199ed25459e</t>
  </si>
  <si>
    <t>joseph cook</t>
  </si>
  <si>
    <t>andrewsutton@yahoo.com</t>
  </si>
  <si>
    <t>2024-08-24, 2024-08-31</t>
  </si>
  <si>
    <t>fa6e3743-fef9-4d57-bc77-ea4a4d654036</t>
  </si>
  <si>
    <t>desiree brown</t>
  </si>
  <si>
    <t>bzamora@hotmail.com</t>
  </si>
  <si>
    <t>e5ad481d-577f-4c16-a6d6-58fb39bfc9b6</t>
  </si>
  <si>
    <t>chad blair</t>
  </si>
  <si>
    <t>jallen@waller-browning.com</t>
  </si>
  <si>
    <t>2023-06-16, 2023-06-23, 2023-06-30</t>
  </si>
  <si>
    <t>a7087280-34ee-4b67-a1bb-d1838acfd4d6</t>
  </si>
  <si>
    <t>JOSHUA MCBRIDE</t>
  </si>
  <si>
    <t>haley82@forbes-daugherty.com</t>
  </si>
  <si>
    <t>2024-03-04, 2024-03-11, 2024-03-18, 2024-03-25, 2024-04-01, 2024-04-08, 2024-04-15, 2024-04-22</t>
  </si>
  <si>
    <t>2875d40a-eac7-4c2e-9099-a283eedb0ce5</t>
  </si>
  <si>
    <t>justin fry</t>
  </si>
  <si>
    <t>lonniehobbs@johnson.biz</t>
  </si>
  <si>
    <t>2025-01-20, 2025-01-27, 2025-02-03, 2025-02-10</t>
  </si>
  <si>
    <t>d25ad576-ef0b-443e-bee0-47627168bdec</t>
  </si>
  <si>
    <t>taylor hill</t>
  </si>
  <si>
    <t>andersonanthony@jensen.org</t>
  </si>
  <si>
    <t>22-07-2023</t>
  </si>
  <si>
    <t>5bf88d1d-06ad-4920-aff7-ff5d3b1d12cf</t>
  </si>
  <si>
    <t>richard anderson</t>
  </si>
  <si>
    <t>jack67@yahoo.com</t>
  </si>
  <si>
    <t>08403234-39ed-4800-b179-79f929ede760</t>
  </si>
  <si>
    <t>wayne schaefer</t>
  </si>
  <si>
    <t>juliamcneil@gmail.com</t>
  </si>
  <si>
    <t>2022-11-06, 2022-11-13, 2022-11-20, 2022-11-27, 2022-12-04</t>
  </si>
  <si>
    <t>fc5217cc-f467-4866-ad56-a2a02d54ff2b</t>
  </si>
  <si>
    <t>luis watts</t>
  </si>
  <si>
    <t>ronaldparsons@hotmail.com</t>
  </si>
  <si>
    <t>18-07-2022</t>
  </si>
  <si>
    <t>9c8b9550-64e7-4f9a-901a-0ccfb85f164b</t>
  </si>
  <si>
    <t>LAURA HERRERA</t>
  </si>
  <si>
    <t>hayesmargaret@rich.net</t>
  </si>
  <si>
    <t>2023-11-18, 2023-11-25</t>
  </si>
  <si>
    <t>0a0c64e5-bc34-4b4f-bbdc-532e6546c66d</t>
  </si>
  <si>
    <t>kelli mccoy</t>
  </si>
  <si>
    <t>kellysanders@ayala-mitchell.com</t>
  </si>
  <si>
    <t>2024-07-20, 2024-07-27, 2024-08-03</t>
  </si>
  <si>
    <t>0df6c527-eb45-4c38-9cf6-5e334b5f174b</t>
  </si>
  <si>
    <t>stephanie ford</t>
  </si>
  <si>
    <t>sharpdaniel@hotmail.com</t>
  </si>
  <si>
    <t>23-01-2024</t>
  </si>
  <si>
    <t>69df05c7-64a0-453f-a2a3-75568be15610</t>
  </si>
  <si>
    <t>ALEXANDER CHAVEZ</t>
  </si>
  <si>
    <t>2025-03-23, 2025-03-30, 2025-04-06, 2025-04-13, 2025-04-20, 2025-04-27, 2025-05-04, 2025-05-11</t>
  </si>
  <si>
    <t>400564b8-1716-43b1-b466-1e6fe1eeb1f1</t>
  </si>
  <si>
    <t>matthew dawson</t>
  </si>
  <si>
    <t>davisjasmin@cox.net</t>
  </si>
  <si>
    <t>2023-02-14, 2023-02-21, 2023-02-28, 2023-03-07, 2023-03-14</t>
  </si>
  <si>
    <t>8ce377d7-60f1-4528-a8ef-2f46f323123e</t>
  </si>
  <si>
    <t>randy barr</t>
  </si>
  <si>
    <t>mistywhite@williams.info</t>
  </si>
  <si>
    <t>2024-11-12, 2024-11-19, 2024-11-26, 2024-12-03, 2024-12-10, 2024-12-17, 2024-12-24</t>
  </si>
  <si>
    <t>e606d7c2-1e18-446d-ae42-1840a05f36c8</t>
  </si>
  <si>
    <t>DALE DEAN</t>
  </si>
  <si>
    <t>ellismelissa@hotmail.com</t>
  </si>
  <si>
    <t>2023-06-29, 2023-07-06, 2023-07-13, 2023-07-20, 2023-07-27, 2023-08-03, 2023-08-10, 2023-08-17</t>
  </si>
  <si>
    <t>3ce5988c-7e53-4702-a1f8-d1929ba4d5a6</t>
  </si>
  <si>
    <t>matthew chavez</t>
  </si>
  <si>
    <t>burkeadam@hotmail.com</t>
  </si>
  <si>
    <t>2022-04-15, 2022-04-22, 2022-04-29, 2022-05-06, 2022-05-13, 2022-05-20, 2022-05-27</t>
  </si>
  <si>
    <t>d1f379b1-8ebb-4208-a0ee-404f9ea8fcb1</t>
  </si>
  <si>
    <t>AMBER HERNANDEZ</t>
  </si>
  <si>
    <t>thomasantonio@hotmail.com</t>
  </si>
  <si>
    <t>2023-06-13, 2023-06-20, 2023-06-27</t>
  </si>
  <si>
    <t>1673aefb-eb9e-44e0-94c3-b22e4c66aa4d</t>
  </si>
  <si>
    <t>jason thompson</t>
  </si>
  <si>
    <t>tammycurry@yahoo.com</t>
  </si>
  <si>
    <t>2024-10-30, 2024-11-06, 2024-11-13, 2024-11-20, 2024-11-27, 2024-12-04, 2024-12-11</t>
  </si>
  <si>
    <t>52a473f9-4c9e-403a-84bd-338e17d71fc0</t>
  </si>
  <si>
    <t>james jones</t>
  </si>
  <si>
    <t>carterdennis@hotmail.com</t>
  </si>
  <si>
    <t>2022-06-01, 2022-06-08, 2022-06-15, 2022-06-22, 2022-06-29, 2022-07-06</t>
  </si>
  <si>
    <t>864f36dd-69ec-49d5-86ec-ed9954470290</t>
  </si>
  <si>
    <t>DANIEL BROWN</t>
  </si>
  <si>
    <t>mramsey@mitchell.net</t>
  </si>
  <si>
    <t>ed56c714-5a96-41f5-9f8c-eda5feb9ea24</t>
  </si>
  <si>
    <t>JUSTIN STONE</t>
  </si>
  <si>
    <t>nmorton@gmail.com</t>
  </si>
  <si>
    <t>1e42d2b8-0067-4b62-b18c-d979fab0a15d</t>
  </si>
  <si>
    <t>mario wilson</t>
  </si>
  <si>
    <t>vgutierrez@castro-walsh.com</t>
  </si>
  <si>
    <t>2023-07-02, 2023-07-09, 2023-07-16, 2023-07-23, 2023-07-30</t>
  </si>
  <si>
    <t>412181a3-4818-4004-b0a4-f5573381001f</t>
  </si>
  <si>
    <t>elizabeth hunter</t>
  </si>
  <si>
    <t>wilsonmathew@yahoo.com</t>
  </si>
  <si>
    <t>2024-12-27, 2025-01-03, 2025-01-10, 2025-01-17, 2025-01-24, 2025-01-31</t>
  </si>
  <si>
    <t>d500c147-0774-4c94-b5c9-f4599db1bd5e</t>
  </si>
  <si>
    <t>gary morgan</t>
  </si>
  <si>
    <t>probles@gmail.com</t>
  </si>
  <si>
    <t>2024-09-06, 2024-09-13, 2024-09-20</t>
  </si>
  <si>
    <t>e45def26-75eb-4e8f-a090-360d27c7655a</t>
  </si>
  <si>
    <t>conleykevin@hotmail.com</t>
  </si>
  <si>
    <t>2024-04-23, 2024-04-30, 2024-05-07, 2024-05-14, 2024-05-21, 2024-05-28, 2024-06-04</t>
  </si>
  <si>
    <t>04cabb38-892f-4a69-8e20-17e150c4cb4b</t>
  </si>
  <si>
    <t>michael marsh</t>
  </si>
  <si>
    <t>montesjuan@gmail.com</t>
  </si>
  <si>
    <t>2025-02-23, 2025-03-02, 2025-03-09, 2025-03-16</t>
  </si>
  <si>
    <t>88c62063-a063-43ca-a00f-c79cfbce7087</t>
  </si>
  <si>
    <t>LAURA PRICE</t>
  </si>
  <si>
    <t>janet50@gutierrez-crawford.com</t>
  </si>
  <si>
    <t>2023-09-15, 2023-09-22, 2023-09-29, 2023-10-06, 2023-10-13, 2023-10-20</t>
  </si>
  <si>
    <t>4d79132c-f362-4408-9457-530573b0220d</t>
  </si>
  <si>
    <t>eric rodriguez</t>
  </si>
  <si>
    <t>robinwallace@lloyd.com</t>
  </si>
  <si>
    <t>2023-11-05, 2023-11-12, 2023-11-19, 2023-11-26, 2023-12-03, 2023-12-10, 2023-12-17, 2023-12-24</t>
  </si>
  <si>
    <t>bb8141f0-7bc4-4138-ac73-75985711d5fd</t>
  </si>
  <si>
    <t>emily murphy</t>
  </si>
  <si>
    <t>jamiejohnson@reeves-boyd.com</t>
  </si>
  <si>
    <t>2023-01-27, 2023-02-03, 2023-02-10, 2023-02-17, 2023-02-24, 2023-03-03, 2023-03-10, 2023-03-17</t>
  </si>
  <si>
    <t>d91ea7e6-afe2-4940-8b45-8c23eeada90c</t>
  </si>
  <si>
    <t>anita owens</t>
  </si>
  <si>
    <t>meyerdonna@johnson-blake.com</t>
  </si>
  <si>
    <t>2023-08-03, 2023-08-10, 2023-08-17, 2023-08-24, 2023-08-31</t>
  </si>
  <si>
    <t>46d28109-495c-4ac8-b14a-abdd33579b27</t>
  </si>
  <si>
    <t>PATRICIA LAMBERT</t>
  </si>
  <si>
    <t>ericwilson@hotmail.com</t>
  </si>
  <si>
    <t>2023-08-18, 2023-08-25, 2023-09-01, 2023-09-08, 2023-09-15</t>
  </si>
  <si>
    <t>8ae3297e-34e2-4142-9a35-447583997ac5</t>
  </si>
  <si>
    <t>FERNANDO THOMAS</t>
  </si>
  <si>
    <t>georgecollins@yahoo.com</t>
  </si>
  <si>
    <t>2024-08-23, 2024-08-30, 2024-09-06, 2024-09-13</t>
  </si>
  <si>
    <t>076c108d-214c-47b1-8cfc-64207192e443</t>
  </si>
  <si>
    <t>michael rodriguez</t>
  </si>
  <si>
    <t>simmonsharold@vance.info</t>
  </si>
  <si>
    <t>2024-07-24, 2024-07-31, 2024-08-07, 2024-08-14, 2024-08-21, 2024-08-28, 2024-09-04, 2024-09-11</t>
  </si>
  <si>
    <t>d143e0a2-5513-474f-8ffc-1c545b0a31ea</t>
  </si>
  <si>
    <t>PETER LAMB</t>
  </si>
  <si>
    <t>fbradley@mcdonald.info</t>
  </si>
  <si>
    <t>2024-11-19, 2024-11-26, 2024-12-03, 2024-12-10</t>
  </si>
  <si>
    <t>24caf1b8-394a-47fd-b28b-f8463b504fda</t>
  </si>
  <si>
    <t>lisa durham</t>
  </si>
  <si>
    <t>hollyortega@yahoo.com</t>
  </si>
  <si>
    <t>79af8348-10bb-460d-87bf-63ee7ccd3dc0</t>
  </si>
  <si>
    <t>john singleton</t>
  </si>
  <si>
    <t>cassandra28@gmail.com</t>
  </si>
  <si>
    <t>2024-03-11, 2024-03-18, 2024-03-25, 2024-04-01, 2024-04-08, 2024-04-15, 2024-04-22, 2024-04-29</t>
  </si>
  <si>
    <t>1b63205f-cbf8-4149-b6da-99cdd14b256c</t>
  </si>
  <si>
    <t>matthew sparks</t>
  </si>
  <si>
    <t>pgarza@hotmail.com</t>
  </si>
  <si>
    <t>2023-12-28, 2024-01-04, 2024-01-11, 2024-01-18, 2024-01-25, 2024-02-01, 2024-02-08</t>
  </si>
  <si>
    <t>7b7ce7cc-f950-47fa-a8b5-8db58c466308</t>
  </si>
  <si>
    <t>GLEN CERVANTES</t>
  </si>
  <si>
    <t>vbradley@hotmail.com</t>
  </si>
  <si>
    <t>2023-04-20, 2023-04-27, 2023-05-04, 2023-05-11</t>
  </si>
  <si>
    <t>ab6b3f08-a9a0-44ef-ac4f-54163c749c16</t>
  </si>
  <si>
    <t>timothy andrews</t>
  </si>
  <si>
    <t>vargassteven@hotmail.com</t>
  </si>
  <si>
    <t>2025-03-20, 2025-03-27</t>
  </si>
  <si>
    <t>4edb6dc8-2d19-4d52-b1f9-b0e2d2701a52</t>
  </si>
  <si>
    <t>andrea rodriguez</t>
  </si>
  <si>
    <t>troy01@gmail.com</t>
  </si>
  <si>
    <t>2022-09-05, 2022-09-12, 2022-09-19, 2022-09-26, 2022-10-03, 2022-10-10</t>
  </si>
  <si>
    <t>c146ed52-e73b-4913-94ad-345ae3239264</t>
  </si>
  <si>
    <t>APRIL THOMAS</t>
  </si>
  <si>
    <t>2022-11-08, 2022-11-15, 2022-11-22, 2022-11-29</t>
  </si>
  <si>
    <t>63d5e750-4a9f-450e-8800-61b673f621a8</t>
  </si>
  <si>
    <t>jillian harris</t>
  </si>
  <si>
    <t>ashley46@hotmail.com</t>
  </si>
  <si>
    <t>24-11-2022</t>
  </si>
  <si>
    <t>02141a68-952d-486c-96db-8a18fd8398c3</t>
  </si>
  <si>
    <t>kayla abbott</t>
  </si>
  <si>
    <t>woodana@gmail.com</t>
  </si>
  <si>
    <t>2023-09-23, 2023-09-30, 2023-10-07, 2023-10-14</t>
  </si>
  <si>
    <t>fa8bd601-d21c-4315-8f5e-248eb40f040e</t>
  </si>
  <si>
    <t>SCOTT GLENN</t>
  </si>
  <si>
    <t>zpark@flores.net</t>
  </si>
  <si>
    <t>2022-04-08, 2022-04-15, 2022-04-22, 2022-04-29, 2022-05-06, 2022-05-13</t>
  </si>
  <si>
    <t>239a046d-7991-4c51-ac64-9adfa998c8e1</t>
  </si>
  <si>
    <t>james middleton</t>
  </si>
  <si>
    <t>keithsalas@gmail.com</t>
  </si>
  <si>
    <t>04056d2b-a5fc-4671-925d-f20602f865f8</t>
  </si>
  <si>
    <t>STEPHEN BARRETT</t>
  </si>
  <si>
    <t>taylorlinda@english-dominguez.biz</t>
  </si>
  <si>
    <t>2022-11-01, 2022-11-08, 2022-11-15, 2022-11-22, 2022-11-29</t>
  </si>
  <si>
    <t>6c936f69-8269-441a-b453-30442e07336d</t>
  </si>
  <si>
    <t>joanna kelly</t>
  </si>
  <si>
    <t>kjacobs@bradford-young.net</t>
  </si>
  <si>
    <t>2024-11-30, 2024-12-07, 2024-12-14</t>
  </si>
  <si>
    <t>938bd3f8-8bd1-4d4b-ad33-53fc692caaae</t>
  </si>
  <si>
    <t>william carroll</t>
  </si>
  <si>
    <t>carpentersuzanne@gmail.com</t>
  </si>
  <si>
    <t>2023-05-30, 2023-06-06, 2023-06-13</t>
  </si>
  <si>
    <t>fbcbd6ec-86c2-4d8f-bb36-07b0baed6f49</t>
  </si>
  <si>
    <t>nicole ramirez</t>
  </si>
  <si>
    <t>sanchezcrystal@horne.org</t>
  </si>
  <si>
    <t>57f2a45f-e751-4d4b-8d82-9d529cf021b8</t>
  </si>
  <si>
    <t>ALEXANDRA GIBSON</t>
  </si>
  <si>
    <t>robert44@gmail.com</t>
  </si>
  <si>
    <t>2023-08-05, 2023-08-12</t>
  </si>
  <si>
    <t>bfda55c9-98fe-44f3-ac40-d95ab1eedf64</t>
  </si>
  <si>
    <t>RICHARD GREEN</t>
  </si>
  <si>
    <t>ashleydouglas@yahoo.com</t>
  </si>
  <si>
    <t>2022-05-31, 2022-06-07, 2022-06-14</t>
  </si>
  <si>
    <t>151f62f9-7c19-4e6f-896c-c03a06fd01e6</t>
  </si>
  <si>
    <t>billy bowers</t>
  </si>
  <si>
    <t>2024-12-01, 2024-12-08, 2024-12-15, 2024-12-22, 2024-12-29</t>
  </si>
  <si>
    <t>4674a0eb-47ed-46dd-9da4-ec0f21ee0f6c</t>
  </si>
  <si>
    <t>alexis rodriguez</t>
  </si>
  <si>
    <t>donnawood@green.com</t>
  </si>
  <si>
    <t>dcacfa54-8702-44ad-8ca3-a4c42e4982cf</t>
  </si>
  <si>
    <t>WILLIAM COFFEY</t>
  </si>
  <si>
    <t>amullins@young-alexander.com</t>
  </si>
  <si>
    <t>2024-04-29, 2024-05-06</t>
  </si>
  <si>
    <t>5856e1fc-d782-4ea3-bbff-16e993e7e893</t>
  </si>
  <si>
    <t>DENNIS WEISS</t>
  </si>
  <si>
    <t>stevenalvarez@reese-goodwin.net</t>
  </si>
  <si>
    <t>2023-02-28, 2023-03-07, 2023-03-14, 2023-03-21, 2023-03-28, 2023-04-04, 2023-04-11, 2023-04-18</t>
  </si>
  <si>
    <t>63dba8c8-b4a2-4699-aefa-823b613a9ff9</t>
  </si>
  <si>
    <t>CHARLES BERG</t>
  </si>
  <si>
    <t>sara76@stewart.com</t>
  </si>
  <si>
    <t>d82010d1-f4c8-43a7-9a94-7a40a32e3ab5</t>
  </si>
  <si>
    <t>THOMAS GARRISON</t>
  </si>
  <si>
    <t>joseph14@hotmail.com</t>
  </si>
  <si>
    <t>2024-07-10, 2024-07-17</t>
  </si>
  <si>
    <t>acdfe0ff-c5ed-4982-b60b-36736422a73e</t>
  </si>
  <si>
    <t>morgan chapman</t>
  </si>
  <si>
    <t>erica25@smith.biz</t>
  </si>
  <si>
    <t>2024-09-30, 2024-10-07, 2024-10-14, 2024-10-21, 2024-10-28, 2024-11-04</t>
  </si>
  <si>
    <t>722944a9-af7c-4609-9a99-aae08677b81d</t>
  </si>
  <si>
    <t>nicholas king</t>
  </si>
  <si>
    <t>harveybrian@douglas.com</t>
  </si>
  <si>
    <t>2022-09-05, 2022-09-12, 2022-09-19, 2022-09-26, 2022-10-03</t>
  </si>
  <si>
    <t>21419a14-9acc-400d-9b3f-b4a2161d6acf</t>
  </si>
  <si>
    <t>phillip wong</t>
  </si>
  <si>
    <t>dominguezjon@guerrero-jones.info</t>
  </si>
  <si>
    <t>2022-10-10, 2022-10-17, 2022-10-24, 2022-10-31, 2022-11-07, 2022-11-14, 2022-11-21, 2022-11-28</t>
  </si>
  <si>
    <t>e744aa30-b135-4d67-ad4e-c8a4c4f4b844</t>
  </si>
  <si>
    <t>patricia scott</t>
  </si>
  <si>
    <t>kimberly66@ferrell-scott.com</t>
  </si>
  <si>
    <t>fabb6609-7de1-4a85-91c4-194a70c98336</t>
  </si>
  <si>
    <t>LISA WHITE</t>
  </si>
  <si>
    <t>thomaskayla@gmail.com</t>
  </si>
  <si>
    <t>2023-01-08, 2023-01-15, 2023-01-22</t>
  </si>
  <si>
    <t>710b7fa9-e9a0-420d-9b33-2e43a4b1cf6a</t>
  </si>
  <si>
    <t>ashley jones</t>
  </si>
  <si>
    <t>fsmith@gmail.com</t>
  </si>
  <si>
    <t>2024-11-15, 2024-11-22, 2024-11-29</t>
  </si>
  <si>
    <t>09af9883-eed2-4f94-8038-dc84a3ed033a</t>
  </si>
  <si>
    <t>deborah graves</t>
  </si>
  <si>
    <t>robertsonshelby@yahoo.com</t>
  </si>
  <si>
    <t>2025-01-15, 2025-01-22, 2025-01-29, 2025-02-05</t>
  </si>
  <si>
    <t>ba4ef72f-d813-4af7-a766-d37b6fa179a5</t>
  </si>
  <si>
    <t>rachel fernandez</t>
  </si>
  <si>
    <t>xfinley@martinez-nichols.com</t>
  </si>
  <si>
    <t>2024-04-18, 2024-04-25, 2024-05-02, 2024-05-09, 2024-05-16, 2024-05-23</t>
  </si>
  <si>
    <t>0e213ce5-668e-410e-8d86-2412ae8cc97b</t>
  </si>
  <si>
    <t>tina davis</t>
  </si>
  <si>
    <t>randallkathleen@yahoo.com</t>
  </si>
  <si>
    <t>2023-09-06, 2023-09-13, 2023-09-20, 2023-09-27</t>
  </si>
  <si>
    <t>0a119bac-8df2-4ad5-ad36-db7e33ffb402</t>
  </si>
  <si>
    <t>mary evans</t>
  </si>
  <si>
    <t>mccoymichael@gmail.com</t>
  </si>
  <si>
    <t>2025-01-07, 2025-01-14</t>
  </si>
  <si>
    <t>23d34d22-3080-4ed6-bc3e-34af701fb3ea</t>
  </si>
  <si>
    <t>ALEXANDER DAVIES</t>
  </si>
  <si>
    <t>yprice@schneider.info</t>
  </si>
  <si>
    <t>2024-12-15, 2024-12-22</t>
  </si>
  <si>
    <t>5674b9e2-0e59-45aa-96db-638a097ba119</t>
  </si>
  <si>
    <t>AMANDA WILSON</t>
  </si>
  <si>
    <t>joycehall@gmail.com</t>
  </si>
  <si>
    <t>2022-05-02, 2022-05-09, 2022-05-16, 2022-05-23, 2022-05-30, 2022-06-06, 2022-06-13, 2022-06-20</t>
  </si>
  <si>
    <t>a76180c7-7d28-4421-a43f-45febc4716ad</t>
  </si>
  <si>
    <t>terry montgomery</t>
  </si>
  <si>
    <t>alexischen@hoover-davis.org</t>
  </si>
  <si>
    <t>2022-06-03, 2022-06-10, 2022-06-17, 2022-06-24, 2022-07-01, 2022-07-08</t>
  </si>
  <si>
    <t>d15b5a37-105f-46aa-974e-8f83d5d9a385</t>
  </si>
  <si>
    <t>ashley larson</t>
  </si>
  <si>
    <t>brockronald@gregory.org</t>
  </si>
  <si>
    <t>28-12-2022</t>
  </si>
  <si>
    <t>2022-12-28, 2023-01-04, 2023-01-11, 2023-01-18, 2023-01-25, 2023-02-01</t>
  </si>
  <si>
    <t>f6f61488-d620-45f0-9253-b6f72328051e</t>
  </si>
  <si>
    <t>PAMELA WATKINS</t>
  </si>
  <si>
    <t>martinezdonald@yahoo.com</t>
  </si>
  <si>
    <t>2024-08-02, 2024-08-09, 2024-08-16, 2024-08-23</t>
  </si>
  <si>
    <t>2a3dd769-8dac-410d-9eb3-8ef5b24070ca</t>
  </si>
  <si>
    <t>timothy williams</t>
  </si>
  <si>
    <t>bstrickland@miller-smith.com</t>
  </si>
  <si>
    <t>2022-12-24, 2022-12-31, 2023-01-07, 2023-01-14, 2023-01-21, 2023-01-28</t>
  </si>
  <si>
    <t>6a8d8a70-48a2-4172-a30c-dee297feb937</t>
  </si>
  <si>
    <t>rebecca alvarez</t>
  </si>
  <si>
    <t>douglasnelson@jenkins-hurley.org</t>
  </si>
  <si>
    <t>2025-01-13, 2025-01-20, 2025-01-27, 2025-02-03, 2025-02-10, 2025-02-17</t>
  </si>
  <si>
    <t>b79a566b-2e14-42be-98a5-47b209a18b34</t>
  </si>
  <si>
    <t>DR. MARK PATTON MD</t>
  </si>
  <si>
    <t>jamesdowns@montgomery.net</t>
  </si>
  <si>
    <t>2025-03-16, 2025-03-23</t>
  </si>
  <si>
    <t>a8c9aa31-a05f-45e6-8534-6e4176d6dc39</t>
  </si>
  <si>
    <t>anthony rodriguez</t>
  </si>
  <si>
    <t>kjimenez@livingston.com</t>
  </si>
  <si>
    <t>2023-03-13, 2023-03-20, 2023-03-27, 2023-04-03</t>
  </si>
  <si>
    <t>ce1e8d1f-9de7-4f7b-9594-552b405a8e7e</t>
  </si>
  <si>
    <t>jody garcia</t>
  </si>
  <si>
    <t>2024-02-11, 2024-02-18, 2024-02-25, 2024-03-03, 2024-03-10, 2024-03-17</t>
  </si>
  <si>
    <t>2875ad5d-2d06-4862-8990-779cecc3b699</t>
  </si>
  <si>
    <t>KARINA WILSON</t>
  </si>
  <si>
    <t>uwatkins@gonzalez-rhodes.com</t>
  </si>
  <si>
    <t>2022-06-27, 2022-07-04, 2022-07-11, 2022-07-18, 2022-07-25, 2022-08-01, 2022-08-08, 2022-08-15</t>
  </si>
  <si>
    <t>3a4fece7-537d-46c6-9c31-aaf3c76aec88</t>
  </si>
  <si>
    <t>oscar kane</t>
  </si>
  <si>
    <t>charlesrichards@gmail.com</t>
  </si>
  <si>
    <t>2023-03-30, 2023-04-06, 2023-04-13, 2023-04-20, 2023-04-27, 2023-05-04, 2023-05-11, 2023-05-18</t>
  </si>
  <si>
    <t>9c03d65c-ed8a-428c-b756-999b251adf0e</t>
  </si>
  <si>
    <t>james taylor</t>
  </si>
  <si>
    <t>theresa35@johnson.com</t>
  </si>
  <si>
    <t>2024-02-13, 2024-02-20, 2024-02-27, 2024-03-05</t>
  </si>
  <si>
    <t>772d416d-da05-42fc-9c71-a82122f1c32b</t>
  </si>
  <si>
    <t>christopher cooper</t>
  </si>
  <si>
    <t>kristinelittle@hotmail.com</t>
  </si>
  <si>
    <t>dae18b28-8d81-44b0-b85a-d28793ffc45f</t>
  </si>
  <si>
    <t>jason boyd</t>
  </si>
  <si>
    <t>rhood@blair.com</t>
  </si>
  <si>
    <t>2022-12-26, 2023-01-02</t>
  </si>
  <si>
    <t>38efa3bc-9457-4388-af2a-ec8a53c9aacb</t>
  </si>
  <si>
    <t>leslie hernandez</t>
  </si>
  <si>
    <t>cbaird@quinn-gordon.biz</t>
  </si>
  <si>
    <t>26-04-2023</t>
  </si>
  <si>
    <t>cc4ae02c-cf49-44e0-bab1-653364f22a7c</t>
  </si>
  <si>
    <t>ANNETTE SIMPSON</t>
  </si>
  <si>
    <t>steelerichard@anderson.com</t>
  </si>
  <si>
    <t>2024-07-10, 2024-07-17, 2024-07-24, 2024-07-31, 2024-08-07</t>
  </si>
  <si>
    <t>7ad30e2a-0413-4fc7-973a-0c96ffbb4bcc</t>
  </si>
  <si>
    <t>CANDICE STEVENS</t>
  </si>
  <si>
    <t>iford@sullivan.info</t>
  </si>
  <si>
    <t>2025-01-07, 2025-01-14, 2025-01-21, 2025-01-28, 2025-02-04, 2025-02-11</t>
  </si>
  <si>
    <t>a0970ff4-dc42-4980-8059-5e29a226a75b</t>
  </si>
  <si>
    <t>steven cook</t>
  </si>
  <si>
    <t>ronald49@johnston.org</t>
  </si>
  <si>
    <t>2025-04-04, 2025-04-11, 2025-04-18</t>
  </si>
  <si>
    <t>83c5c510-0e08-4343-aea7-7ea8bc5ad195</t>
  </si>
  <si>
    <t>megan barron</t>
  </si>
  <si>
    <t>ndiaz@diaz.net</t>
  </si>
  <si>
    <t>2023-09-10, 2023-09-17, 2023-09-24, 2023-10-01, 2023-10-08, 2023-10-15</t>
  </si>
  <si>
    <t>c6090b78-b597-4e43-8f8d-d99511274cb2</t>
  </si>
  <si>
    <t>WILLIAM ALLEN</t>
  </si>
  <si>
    <t>wmclaughlin@pitts.com</t>
  </si>
  <si>
    <t>2025-04-05, 2025-04-12, 2025-04-19</t>
  </si>
  <si>
    <t>80e9b300-4471-4067-a5de-f08e5a4b4fdb</t>
  </si>
  <si>
    <t>DESTINY BROWN</t>
  </si>
  <si>
    <t>htucker@gmail.com</t>
  </si>
  <si>
    <t>d34c0a09-ada5-4cb2-882a-e449b5b71c24</t>
  </si>
  <si>
    <t>EBONY OLIVER</t>
  </si>
  <si>
    <t>patriciaellis@myers.com</t>
  </si>
  <si>
    <t>2024-04-06, 2024-04-13, 2024-04-20, 2024-04-27</t>
  </si>
  <si>
    <t>1cada48a-46a4-4ee1-aa2e-1e6a1bff56f4</t>
  </si>
  <si>
    <t>kathleen golden</t>
  </si>
  <si>
    <t>robert82@reed-wallace.com</t>
  </si>
  <si>
    <t>2022-08-04, 2022-08-11</t>
  </si>
  <si>
    <t>df2ddf20-05a4-4113-901d-759e3066478c</t>
  </si>
  <si>
    <t>sandy stone</t>
  </si>
  <si>
    <t>plane@hotmail.com</t>
  </si>
  <si>
    <t>2023-07-03, 2023-07-10, 2023-07-17, 2023-07-24, 2023-07-31, 2023-08-07, 2023-08-14, 2023-08-21</t>
  </si>
  <si>
    <t>b265a6c2-aa75-4eeb-97e6-42d67c743895</t>
  </si>
  <si>
    <t>kimberly ellis</t>
  </si>
  <si>
    <t>george43@watson-roberts.com</t>
  </si>
  <si>
    <t>f4ca6e70-74b7-49ec-88cd-42c05a66219e</t>
  </si>
  <si>
    <t>thomas joseph</t>
  </si>
  <si>
    <t>teresafranco@hotmail.com</t>
  </si>
  <si>
    <t>2022-11-23, 2022-11-30, 2022-12-07, 2022-12-14, 2022-12-21</t>
  </si>
  <si>
    <t>3ce75d1e-2947-4d26-a74a-c7a7cb618d75</t>
  </si>
  <si>
    <t>xavier andrews</t>
  </si>
  <si>
    <t>mike38@hotmail.com</t>
  </si>
  <si>
    <t>58065bae-fa5f-4fdb-9123-39faaa61b32f</t>
  </si>
  <si>
    <t>JERRY CANTRELL</t>
  </si>
  <si>
    <t>knapprichard@yahoo.com</t>
  </si>
  <si>
    <t>2022-05-30, 2022-06-06, 2022-06-13</t>
  </si>
  <si>
    <t>51f9cd77-ed85-4a6d-b542-2851f2a24da4</t>
  </si>
  <si>
    <t>wayne payne</t>
  </si>
  <si>
    <t>thomas49@hotmail.com</t>
  </si>
  <si>
    <t>2022-11-18, 2022-11-25, 2022-12-02, 2022-12-09, 2022-12-16</t>
  </si>
  <si>
    <t>e82956cf-ba81-4860-90b3-032dccb1063d</t>
  </si>
  <si>
    <t>GINA RODRIGUEZ</t>
  </si>
  <si>
    <t>taylorandrea@yahoo.com</t>
  </si>
  <si>
    <t>2022-11-21, 2022-11-28, 2022-12-05, 2022-12-12, 2022-12-19, 2022-12-26, 2023-01-02, 2023-01-09</t>
  </si>
  <si>
    <t>3869d3c9-d743-45a8-9e15-ebcc66d137f6</t>
  </si>
  <si>
    <t>brandon brown</t>
  </si>
  <si>
    <t>kimberlywang@johnson.info</t>
  </si>
  <si>
    <t>2022-05-15, 2022-05-22, 2022-05-29, 2022-06-05, 2022-06-12, 2022-06-19</t>
  </si>
  <si>
    <t>f9d09e26-165e-45b5-b526-d3b0abeb35d1</t>
  </si>
  <si>
    <t>cheyenne stewart</t>
  </si>
  <si>
    <t>raymond65@watson-mitchell.com</t>
  </si>
  <si>
    <t>2025-02-21, 2025-02-28, 2025-03-07, 2025-03-14, 2025-03-21, 2025-03-28</t>
  </si>
  <si>
    <t>8f9fdc15-dfd2-4d15-b211-4575fa3efd03</t>
  </si>
  <si>
    <t>nicholas wallace</t>
  </si>
  <si>
    <t>zroberts@hotmail.com</t>
  </si>
  <si>
    <t>29-07-2023</t>
  </si>
  <si>
    <t>23bab528-6a08-4aa0-a57c-5c02ba85e403</t>
  </si>
  <si>
    <t>linda thomas</t>
  </si>
  <si>
    <t>hmcneil@yahoo.com</t>
  </si>
  <si>
    <t>2024-01-25, 2024-02-01, 2024-02-08, 2024-02-15, 2024-02-22, 2024-02-29, 2024-03-07, 2024-03-14</t>
  </si>
  <si>
    <t>c190b0cf-9736-4b4f-b5c8-ce3ceee31d47</t>
  </si>
  <si>
    <t>AARON FOWLER</t>
  </si>
  <si>
    <t>dthompson@hotmail.com</t>
  </si>
  <si>
    <t>2022-07-18, 2022-07-25, 2022-08-01, 2022-08-08, 2022-08-15, 2022-08-22</t>
  </si>
  <si>
    <t>33028b32-230d-4680-aa35-0f17c157a761</t>
  </si>
  <si>
    <t>JAMES SPENCER</t>
  </si>
  <si>
    <t>mary47@singh.com</t>
  </si>
  <si>
    <t>2024-09-05, 2024-09-12, 2024-09-19, 2024-09-26, 2024-10-03, 2024-10-10</t>
  </si>
  <si>
    <t>d590f435-a3fb-4d0b-b4be-28b44cd7e6f7</t>
  </si>
  <si>
    <t>becky wade</t>
  </si>
  <si>
    <t>swhite@hotmail.com</t>
  </si>
  <si>
    <t>2023-05-20, 2023-05-27, 2023-06-03, 2023-06-10, 2023-06-17, 2023-06-24</t>
  </si>
  <si>
    <t>46f7b20a-c3c4-4506-9e8e-06ed07480379</t>
  </si>
  <si>
    <t>wesley george md</t>
  </si>
  <si>
    <t>ooneill@hotmail.com</t>
  </si>
  <si>
    <t>2023-04-22, 2023-04-29, 2023-05-06, 2023-05-13, 2023-05-20, 2023-05-27</t>
  </si>
  <si>
    <t>1e9d095b-d17a-49bd-b1ba-0beaf9690579</t>
  </si>
  <si>
    <t>nicholas smith</t>
  </si>
  <si>
    <t>bonniethomas@yahoo.com</t>
  </si>
  <si>
    <t>2024-04-15, 2024-04-22, 2024-04-29, 2024-05-06, 2024-05-13, 2024-05-20, 2024-05-27</t>
  </si>
  <si>
    <t>0d8a16f3-29ce-4bfa-9b7d-9d2d22aff503</t>
  </si>
  <si>
    <t>jason barr</t>
  </si>
  <si>
    <t>robertsalyssa@gmail.com</t>
  </si>
  <si>
    <t>2025-03-18, 2025-03-25</t>
  </si>
  <si>
    <t>2ee94ed9-a0c6-4223-8435-9252319dd940</t>
  </si>
  <si>
    <t>linda jackson</t>
  </si>
  <si>
    <t>margaret44@hotmail.com</t>
  </si>
  <si>
    <t>2024-06-13, 2024-06-20, 2024-06-27, 2024-07-04, 2024-07-11</t>
  </si>
  <si>
    <t>88cfc53d-1888-49ce-9cce-495db0377c52</t>
  </si>
  <si>
    <t>SAMANTHA SMITH</t>
  </si>
  <si>
    <t>kimberly65@gmail.com</t>
  </si>
  <si>
    <t>2025-03-26, 2025-04-02, 2025-04-09, 2025-04-16, 2025-04-23, 2025-04-30, 2025-05-07, 2025-05-14</t>
  </si>
  <si>
    <t>389ae4fd-80dd-4386-a790-e92f37c6bc5d</t>
  </si>
  <si>
    <t>REBECCA HANSEN</t>
  </si>
  <si>
    <t>estevens@fuentes.info</t>
  </si>
  <si>
    <t>2022-09-13, 2022-09-20, 2022-09-27, 2022-10-04, 2022-10-11</t>
  </si>
  <si>
    <t>23966b83-5cd1-4b22-b0e8-b2fa4fc34759</t>
  </si>
  <si>
    <t>stacy harper</t>
  </si>
  <si>
    <t>jenniferjohnson@gmail.com</t>
  </si>
  <si>
    <t>2023-09-29, 2023-10-06, 2023-10-13</t>
  </si>
  <si>
    <t>2471a957-b1b9-4d9d-9b58-3dd920f36e92</t>
  </si>
  <si>
    <t>elizabeth clark</t>
  </si>
  <si>
    <t>yvazquez@jones.biz</t>
  </si>
  <si>
    <t>2023-03-18, 2023-03-25, 2023-04-01</t>
  </si>
  <si>
    <t>cb05aa14-0865-4a6e-9b99-eb8332440f07</t>
  </si>
  <si>
    <t>LESLIE HARRISON</t>
  </si>
  <si>
    <t>joneselizabeth@gmail.com</t>
  </si>
  <si>
    <t>2022-06-12, 2022-06-19</t>
  </si>
  <si>
    <t>966d2735-3495-4c00-9a0f-09e9eb8b8c11</t>
  </si>
  <si>
    <t>cathy bell</t>
  </si>
  <si>
    <t>meghanmcmahon@bailey.org</t>
  </si>
  <si>
    <t>2022-10-16, 2022-10-23</t>
  </si>
  <si>
    <t>195efd72-117e-494e-91fa-f1c78141bb37</t>
  </si>
  <si>
    <t>pamela rice</t>
  </si>
  <si>
    <t>george80@garcia.info</t>
  </si>
  <si>
    <t>2023-04-17, 2023-04-24, 2023-05-01, 2023-05-08, 2023-05-15, 2023-05-22, 2023-05-29, 2023-06-05</t>
  </si>
  <si>
    <t>708df094-2f64-472f-96e1-a522b2b8d698</t>
  </si>
  <si>
    <t>ashley davenport</t>
  </si>
  <si>
    <t>olewis@yahoo.com</t>
  </si>
  <si>
    <t>2023-10-28, 2023-11-04, 2023-11-11, 2023-11-18, 2023-11-25, 2023-12-02</t>
  </si>
  <si>
    <t>1fa54251-5074-4c13-bc0f-94cdc2ebbaa2</t>
  </si>
  <si>
    <t>joseph simpson</t>
  </si>
  <si>
    <t>2022-09-29, 2022-10-06, 2022-10-13, 2022-10-20, 2022-10-27, 2022-11-03</t>
  </si>
  <si>
    <t>b8ddf15d-8ea0-45f0-89cc-253fb4693ec4</t>
  </si>
  <si>
    <t>garrett wilson</t>
  </si>
  <si>
    <t>2023-10-20, 2023-10-27, 2023-11-03</t>
  </si>
  <si>
    <t>4fdfaf5d-bc75-4d53-99b3-207074fa65ce</t>
  </si>
  <si>
    <t>sarah perez</t>
  </si>
  <si>
    <t>traci63@gmail.com</t>
  </si>
  <si>
    <t>2023-06-21, 2023-06-28, 2023-07-05</t>
  </si>
  <si>
    <t>2de66d5b-5e10-43a0-addb-8943f067ad82</t>
  </si>
  <si>
    <t>michael powers</t>
  </si>
  <si>
    <t>rmills@gmail.com</t>
  </si>
  <si>
    <t>2024-04-14, 2024-04-21, 2024-04-28, 2024-05-05, 2024-05-12, 2024-05-19, 2024-05-26, 2024-06-02</t>
  </si>
  <si>
    <t>b1edf3d3-668f-4032-a512-5d2e24b3bc8e</t>
  </si>
  <si>
    <t>ASHLEY SCHAEFER</t>
  </si>
  <si>
    <t>coxjames@larson.com</t>
  </si>
  <si>
    <t>2022-10-09, 2022-10-16, 2022-10-23, 2022-10-30, 2022-11-06, 2022-11-13, 2022-11-20</t>
  </si>
  <si>
    <t>7fc5ae23-b9a6-4d75-acb9-6a2cd68e51f0</t>
  </si>
  <si>
    <t>micheal perkins</t>
  </si>
  <si>
    <t>qkelly@hotmail.com</t>
  </si>
  <si>
    <t>47656069-82ec-4fc3-bc0a-5867fcce5213</t>
  </si>
  <si>
    <t>JESSE MARTINEZ</t>
  </si>
  <si>
    <t>ihall@gmail.com</t>
  </si>
  <si>
    <t>2023-12-26, 2024-01-02, 2024-01-09, 2024-01-16, 2024-01-23, 2024-01-30, 2024-02-06</t>
  </si>
  <si>
    <t>11776f21-d48f-4ba3-8d87-bc72bce05a63</t>
  </si>
  <si>
    <t>MR. CHRISTOPHER JACOBS MD</t>
  </si>
  <si>
    <t>wolfdonna@hotmail.com</t>
  </si>
  <si>
    <t>2022-09-08, 2022-09-15, 2022-09-22, 2022-09-29</t>
  </si>
  <si>
    <t>4b26f0a3-33b1-4ca4-b74d-34f5caf07226</t>
  </si>
  <si>
    <t>katherine green</t>
  </si>
  <si>
    <t>cisnerosanthony@yahoo.com</t>
  </si>
  <si>
    <t>2024-05-10, 2024-05-17, 2024-05-24</t>
  </si>
  <si>
    <t>da55f825-5086-4384-b33a-c54f62359144</t>
  </si>
  <si>
    <t>joe johnson</t>
  </si>
  <si>
    <t>travistaylor@hotmail.com</t>
  </si>
  <si>
    <t>2022-10-09, 2022-10-16, 2022-10-23, 2022-10-30, 2022-11-06, 2022-11-13, 2022-11-20, 2022-11-27</t>
  </si>
  <si>
    <t>91a07ef2-1c00-4554-8396-3bf97cc9d887</t>
  </si>
  <si>
    <t>mary jennings</t>
  </si>
  <si>
    <t>khart@hotmail.com</t>
  </si>
  <si>
    <t>2023-12-02, 2023-12-09, 2023-12-16, 2023-12-23, 2023-12-30, 2024-01-06, 2024-01-13, 2024-01-20</t>
  </si>
  <si>
    <t>974ebb87-7ea4-43e5-836d-977b6431cbbe</t>
  </si>
  <si>
    <t>lisa gomez</t>
  </si>
  <si>
    <t>bryan90@gmail.com</t>
  </si>
  <si>
    <t>2022-07-02, 2022-07-09, 2022-07-16, 2022-07-23, 2022-07-30, 2022-08-06</t>
  </si>
  <si>
    <t>957edc3c-bdf7-44c8-8f3e-e4aa594ffd27</t>
  </si>
  <si>
    <t>steven peterson</t>
  </si>
  <si>
    <t>wreed@bell-stanley.com</t>
  </si>
  <si>
    <t>2023-10-28, 2023-11-04, 2023-11-11</t>
  </si>
  <si>
    <t>15bebdd0-97b0-47ce-8fe5-c13ba5e8c198</t>
  </si>
  <si>
    <t>ana torres</t>
  </si>
  <si>
    <t>andrewnguyen@yahoo.com</t>
  </si>
  <si>
    <t>2023-04-06, 2023-04-13, 2023-04-20, 2023-04-27, 2023-05-04, 2023-05-11</t>
  </si>
  <si>
    <t>83c74cbe-916b-4f87-ac27-316bdd05b827</t>
  </si>
  <si>
    <t>DEBORAH DOMINGUEZ</t>
  </si>
  <si>
    <t>nicholas65@davis.com</t>
  </si>
  <si>
    <t>2025-01-22, 2025-01-29, 2025-02-05</t>
  </si>
  <si>
    <t>c3d0bde3-cfbb-484a-80b5-70137f29c9e7</t>
  </si>
  <si>
    <t>CAROL EVANS</t>
  </si>
  <si>
    <t>tylerboone@gmail.com</t>
  </si>
  <si>
    <t>2023-09-10, 2023-09-17, 2023-09-24, 2023-10-01, 2023-10-08, 2023-10-15, 2023-10-22, 2023-10-29</t>
  </si>
  <si>
    <t>0c2b03e4-43e1-446d-8990-225836cdf42f</t>
  </si>
  <si>
    <t>kenneth ballard</t>
  </si>
  <si>
    <t>vargasjoshua@solis.com</t>
  </si>
  <si>
    <t>cddb3f9e-8130-4e68-8d45-d885d2e08e57</t>
  </si>
  <si>
    <t>matthew edwards</t>
  </si>
  <si>
    <t>2025-01-13, 2025-01-20</t>
  </si>
  <si>
    <t>83ef3ce9-9ffd-41e7-8052-e3a566fd3215</t>
  </si>
  <si>
    <t>phillip white</t>
  </si>
  <si>
    <t>barbaralewis@hurley.org</t>
  </si>
  <si>
    <t>a0733e57-ba03-41f9-90ed-01d3ef444cf5</t>
  </si>
  <si>
    <t>curtis ford</t>
  </si>
  <si>
    <t>juliecannon@jenkins-dalton.com</t>
  </si>
  <si>
    <t>2024-02-09, 2024-02-16</t>
  </si>
  <si>
    <t>4455d60e-6995-4fd1-9891-4adf341c612a</t>
  </si>
  <si>
    <t>maria scott</t>
  </si>
  <si>
    <t>jallen@johnson.info</t>
  </si>
  <si>
    <t>2024-12-16, 2024-12-23, 2024-12-30</t>
  </si>
  <si>
    <t>6c097204-6fa6-481c-bdc5-62858f50b11f</t>
  </si>
  <si>
    <t>amanda moore</t>
  </si>
  <si>
    <t>greenlinda@pierce.info</t>
  </si>
  <si>
    <t>157c6813-e581-420f-9c0d-b2660e29ed9a</t>
  </si>
  <si>
    <t>EDWARD BROWN</t>
  </si>
  <si>
    <t>emily16@hotmail.com</t>
  </si>
  <si>
    <t>2022-05-07, 2022-05-14, 2022-05-21, 2022-05-28, 2022-06-04, 2022-06-11, 2022-06-18, 2022-06-25</t>
  </si>
  <si>
    <t>bc06e86b-922b-4fb2-9ca7-99723c6d3173</t>
  </si>
  <si>
    <t>barbara beck</t>
  </si>
  <si>
    <t>pwilkerson@hotmail.com</t>
  </si>
  <si>
    <t>2022-11-11, 2022-11-18, 2022-11-25</t>
  </si>
  <si>
    <t>544c14d1-503b-48c3-8e83-0e27c5efd670</t>
  </si>
  <si>
    <t>nancy shaffer</t>
  </si>
  <si>
    <t>grobinson@lewis.info</t>
  </si>
  <si>
    <t>0e512083-96e8-4922-9ce7-0289411a315b</t>
  </si>
  <si>
    <t>james fry md</t>
  </si>
  <si>
    <t>rvega@gmail.com</t>
  </si>
  <si>
    <t>2024-01-01, 2024-01-08, 2024-01-15, 2024-01-22, 2024-01-29</t>
  </si>
  <si>
    <t>d2450039-5e24-496e-b736-3ad979a8226b</t>
  </si>
  <si>
    <t>MATTHEW STEIN</t>
  </si>
  <si>
    <t>vazquezkristina@king.com</t>
  </si>
  <si>
    <t>2023-10-22, 2023-10-29</t>
  </si>
  <si>
    <t>e7354db2-5ce4-424b-b35b-9f78f55f2e80</t>
  </si>
  <si>
    <t>barbara camacho</t>
  </si>
  <si>
    <t>zsmith@yahoo.com</t>
  </si>
  <si>
    <t>2024-12-24, 2024-12-31, 2025-01-07, 2025-01-14, 2025-01-21, 2025-01-28, 2025-02-04, 2025-02-11</t>
  </si>
  <si>
    <t>c1b4fd44-d29c-492a-afb2-d33c171aa532</t>
  </si>
  <si>
    <t>daniel zamora</t>
  </si>
  <si>
    <t>natasha60@yahoo.com</t>
  </si>
  <si>
    <t>2023-07-18, 2023-07-25, 2023-08-01, 2023-08-08</t>
  </si>
  <si>
    <t>7ddf8484-f0c4-4ecb-878a-7900d2bd16ec</t>
  </si>
  <si>
    <t>jason randall</t>
  </si>
  <si>
    <t>hollowayholly@hotmail.com</t>
  </si>
  <si>
    <t>2022-08-09, 2022-08-16, 2022-08-23</t>
  </si>
  <si>
    <t>baaeebf8-9a24-4525-abbe-2bd65a1341e7</t>
  </si>
  <si>
    <t>nancy chavez</t>
  </si>
  <si>
    <t>davidsonisaiah@gibbs-taylor.biz</t>
  </si>
  <si>
    <t>19-07-2022</t>
  </si>
  <si>
    <t>93683dd6-5050-427e-8e38-5d03a0d80651</t>
  </si>
  <si>
    <t>christopher black</t>
  </si>
  <si>
    <t>usparks@mendoza-moss.com</t>
  </si>
  <si>
    <t>2023-02-11, 2023-02-18, 2023-02-25, 2023-03-04, 2023-03-11, 2023-03-18, 2023-03-25, 2023-04-01</t>
  </si>
  <si>
    <t>53dc4fae-d3a7-4b83-97d0-2f8faffdd43b</t>
  </si>
  <si>
    <t>CHRISTINA PERRY</t>
  </si>
  <si>
    <t>kwalter@smith.net</t>
  </si>
  <si>
    <t>2023-01-01, 2023-01-08, 2023-01-15, 2023-01-22, 2023-01-29, 2023-02-05</t>
  </si>
  <si>
    <t>e826fac7-3a8c-4ed5-a06a-a68a9cac3d21</t>
  </si>
  <si>
    <t>joel green</t>
  </si>
  <si>
    <t>moralesroy@hernandez-rubio.com</t>
  </si>
  <si>
    <t>2025-01-06, 2025-01-13, 2025-01-20, 2025-01-27, 2025-02-03, 2025-02-10, 2025-02-17, 2025-02-24</t>
  </si>
  <si>
    <t>869d4cb7-b7f5-455a-839d-08d01e0aaf12</t>
  </si>
  <si>
    <t>thomas chavez</t>
  </si>
  <si>
    <t>walkerjames@yahoo.com</t>
  </si>
  <si>
    <t>2024-09-04, 2024-09-11, 2024-09-18, 2024-09-25, 2024-10-02, 2024-10-09, 2024-10-16, 2024-10-23</t>
  </si>
  <si>
    <t>2154be4a-61cf-41fb-be81-cdfabf16e3e9</t>
  </si>
  <si>
    <t>daniel lewis</t>
  </si>
  <si>
    <t>robertortiz@gmail.com</t>
  </si>
  <si>
    <t>2023-06-28, 2023-07-05, 2023-07-12, 2023-07-19, 2023-07-26, 2023-08-02</t>
  </si>
  <si>
    <t>3c48c936-4305-4a31-b9e3-89054a4a15ea</t>
  </si>
  <si>
    <t>susan wood</t>
  </si>
  <si>
    <t>smithdean@yahoo.com</t>
  </si>
  <si>
    <t>21-05-2022</t>
  </si>
  <si>
    <t>b69d2f48-3653-4588-afd5-8fe765c62548</t>
  </si>
  <si>
    <t>jay harper</t>
  </si>
  <si>
    <t>hawkinsbrett@ruiz.org</t>
  </si>
  <si>
    <t>b5a61d61-9925-4c9b-8d60-2879f79b1079</t>
  </si>
  <si>
    <t>AMBER KING</t>
  </si>
  <si>
    <t>tiffany52@hotmail.com</t>
  </si>
  <si>
    <t>2025-02-12, 2025-02-19</t>
  </si>
  <si>
    <t>2b7c5ee3-42a2-4950-adeb-5687949aca46</t>
  </si>
  <si>
    <t>tara humphrey</t>
  </si>
  <si>
    <t>stewartalyssa@green.com</t>
  </si>
  <si>
    <t>2022-06-09, 2022-06-16, 2022-06-23</t>
  </si>
  <si>
    <t>d5b5b7b0-f92e-4fa1-9f26-64247fcc4456</t>
  </si>
  <si>
    <t>isaac jordan</t>
  </si>
  <si>
    <t>zachary62@yahoo.com</t>
  </si>
  <si>
    <t>2022-10-22, 2022-10-29, 2022-11-05, 2022-11-12, 2022-11-19, 2022-11-26, 2022-12-03</t>
  </si>
  <si>
    <t>8e40b294-26b9-4955-b336-85dac3803b4a</t>
  </si>
  <si>
    <t>mary yates</t>
  </si>
  <si>
    <t>edgarhall@harrison.info</t>
  </si>
  <si>
    <t>ed5d6510-e52a-43e6-bec5-8a891db3c075</t>
  </si>
  <si>
    <t>jeremy zhang md</t>
  </si>
  <si>
    <t>urodriguez@gmail.com</t>
  </si>
  <si>
    <t>2024-02-13, 2024-02-20, 2024-02-27, 2024-03-05, 2024-03-12, 2024-03-19, 2024-03-26</t>
  </si>
  <si>
    <t>de4097c3-3427-4466-97f4-b85d597faaf0</t>
  </si>
  <si>
    <t>ruben brady</t>
  </si>
  <si>
    <t>brandybonilla@hotmail.com</t>
  </si>
  <si>
    <t>2022-10-16, 2022-10-23, 2022-10-30, 2022-11-06, 2022-11-13, 2022-11-20, 2022-11-27</t>
  </si>
  <si>
    <t>13ab7d2c-eba0-430c-aa9a-6f4b2e39c29a</t>
  </si>
  <si>
    <t>jonathan davis</t>
  </si>
  <si>
    <t>mitchelltina@gmail.com</t>
  </si>
  <si>
    <t>2024-09-09, 2024-09-16, 2024-09-23, 2024-09-30, 2024-10-07, 2024-10-14</t>
  </si>
  <si>
    <t>f38324f7-eddc-4c0a-9720-6c665fa18468</t>
  </si>
  <si>
    <t>frank johnson</t>
  </si>
  <si>
    <t>rgibson@hotmail.com</t>
  </si>
  <si>
    <t>0b398e89-f842-4163-9455-5290017c75c5</t>
  </si>
  <si>
    <t>tiffany nguyen</t>
  </si>
  <si>
    <t>23-01-2025</t>
  </si>
  <si>
    <t>0c767092-dcff-47b6-b61c-2373211b20eb</t>
  </si>
  <si>
    <t>diane yates</t>
  </si>
  <si>
    <t>qdavis@allen.com</t>
  </si>
  <si>
    <t>2024-09-07, 2024-09-14, 2024-09-21, 2024-09-28</t>
  </si>
  <si>
    <t>6374ed14-29b6-4b14-b54e-15ecda33562c</t>
  </si>
  <si>
    <t>dominique goodwin</t>
  </si>
  <si>
    <t>evanslaurie@drake.com</t>
  </si>
  <si>
    <t>2022-05-08, 2022-05-15, 2022-05-22, 2022-05-29</t>
  </si>
  <si>
    <t>5e11a680-d501-4ada-989a-c35daa5f89ca</t>
  </si>
  <si>
    <t>katherine mcclure</t>
  </si>
  <si>
    <t>anna61@yahoo.com</t>
  </si>
  <si>
    <t>2023-10-16, 2023-10-23, 2023-10-30, 2023-11-06, 2023-11-13, 2023-11-20, 2023-11-27</t>
  </si>
  <si>
    <t>a174a785-6f21-40cb-afb5-04019d267076</t>
  </si>
  <si>
    <t>andrew peterson</t>
  </si>
  <si>
    <t>deborahreeves@yahoo.com</t>
  </si>
  <si>
    <t>2023-10-31, 2023-11-07, 2023-11-14</t>
  </si>
  <si>
    <t>157f108b-8651-4886-a5b0-9024a12ad119</t>
  </si>
  <si>
    <t>JEFFREY SOLOMON</t>
  </si>
  <si>
    <t>edgar24@gmail.com</t>
  </si>
  <si>
    <t>2024-07-04, 2024-07-11, 2024-07-18, 2024-07-25, 2024-08-01, 2024-08-08, 2024-08-15</t>
  </si>
  <si>
    <t>0c37eb80-918b-4e18-8ba4-af256d7fd4e2</t>
  </si>
  <si>
    <t>SYLVIA PALMER</t>
  </si>
  <si>
    <t>qdavis@hotmail.com</t>
  </si>
  <si>
    <t>27-06-2024</t>
  </si>
  <si>
    <t>2024-06-27, 2024-07-04, 2024-07-11, 2024-07-18, 2024-07-25, 2024-08-01, 2024-08-08</t>
  </si>
  <si>
    <t>413e84bd-5aff-4594-80dd-8895d0154898</t>
  </si>
  <si>
    <t>patricia smith</t>
  </si>
  <si>
    <t>kristicameron@gmail.com</t>
  </si>
  <si>
    <t>2024-09-06, 2024-09-13, 2024-09-20, 2024-09-27, 2024-10-04</t>
  </si>
  <si>
    <t>4c32a0a2-b452-4738-a073-09de6a8f7654</t>
  </si>
  <si>
    <t>nathaniel todd</t>
  </si>
  <si>
    <t>matthew23@gmail.com</t>
  </si>
  <si>
    <t>2022-08-14, 2022-08-21, 2022-08-28, 2022-09-04, 2022-09-11, 2022-09-18</t>
  </si>
  <si>
    <t>4262a48c-9aa3-4580-bb70-8dd7bf3d5023</t>
  </si>
  <si>
    <t>ashley ferguson</t>
  </si>
  <si>
    <t>kwilson@woods.org</t>
  </si>
  <si>
    <t>2022-08-06, 2022-08-13</t>
  </si>
  <si>
    <t>f952f1e8-d029-433c-9e55-f98d4d844cb6</t>
  </si>
  <si>
    <t>melissa mccarty</t>
  </si>
  <si>
    <t>christopher20@gmail.com</t>
  </si>
  <si>
    <t>2024-05-02, 2024-05-09, 2024-05-16, 2024-05-23</t>
  </si>
  <si>
    <t>f87405ca-b22f-4e91-8411-0e35d0e34b2b</t>
  </si>
  <si>
    <t>ALEXANDER CASTILLO</t>
  </si>
  <si>
    <t>ryangarrett@lee.info</t>
  </si>
  <si>
    <t>27-09-2022</t>
  </si>
  <si>
    <t>2022-09-27, 2022-10-04</t>
  </si>
  <si>
    <t>e704b115-2a85-43b1-9dd0-3ecd0595c9a3</t>
  </si>
  <si>
    <t>MICHAEL MAYNARD</t>
  </si>
  <si>
    <t>heathbrenda@gmail.com</t>
  </si>
  <si>
    <t>2024-01-22, 2024-01-29, 2024-02-05, 2024-02-12, 2024-02-19</t>
  </si>
  <si>
    <t>6448a3d5-d576-4137-9456-e29d91c631cf</t>
  </si>
  <si>
    <t>adam mccoy</t>
  </si>
  <si>
    <t>vallison@hotmail.com</t>
  </si>
  <si>
    <t>2023-07-09, 2023-07-16, 2023-07-23, 2023-07-30, 2023-08-06, 2023-08-13</t>
  </si>
  <si>
    <t>4a703330-ffc0-4136-8de6-e6b3bb27f6bc</t>
  </si>
  <si>
    <t>james palmer</t>
  </si>
  <si>
    <t>jenniferrice@yahoo.com</t>
  </si>
  <si>
    <t>2024-10-18, 2024-10-25, 2024-11-01, 2024-11-08</t>
  </si>
  <si>
    <t>4491be40-1042-4a8e-8da2-2a3950db8e34</t>
  </si>
  <si>
    <t>jennifer kennedy</t>
  </si>
  <si>
    <t>shane60@gmail.com</t>
  </si>
  <si>
    <t>18-09-2024</t>
  </si>
  <si>
    <t>580661f1-7820-4426-b134-1ab8b9e8d781</t>
  </si>
  <si>
    <t>JORDAN MATTHEWS</t>
  </si>
  <si>
    <t>sanderson@hotmail.com</t>
  </si>
  <si>
    <t>2023-06-28, 2023-07-05, 2023-07-12, 2023-07-19, 2023-07-26, 2023-08-02, 2023-08-09</t>
  </si>
  <si>
    <t>f0f24933-d544-479b-aab7-6840f5b5ac71</t>
  </si>
  <si>
    <t>morgan flynn</t>
  </si>
  <si>
    <t>justincurry@webb.info</t>
  </si>
  <si>
    <t>fe678797-f16c-484e-aa7d-f379cb21aa80</t>
  </si>
  <si>
    <t>DAVID HAWKINS DVM</t>
  </si>
  <si>
    <t>michael22@hotmail.com</t>
  </si>
  <si>
    <t>2022-09-10, 2022-09-17, 2022-09-24, 2022-10-01</t>
  </si>
  <si>
    <t>6e3d2494-5675-48f3-904c-6350ce8b76a2</t>
  </si>
  <si>
    <t>darrell hoffman</t>
  </si>
  <si>
    <t>victoria50@hotmail.com</t>
  </si>
  <si>
    <t>2022-05-26, 2022-06-02, 2022-06-09, 2022-06-16, 2022-06-23, 2022-06-30, 2022-07-07</t>
  </si>
  <si>
    <t>b0acb9ba-da78-44c5-a6b3-a03ae57513a5</t>
  </si>
  <si>
    <t>lindsey garcia</t>
  </si>
  <si>
    <t>wlloyd@villegas.org</t>
  </si>
  <si>
    <t>2023-05-27, 2023-06-03, 2023-06-10, 2023-06-17, 2023-06-24, 2023-07-01</t>
  </si>
  <si>
    <t>81dec9db-0abe-4257-8ffe-38c9d2d81eb3</t>
  </si>
  <si>
    <t>mark pitts</t>
  </si>
  <si>
    <t>jessicaerickson@hotmail.com</t>
  </si>
  <si>
    <t>2022-09-12, 2022-09-19</t>
  </si>
  <si>
    <t>277fecc6-196b-48f1-9ed8-9c47bb88854e</t>
  </si>
  <si>
    <t>FELICIA TAYLOR</t>
  </si>
  <si>
    <t>xmontes@sanchez.com</t>
  </si>
  <si>
    <t>20-05-2024</t>
  </si>
  <si>
    <t>441999b6-15d1-42f8-abd7-d03881492b7a</t>
  </si>
  <si>
    <t>PAUL WARD</t>
  </si>
  <si>
    <t>karenmoreno@taylor.biz</t>
  </si>
  <si>
    <t>2023-06-26, 2023-07-03, 2023-07-10, 2023-07-17</t>
  </si>
  <si>
    <t>da36433a-f3ab-4246-b570-d730e5e79add</t>
  </si>
  <si>
    <t>melanie acevedo</t>
  </si>
  <si>
    <t>kaylarobbins@hotmail.com</t>
  </si>
  <si>
    <t>2024-01-02, 2024-01-09, 2024-01-16, 2024-01-23, 2024-01-30, 2024-02-06, 2024-02-13, 2024-02-20</t>
  </si>
  <si>
    <t>66d29752-5097-4843-969b-111f15b4066e</t>
  </si>
  <si>
    <t>mrs. amy malone</t>
  </si>
  <si>
    <t>24-07-2022</t>
  </si>
  <si>
    <t>2022-07-24, 2022-07-31, 2022-08-07, 2022-08-14</t>
  </si>
  <si>
    <t>e70af828-26a4-4bef-a437-199cec2a322b</t>
  </si>
  <si>
    <t>vanessa whitney</t>
  </si>
  <si>
    <t>rmorales@hotmail.com</t>
  </si>
  <si>
    <t>2025-01-26, 2025-02-02, 2025-02-09, 2025-02-16, 2025-02-23, 2025-03-02, 2025-03-09</t>
  </si>
  <si>
    <t>be216c79-b8b7-41b0-8de8-1d1edfa0bc17</t>
  </si>
  <si>
    <t>gregory wilcox</t>
  </si>
  <si>
    <t>ngriffin@weber.com</t>
  </si>
  <si>
    <t>14-08-2024</t>
  </si>
  <si>
    <t>e1878e93-3281-4976-8680-a2e5678daf97</t>
  </si>
  <si>
    <t>andrew cook</t>
  </si>
  <si>
    <t>jason88@boyd-sherman.com</t>
  </si>
  <si>
    <t>2025-01-08, 2025-01-15</t>
  </si>
  <si>
    <t>8a39068b-cbed-4473-a3eb-f7c10723e11e</t>
  </si>
  <si>
    <t>daisy schroeder</t>
  </si>
  <si>
    <t>dennismckenzie@yahoo.com</t>
  </si>
  <si>
    <t>2022-05-13, 2022-05-20, 2022-05-27, 2022-06-03</t>
  </si>
  <si>
    <t>0c3838a5-1fb2-45c4-9abe-c3fa81eb7abb</t>
  </si>
  <si>
    <t>teresa west</t>
  </si>
  <si>
    <t>pmorgan@zhang.net</t>
  </si>
  <si>
    <t>48d75165-4c98-4a1b-99af-b1d13bdccce0</t>
  </si>
  <si>
    <t>robin armstrong</t>
  </si>
  <si>
    <t>pstone@murphy.com</t>
  </si>
  <si>
    <t>2024-10-18, 2024-10-25, 2024-11-01, 2024-11-08, 2024-11-15, 2024-11-22, 2024-11-29</t>
  </si>
  <si>
    <t>b62e110a-2584-4385-9915-bb1c744da236</t>
  </si>
  <si>
    <t>jason davis</t>
  </si>
  <si>
    <t>thomasgriffin@yahoo.com</t>
  </si>
  <si>
    <t>2023-10-20, 2023-10-27, 2023-11-03, 2023-11-10, 2023-11-17, 2023-11-24</t>
  </si>
  <si>
    <t>8f188e72-9696-4c6c-a71a-dde586b8afef</t>
  </si>
  <si>
    <t>JENNIFER BAKER</t>
  </si>
  <si>
    <t>sbarajas@yahoo.com</t>
  </si>
  <si>
    <t>817b2f21-24f3-4f14-a9b0-1062d2e55512</t>
  </si>
  <si>
    <t>michael anderson</t>
  </si>
  <si>
    <t>stanleyjohnson@raymond.com</t>
  </si>
  <si>
    <t>2024-01-14, 2024-01-21, 2024-01-28, 2024-02-04, 2024-02-11, 2024-02-18</t>
  </si>
  <si>
    <t>1ef11a27-1c3e-4da4-a89b-4fb2da317fd7</t>
  </si>
  <si>
    <t>dylan mills</t>
  </si>
  <si>
    <t>kevin54@tucker-moody.com</t>
  </si>
  <si>
    <t>2024-10-27, 2024-11-03, 2024-11-10, 2024-11-17</t>
  </si>
  <si>
    <t>e4edc295-efd3-4a6d-8c74-65186bf843df</t>
  </si>
  <si>
    <t>drew white</t>
  </si>
  <si>
    <t>martinezmichael@gmail.com</t>
  </si>
  <si>
    <t>2024-10-08, 2024-10-15, 2024-10-22, 2024-10-29, 2024-11-05, 2024-11-12, 2024-11-19</t>
  </si>
  <si>
    <t>90d5e87e-4f48-4f45-92b4-002c7b2e60e1</t>
  </si>
  <si>
    <t>george bennett</t>
  </si>
  <si>
    <t>2024-01-15, 2024-01-22, 2024-01-29, 2024-02-05, 2024-02-12, 2024-02-19</t>
  </si>
  <si>
    <t>81383447-2376-424f-830f-3c6921ffcf72</t>
  </si>
  <si>
    <t>PAMELA CONTRERAS</t>
  </si>
  <si>
    <t>2024-11-02, 2024-11-09, 2024-11-16, 2024-11-23</t>
  </si>
  <si>
    <t>16dd58af-5341-4fe2-ba55-4e35ddc8d27b</t>
  </si>
  <si>
    <t>MARY ORTIZ</t>
  </si>
  <si>
    <t>cmorgan@wu.com</t>
  </si>
  <si>
    <t>2022-11-24, 2022-12-01, 2022-12-08, 2022-12-15</t>
  </si>
  <si>
    <t>c5874243-cbd1-4fdc-a14e-d649926e402e</t>
  </si>
  <si>
    <t>kristina martinez</t>
  </si>
  <si>
    <t>stephanieweaver@bernard.com</t>
  </si>
  <si>
    <t>2022-05-15, 2022-05-22, 2022-05-29, 2022-06-05</t>
  </si>
  <si>
    <t>1ecae0c0-04c7-4b2a-a598-e5c280acefb5</t>
  </si>
  <si>
    <t>kim rivers</t>
  </si>
  <si>
    <t>johnthornton@hotmail.com</t>
  </si>
  <si>
    <t>9b5ad674-8896-44b2-8e92-605915ab7cd2</t>
  </si>
  <si>
    <t>kevin henry</t>
  </si>
  <si>
    <t>samuel60@stewart.com</t>
  </si>
  <si>
    <t>2ec36411-24df-4dcc-890c-cf972b0c456b</t>
  </si>
  <si>
    <t>brandon parker</t>
  </si>
  <si>
    <t>brianwoodward@gmail.com</t>
  </si>
  <si>
    <t>2024-07-26, 2024-08-02, 2024-08-09</t>
  </si>
  <si>
    <t>63d316c1-4c4b-42aa-8ef9-f903b69adeac</t>
  </si>
  <si>
    <t>charles orozco</t>
  </si>
  <si>
    <t>hdavid@gmail.com</t>
  </si>
  <si>
    <t>2022-05-19, 2022-05-26, 2022-06-02, 2022-06-09, 2022-06-16, 2022-06-23, 2022-06-30, 2022-07-07</t>
  </si>
  <si>
    <t>9606006a-98d5-4b7e-808b-d6313d57ee27</t>
  </si>
  <si>
    <t>jordan gordon</t>
  </si>
  <si>
    <t>bruce78@jones-johnson.com</t>
  </si>
  <si>
    <t>2023-02-15, 2023-02-22, 2023-03-01, 2023-03-08, 2023-03-15</t>
  </si>
  <si>
    <t>960f69fc-f6a6-46ee-8dd7-e05244e7a702</t>
  </si>
  <si>
    <t>danielle peters</t>
  </si>
  <si>
    <t>ashley71@mason.net</t>
  </si>
  <si>
    <t>f3de6bc2-899b-4f4b-bec2-e72ac832b3f0</t>
  </si>
  <si>
    <t>thomas hayes</t>
  </si>
  <si>
    <t>nwoodward@delgado-jackson.com</t>
  </si>
  <si>
    <t>2022-12-24, 2022-12-31, 2023-01-07, 2023-01-14, 2023-01-21</t>
  </si>
  <si>
    <t>d6e8aad3-403a-423a-990d-dc7345f72e6c</t>
  </si>
  <si>
    <t>yvonne kirby</t>
  </si>
  <si>
    <t>brandon89@turner.com</t>
  </si>
  <si>
    <t>2024-04-25, 2024-05-02, 2024-05-09, 2024-05-16</t>
  </si>
  <si>
    <t>478a943a-ffb2-4fe1-8e75-69bcb99e6f7b</t>
  </si>
  <si>
    <t>christine wagner</t>
  </si>
  <si>
    <t>cynthia74@gmail.com</t>
  </si>
  <si>
    <t>35eb728f-5775-4d0f-9256-e276fba75385</t>
  </si>
  <si>
    <t>kyle smith</t>
  </si>
  <si>
    <t>lynchadam@chambers.net</t>
  </si>
  <si>
    <t>2025-01-29, 2025-02-05, 2025-02-12, 2025-02-19</t>
  </si>
  <si>
    <t>648df4c0-c330-4c14-bd2d-93e8b40b7288</t>
  </si>
  <si>
    <t>rachel banks</t>
  </si>
  <si>
    <t>staffordlisa@chambers-gomez.biz</t>
  </si>
  <si>
    <t>2025-03-23, 2025-03-30, 2025-04-06, 2025-04-13, 2025-04-20, 2025-04-27, 2025-05-04</t>
  </si>
  <si>
    <t>d6d24227-2d5c-4a61-a302-1daa5ba3a49c</t>
  </si>
  <si>
    <t>melissa smith</t>
  </si>
  <si>
    <t>sharon70@gmail.com</t>
  </si>
  <si>
    <t>ebe0c8c1-ae38-4f46-87f8-6de4c227e0f2</t>
  </si>
  <si>
    <t>cheryl velasquez</t>
  </si>
  <si>
    <t>jimsnyder@yahoo.com</t>
  </si>
  <si>
    <t>2022-05-07, 2022-05-14, 2022-05-21, 2022-05-28, 2022-06-04, 2022-06-11</t>
  </si>
  <si>
    <t>b43c7851-e78d-4f32-be2a-9f7347dfa607</t>
  </si>
  <si>
    <t>CHRISTINE GONZALEZ</t>
  </si>
  <si>
    <t>kaneashley@yahoo.com</t>
  </si>
  <si>
    <t>bd22f7fc-a8eb-4ba6-b19a-ed6a8d41cb4c</t>
  </si>
  <si>
    <t>melanie cunningham</t>
  </si>
  <si>
    <t>julieanderson@foley.com</t>
  </si>
  <si>
    <t>2022-12-27, 2023-01-03</t>
  </si>
  <si>
    <t>fdf0861e-05eb-474d-ad90-0360d900b745</t>
  </si>
  <si>
    <t>MEGAN MENDEZ</t>
  </si>
  <si>
    <t>pacedanielle@hotmail.com</t>
  </si>
  <si>
    <t>2023-01-30, 2023-02-06</t>
  </si>
  <si>
    <t>6ebb7a17-52b0-447b-b052-8803da968e7d</t>
  </si>
  <si>
    <t>jennifer martinez</t>
  </si>
  <si>
    <t>wward@gmail.com</t>
  </si>
  <si>
    <t>2022-06-26, 2022-07-03, 2022-07-10, 2022-07-17, 2022-07-24</t>
  </si>
  <si>
    <t>6b893000-eb1b-447f-8726-9e7f0c05e009</t>
  </si>
  <si>
    <t>EMILY MYERS</t>
  </si>
  <si>
    <t>beardlindsey@hotmail.com</t>
  </si>
  <si>
    <t>2023-03-21, 2023-03-28, 2023-04-04, 2023-04-11, 2023-04-18, 2023-04-25, 2023-05-02, 2023-05-09</t>
  </si>
  <si>
    <t>f530c98d-6c7f-4bef-b086-47e1fa647958</t>
  </si>
  <si>
    <t>david martin</t>
  </si>
  <si>
    <t>garrettcolin@yahoo.com</t>
  </si>
  <si>
    <t>2023-03-23, 2023-03-30, 2023-04-06, 2023-04-13, 2023-04-20, 2023-04-27, 2023-05-04</t>
  </si>
  <si>
    <t>cc16ab4e-97b0-48b0-8626-67fccedcf5bf</t>
  </si>
  <si>
    <t>felicia wright</t>
  </si>
  <si>
    <t>vallen@underwood.com</t>
  </si>
  <si>
    <t>2024-02-07, 2024-02-14, 2024-02-21, 2024-02-28, 2024-03-06</t>
  </si>
  <si>
    <t>704377c3-9e9b-49e2-9997-496bc6978476</t>
  </si>
  <si>
    <t>lori riley</t>
  </si>
  <si>
    <t>rangelnicholas@brown.info</t>
  </si>
  <si>
    <t>2022-07-29, 2022-08-05, 2022-08-12, 2022-08-19, 2022-08-26, 2022-09-02</t>
  </si>
  <si>
    <t>6e8d0018-a04d-4c84-9c59-5e034d2d3557</t>
  </si>
  <si>
    <t>michael hansen</t>
  </si>
  <si>
    <t>nmorales@yahoo.com</t>
  </si>
  <si>
    <t>a8e3ac9b-c997-42fa-997d-cd9add554b7d</t>
  </si>
  <si>
    <t>JODY MARSHALL</t>
  </si>
  <si>
    <t>morgansharon@gmail.com</t>
  </si>
  <si>
    <t>2023-04-04, 2023-04-11, 2023-04-18, 2023-04-25, 2023-05-02, 2023-05-09, 2023-05-16, 2023-05-23</t>
  </si>
  <si>
    <t>314674a6-967a-4fbb-9404-801d84681060</t>
  </si>
  <si>
    <t>adam reeves</t>
  </si>
  <si>
    <t>danascott@olson-oliver.com</t>
  </si>
  <si>
    <t>2024-03-12, 2024-03-19, 2024-03-26, 2024-04-02, 2024-04-09</t>
  </si>
  <si>
    <t>0f7c59ad-0b48-4935-8c09-de64233e84ac</t>
  </si>
  <si>
    <t>kevin palmer</t>
  </si>
  <si>
    <t>brandy82@gmail.com</t>
  </si>
  <si>
    <t>2023-04-19, 2023-04-26, 2023-05-03, 2023-05-10, 2023-05-17</t>
  </si>
  <si>
    <t>4a832ab5-57c8-40b0-9a73-cd2f4f05495e</t>
  </si>
  <si>
    <t>adam willis</t>
  </si>
  <si>
    <t>younglori@trevino.com</t>
  </si>
  <si>
    <t>2024-04-05, 2024-04-12, 2024-04-19, 2024-04-26, 2024-05-03, 2024-05-10</t>
  </si>
  <si>
    <t>1182e8e7-c907-4c97-b385-db3be893786d</t>
  </si>
  <si>
    <t>michael neal</t>
  </si>
  <si>
    <t>melissa95@hotmail.com</t>
  </si>
  <si>
    <t>2024-12-27, 2025-01-03, 2025-01-10, 2025-01-17</t>
  </si>
  <si>
    <t>1ad74fd4-298b-4e78-9420-60ce6b2f9d47</t>
  </si>
  <si>
    <t>richard williams</t>
  </si>
  <si>
    <t>fowlerheather@hanson-allen.com</t>
  </si>
  <si>
    <t>2023-07-16, 2023-07-23, 2023-07-30, 2023-08-06, 2023-08-13, 2023-08-20, 2023-08-27</t>
  </si>
  <si>
    <t>d37a430a-2f2a-45e8-a67a-e277348f9ce0</t>
  </si>
  <si>
    <t>heidi jones md</t>
  </si>
  <si>
    <t>kellylee@durham.com</t>
  </si>
  <si>
    <t>2023-11-11, 2023-11-18, 2023-11-25</t>
  </si>
  <si>
    <t>e2a868e7-380c-4838-ac94-df5a48bad5fb</t>
  </si>
  <si>
    <t>christopher abbott</t>
  </si>
  <si>
    <t>jamesthompson@lozano-smith.com</t>
  </si>
  <si>
    <t>2023-02-08, 2023-02-15, 2023-02-22, 2023-03-01, 2023-03-08, 2023-03-15, 2023-03-22, 2023-03-29</t>
  </si>
  <si>
    <t>1c687714-e290-4d96-8993-f819a7a581e8</t>
  </si>
  <si>
    <t>DANIEL BRYANT</t>
  </si>
  <si>
    <t>donna89@yahoo.com</t>
  </si>
  <si>
    <t>2023-11-16, 2023-11-23</t>
  </si>
  <si>
    <t>ec9573e9-e1fa-4466-a4f9-82ec1e559419</t>
  </si>
  <si>
    <t>colton patel</t>
  </si>
  <si>
    <t>carol30@hotmail.com</t>
  </si>
  <si>
    <t>17-07-2022</t>
  </si>
  <si>
    <t>4b4f8f74-8914-441c-9abc-47ce3068ffdd</t>
  </si>
  <si>
    <t>erin brown</t>
  </si>
  <si>
    <t>melissaschmitt@yahoo.com</t>
  </si>
  <si>
    <t>2024-10-05, 2024-10-12, 2024-10-19, 2024-10-26</t>
  </si>
  <si>
    <t>787da6d7-c8df-41f1-94d7-2283ba303cce</t>
  </si>
  <si>
    <t>LISA JACKSON</t>
  </si>
  <si>
    <t>victor72@yahoo.com</t>
  </si>
  <si>
    <t>26-02-2023</t>
  </si>
  <si>
    <t>b734d467-7bb9-4b07-b1cb-62d0868592d2</t>
  </si>
  <si>
    <t>kara perkins</t>
  </si>
  <si>
    <t>jeffreyharris@foster.biz</t>
  </si>
  <si>
    <t>2023-11-08, 2023-11-15</t>
  </si>
  <si>
    <t>d7a998ea-ef7c-4b39-a83e-deec92455468</t>
  </si>
  <si>
    <t>joshua taylor</t>
  </si>
  <si>
    <t>sean53@williams.info</t>
  </si>
  <si>
    <t>2023-11-13, 2023-11-20, 2023-11-27, 2023-12-04, 2023-12-11, 2023-12-18, 2023-12-25, 2024-01-01</t>
  </si>
  <si>
    <t>cdf40137-5e15-433b-a8b1-211a6eb8b0e2</t>
  </si>
  <si>
    <t>mr. alexander alexander iii</t>
  </si>
  <si>
    <t>rachel48@payne.com</t>
  </si>
  <si>
    <t>2024-04-02, 2024-04-09, 2024-04-16, 2024-04-23, 2024-04-30, 2024-05-07, 2024-05-14</t>
  </si>
  <si>
    <t>09cccf1a-5c38-4c2a-9243-e8381e5bc68b</t>
  </si>
  <si>
    <t>FELICIA LEONARD</t>
  </si>
  <si>
    <t>julie43@hotmail.com</t>
  </si>
  <si>
    <t>2022-09-06, 2022-09-13, 2022-09-20, 2022-09-27, 2022-10-04, 2022-10-11, 2022-10-18, 2022-10-25</t>
  </si>
  <si>
    <t>dae13a7f-ff97-49f7-a34b-20fdff7ca58f</t>
  </si>
  <si>
    <t>nancy gaines</t>
  </si>
  <si>
    <t>juan56@underwood-todd.com</t>
  </si>
  <si>
    <t>2024-10-31, 2024-11-07, 2024-11-14, 2024-11-21, 2024-11-28, 2024-12-05, 2024-12-12</t>
  </si>
  <si>
    <t>c2db6aab-fd41-4a05-833c-d4f2a7728290</t>
  </si>
  <si>
    <t>sharon perez</t>
  </si>
  <si>
    <t>lhall@todd.com</t>
  </si>
  <si>
    <t>2024-04-09, 2024-04-16, 2024-04-23, 2024-04-30, 2024-05-07, 2024-05-14, 2024-05-21</t>
  </si>
  <si>
    <t>c5274f35-6dc5-4044-b016-b62bd8867545</t>
  </si>
  <si>
    <t>jennifer gonzales</t>
  </si>
  <si>
    <t>2023-08-06, 2023-08-13, 2023-08-20, 2023-08-27, 2023-09-03, 2023-09-10, 2023-09-17, 2023-09-24</t>
  </si>
  <si>
    <t>93d797e7-2392-4df4-9fec-59ac07b4e684</t>
  </si>
  <si>
    <t>elizabeth rojas</t>
  </si>
  <si>
    <t>matthew66@hotmail.com</t>
  </si>
  <si>
    <t>2024-08-21, 2024-08-28, 2024-09-04</t>
  </si>
  <si>
    <t>89a06a99-b0c5-43d5-8755-2c99c34995ff</t>
  </si>
  <si>
    <t>kevin bradley</t>
  </si>
  <si>
    <t>ericcisneros@carroll-lloyd.org</t>
  </si>
  <si>
    <t>2023-12-24, 2023-12-31, 2024-01-07, 2024-01-14, 2024-01-21</t>
  </si>
  <si>
    <t>619e17ff-faec-4f42-a411-18ecddf01771</t>
  </si>
  <si>
    <t>james ferguson</t>
  </si>
  <si>
    <t>krodriguez@fowler-torres.com</t>
  </si>
  <si>
    <t>2024-09-14, 2024-09-21, 2024-09-28, 2024-10-05</t>
  </si>
  <si>
    <t>0835075f-2d79-4f3e-8d8b-4c60acc54c62</t>
  </si>
  <si>
    <t>LINDSEY JOHNSON</t>
  </si>
  <si>
    <t>pruittpaul@hall.net</t>
  </si>
  <si>
    <t>2022-09-16, 2022-09-23, 2022-09-30, 2022-10-07, 2022-10-14, 2022-10-21, 2022-10-28</t>
  </si>
  <si>
    <t>84be7e1c-5e5f-4eaa-8eb5-40787464d6f2</t>
  </si>
  <si>
    <t>gabriel browning</t>
  </si>
  <si>
    <t>veronicaanderson@yahoo.com</t>
  </si>
  <si>
    <t>2022-07-24, 2022-07-31, 2022-08-07, 2022-08-14, 2022-08-21</t>
  </si>
  <si>
    <t>f48138b5-6395-49c4-919a-7396be3e9a90</t>
  </si>
  <si>
    <t>CHRISTINE HARRELL</t>
  </si>
  <si>
    <t>qmeyers@yahoo.com</t>
  </si>
  <si>
    <t>2024-04-18, 2024-04-25, 2024-05-02, 2024-05-09</t>
  </si>
  <si>
    <t>4f70b88b-f06c-49d9-9339-304b9a8cb3d7</t>
  </si>
  <si>
    <t>kathryn cohen</t>
  </si>
  <si>
    <t>adrianthomas@gmail.com</t>
  </si>
  <si>
    <t>2022-12-09, 2022-12-16, 2022-12-23, 2022-12-30, 2023-01-06</t>
  </si>
  <si>
    <t>869e8836-3f30-4a12-8ebc-a2649ad75b94</t>
  </si>
  <si>
    <t>keith henry</t>
  </si>
  <si>
    <t>mclaughlinkeith@yahoo.com</t>
  </si>
  <si>
    <t>18-12-2023</t>
  </si>
  <si>
    <t>cad73d36-b62e-4f02-97b7-3862b347f1d4</t>
  </si>
  <si>
    <t>louis patrick</t>
  </si>
  <si>
    <t>nwright@reynolds.org</t>
  </si>
  <si>
    <t>2023-09-27, 2023-10-04, 2023-10-11, 2023-10-18, 2023-10-25, 2023-11-01, 2023-11-08, 2023-11-15</t>
  </si>
  <si>
    <t>0b2d983a-f218-4128-b2da-61f764bfc76d</t>
  </si>
  <si>
    <t>seth hill</t>
  </si>
  <si>
    <t>wolfejennifer@gmail.com</t>
  </si>
  <si>
    <t>2022-09-02, 2022-09-09, 2022-09-16, 2022-09-23, 2022-09-30, 2022-10-07, 2022-10-14, 2022-10-21</t>
  </si>
  <si>
    <t>8d85ddf1-c309-4f28-be0d-40b469498671</t>
  </si>
  <si>
    <t>jacob campos</t>
  </si>
  <si>
    <t>qhayes@gmail.com</t>
  </si>
  <si>
    <t>2024-05-12, 2024-05-19, 2024-05-26, 2024-06-02</t>
  </si>
  <si>
    <t>12bcf090-06d6-4ba7-b650-9bcd0b6d35d7</t>
  </si>
  <si>
    <t>megan murray</t>
  </si>
  <si>
    <t>zfoley@gmail.com</t>
  </si>
  <si>
    <t>2024-06-01, 2024-06-08, 2024-06-15</t>
  </si>
  <si>
    <t>eac97d37-b587-4d33-9d5b-d8b04027b283</t>
  </si>
  <si>
    <t>michael marshall</t>
  </si>
  <si>
    <t>millerdiane@hotmail.com</t>
  </si>
  <si>
    <t>2022-04-23, 2022-04-30, 2022-05-07, 2022-05-14, 2022-05-21, 2022-05-28, 2022-06-04</t>
  </si>
  <si>
    <t>4775d7ab-d207-4bc4-b885-8b6d23e7cd20</t>
  </si>
  <si>
    <t>carolyn smith</t>
  </si>
  <si>
    <t>kellynichols@jackson-powers.com</t>
  </si>
  <si>
    <t>2024-02-15, 2024-02-22</t>
  </si>
  <si>
    <t>5bab96cc-70ce-4646-a74b-8b9845f3dc5a</t>
  </si>
  <si>
    <t>miguel stafford</t>
  </si>
  <si>
    <t>ohorton@davidson.biz</t>
  </si>
  <si>
    <t>2025-02-22, 2025-03-01, 2025-03-08, 2025-03-15, 2025-03-22, 2025-03-29</t>
  </si>
  <si>
    <t>9923fc7a-0d6b-460f-b1a9-1c814eee5680</t>
  </si>
  <si>
    <t>raymond wang</t>
  </si>
  <si>
    <t>regina31@fisher.com</t>
  </si>
  <si>
    <t>2025-03-14, 2025-03-21, 2025-03-28, 2025-04-04</t>
  </si>
  <si>
    <t>38772265-102c-41a3-ab40-4598ae11d3c2</t>
  </si>
  <si>
    <t>ANNE CONLEY</t>
  </si>
  <si>
    <t>bradleyhunt@morris-sims.org</t>
  </si>
  <si>
    <t>2023-01-30, 2023-02-06, 2023-02-13, 2023-02-20, 2023-02-27, 2023-03-06, 2023-03-13, 2023-03-20</t>
  </si>
  <si>
    <t>f05d45c7-6522-48b9-8aad-0665ef30141d</t>
  </si>
  <si>
    <t>DAVID RODRIGUEZ</t>
  </si>
  <si>
    <t>alexisvaldez@gmail.com</t>
  </si>
  <si>
    <t>2023-02-22, 2023-03-01, 2023-03-08, 2023-03-15, 2023-03-22, 2023-03-29</t>
  </si>
  <si>
    <t>10e67176-3858-4966-b572-56f63677f5b4</t>
  </si>
  <si>
    <t>DIANA HANSON</t>
  </si>
  <si>
    <t>mcclurerobert@porter.org</t>
  </si>
  <si>
    <t>2023-12-02, 2023-12-09, 2023-12-16</t>
  </si>
  <si>
    <t>9990e4a9-1841-4e07-b583-4c69407f2654</t>
  </si>
  <si>
    <t>mark price</t>
  </si>
  <si>
    <t>gregory57@rogers.org</t>
  </si>
  <si>
    <t>2022-12-29, 2023-01-05, 2023-01-12, 2023-01-19, 2023-01-26, 2023-02-02, 2023-02-09</t>
  </si>
  <si>
    <t>bde78473-a3fd-459c-82d2-9bf861e3178b</t>
  </si>
  <si>
    <t>kevin mcneil</t>
  </si>
  <si>
    <t>jensenpenny@young-patterson.com</t>
  </si>
  <si>
    <t>2024-03-04, 2024-03-11, 2024-03-18</t>
  </si>
  <si>
    <t>5fe0c7c3-2336-460b-8f57-1d6b1452e130</t>
  </si>
  <si>
    <t>mr. james may ii</t>
  </si>
  <si>
    <t>2024-11-24, 2024-12-01, 2024-12-08</t>
  </si>
  <si>
    <t>bd3fdb62-7198-4a55-b224-f64cfd11b3ff</t>
  </si>
  <si>
    <t>brandy stewart</t>
  </si>
  <si>
    <t>swong@perez.com</t>
  </si>
  <si>
    <t>0dd7cac2-8a10-45c5-b4b0-738e3e040782</t>
  </si>
  <si>
    <t>mary wright</t>
  </si>
  <si>
    <t>lboyd@soto-brown.info</t>
  </si>
  <si>
    <t>2023-09-21, 2023-09-28, 2023-10-05, 2023-10-12, 2023-10-19, 2023-10-26, 2023-11-02</t>
  </si>
  <si>
    <t>a265df65-0d56-4000-b145-6a6cf42323d9</t>
  </si>
  <si>
    <t>teresa martinez md</t>
  </si>
  <si>
    <t>williamsimmons@collins-griffith.com</t>
  </si>
  <si>
    <t>4d980202-3fbc-45e0-9b19-11122d2ae08e</t>
  </si>
  <si>
    <t>jerome reid</t>
  </si>
  <si>
    <t>xmiller@yahoo.com</t>
  </si>
  <si>
    <t>2024-01-25, 2024-02-01</t>
  </si>
  <si>
    <t>6c35e33c-70fe-45a1-b880-adc62af2b718</t>
  </si>
  <si>
    <t>nancy wolf</t>
  </si>
  <si>
    <t>gillronald@gmail.com</t>
  </si>
  <si>
    <t>14-11-2023</t>
  </si>
  <si>
    <t>8d87b7be-271d-40f1-8985-c98d985defc4</t>
  </si>
  <si>
    <t>DAWN FORD</t>
  </si>
  <si>
    <t>nicholas97@gmail.com</t>
  </si>
  <si>
    <t>2023-07-17, 2023-07-24, 2023-07-31, 2023-08-07, 2023-08-14, 2023-08-21, 2023-08-28, 2023-09-04</t>
  </si>
  <si>
    <t>321a6d71-7821-42e0-b701-492522fbe906</t>
  </si>
  <si>
    <t>colton smith</t>
  </si>
  <si>
    <t>asullivan@yahoo.com</t>
  </si>
  <si>
    <t>2023-09-06, 2023-09-13, 2023-09-20, 2023-09-27, 2023-10-04, 2023-10-11, 2023-10-18</t>
  </si>
  <si>
    <t>a41bc4c2-4ecc-40ab-bd53-38ca625046c0</t>
  </si>
  <si>
    <t>MRS. STACEY RIDDLE</t>
  </si>
  <si>
    <t>kfrederick@hines.com</t>
  </si>
  <si>
    <t>2023-11-07, 2023-11-14, 2023-11-21, 2023-11-28, 2023-12-05, 2023-12-12</t>
  </si>
  <si>
    <t>b040d75a-a28e-4841-bd16-5228b589717e</t>
  </si>
  <si>
    <t>anthony cruz</t>
  </si>
  <si>
    <t>johnjohnson@yahoo.com</t>
  </si>
  <si>
    <t>2024-06-06, 2024-06-13, 2024-06-20, 2024-06-27</t>
  </si>
  <si>
    <t>b28d7cb8-073b-4a43-ad2a-3a7cb4e10c33</t>
  </si>
  <si>
    <t>brittany jacobs</t>
  </si>
  <si>
    <t>john92@wilson.biz</t>
  </si>
  <si>
    <t>2024-12-12, 2024-12-19, 2024-12-26, 2025-01-02, 2025-01-09</t>
  </si>
  <si>
    <t>e6a7a6b0-f961-4ae2-960e-9c1ab4c0fd18</t>
  </si>
  <si>
    <t>theodore liu</t>
  </si>
  <si>
    <t>2023-12-15, 2023-12-22, 2023-12-29</t>
  </si>
  <si>
    <t>b11c377f-40bc-4b56-ad47-72f8d46a77af</t>
  </si>
  <si>
    <t>walter barrett</t>
  </si>
  <si>
    <t>jessica11@hotmail.com</t>
  </si>
  <si>
    <t>2022-12-20, 2022-12-27</t>
  </si>
  <si>
    <t>d0713f73-582a-4099-8c2b-2f49c6d53a90</t>
  </si>
  <si>
    <t>paul conrad</t>
  </si>
  <si>
    <t>adam27@gmail.com</t>
  </si>
  <si>
    <t>2024-09-12, 2024-09-19</t>
  </si>
  <si>
    <t>6af7895b-b241-4fd3-8614-101711e121c7</t>
  </si>
  <si>
    <t>mary quinn</t>
  </si>
  <si>
    <t>nicholaspadilla@tucker.com</t>
  </si>
  <si>
    <t>2022-09-04, 2022-09-11, 2022-09-18, 2022-09-25, 2022-10-02, 2022-10-09, 2022-10-16</t>
  </si>
  <si>
    <t>2f85f99d-366b-4575-907a-9518912cf322</t>
  </si>
  <si>
    <t>paul lamb</t>
  </si>
  <si>
    <t>tonya67@durham.com</t>
  </si>
  <si>
    <t>2024-03-07, 2024-03-14, 2024-03-21</t>
  </si>
  <si>
    <t>46d9e34d-1feb-41c7-a0b2-d14b15f0e5ea</t>
  </si>
  <si>
    <t>allen young</t>
  </si>
  <si>
    <t>smithjoseph@gmail.com</t>
  </si>
  <si>
    <t>2023-07-06, 2023-07-13, 2023-07-20, 2023-07-27, 2023-08-03, 2023-08-10</t>
  </si>
  <si>
    <t>0ab74b5d-fcd4-4681-8a09-7b17951b2503</t>
  </si>
  <si>
    <t>joseph smith</t>
  </si>
  <si>
    <t>vkennedy@hotmail.com</t>
  </si>
  <si>
    <t>2025-02-03, 2025-02-10</t>
  </si>
  <si>
    <t>e3e103bb-ae8e-4075-9eeb-c61856282768</t>
  </si>
  <si>
    <t>ethan allen</t>
  </si>
  <si>
    <t>dgray@yahoo.com</t>
  </si>
  <si>
    <t>2024-02-03, 2024-02-10, 2024-02-17</t>
  </si>
  <si>
    <t>74f8a913-00ca-480f-99a5-3942ce67b962</t>
  </si>
  <si>
    <t>jennifer houston</t>
  </si>
  <si>
    <t>guzmanmisty@tapia-walton.com</t>
  </si>
  <si>
    <t>2023-09-02, 2023-09-09, 2023-09-16, 2023-09-23, 2023-09-30, 2023-10-07, 2023-10-14</t>
  </si>
  <si>
    <t>a8ac1ab1-afa9-402c-9e4c-4be773b0e73d</t>
  </si>
  <si>
    <t>kayla keller</t>
  </si>
  <si>
    <t>allen50@nguyen.biz</t>
  </si>
  <si>
    <t>2023-10-31, 2023-11-07</t>
  </si>
  <si>
    <t>6d8bebc3-592c-4a0e-94d4-9d3acb40fcdd</t>
  </si>
  <si>
    <t>TERESA ALVAREZ</t>
  </si>
  <si>
    <t>mcarter@thomas.net</t>
  </si>
  <si>
    <t>2024-11-13, 2024-11-20</t>
  </si>
  <si>
    <t>164b85f0-cbfc-421c-bf78-042820bb859a</t>
  </si>
  <si>
    <t>michael dunn</t>
  </si>
  <si>
    <t>peggyfriedman@yahoo.com</t>
  </si>
  <si>
    <t>2022-05-26, 2022-06-02, 2022-06-09, 2022-06-16, 2022-06-23, 2022-06-30, 2022-07-07, 2022-07-14</t>
  </si>
  <si>
    <t>362e17d4-3e4c-443a-bdab-ba618a693650</t>
  </si>
  <si>
    <t>tony graves</t>
  </si>
  <si>
    <t>bholder@hickman.biz</t>
  </si>
  <si>
    <t>30-01-2025</t>
  </si>
  <si>
    <t>2025-01-30, 2025-02-06, 2025-02-13, 2025-02-20, 2025-02-27, 2025-03-06, 2025-03-13, 2025-03-20</t>
  </si>
  <si>
    <t>aa7a907d-41f3-41b9-b81b-da1d386a9050</t>
  </si>
  <si>
    <t>steven martinez</t>
  </si>
  <si>
    <t>sdavis@wiggins-huynh.org</t>
  </si>
  <si>
    <t>2023-06-16, 2023-06-23, 2023-06-30, 2023-07-07, 2023-07-14</t>
  </si>
  <si>
    <t>e900b66f-6083-4f88-97dd-a51ea4dc4d4e</t>
  </si>
  <si>
    <t>nancy james</t>
  </si>
  <si>
    <t>jeffreywilson@gmail.com</t>
  </si>
  <si>
    <t>2022-07-16, 2022-07-23, 2022-07-30, 2022-08-06</t>
  </si>
  <si>
    <t>979a7368-bd96-4b0a-9719-d3e416d1d768</t>
  </si>
  <si>
    <t>NATASHA WILSON</t>
  </si>
  <si>
    <t>melissafinley@hotmail.com</t>
  </si>
  <si>
    <t>2022-09-27, 2022-10-04, 2022-10-11, 2022-10-18, 2022-10-25, 2022-11-01, 2022-11-08</t>
  </si>
  <si>
    <t>891d47fe-970e-487a-8fd7-b0f24f908490</t>
  </si>
  <si>
    <t>JAMES HENDERSON</t>
  </si>
  <si>
    <t>aprilguzman@gmail.com</t>
  </si>
  <si>
    <t>2022-04-09, 2022-04-16</t>
  </si>
  <si>
    <t>da3465d9-89cd-40e7-825a-2dd465333140</t>
  </si>
  <si>
    <t>charles hahn</t>
  </si>
  <si>
    <t>jfrazier@campbell.com</t>
  </si>
  <si>
    <t>2022-09-19, 2022-09-26, 2022-10-03, 2022-10-10, 2022-10-17</t>
  </si>
  <si>
    <t>fd869a13-809b-4813-8f13-823b51f4a724</t>
  </si>
  <si>
    <t>DENISE ABBOTT</t>
  </si>
  <si>
    <t>troypadilla@yahoo.com</t>
  </si>
  <si>
    <t>2024-10-23, 2024-10-30, 2024-11-06, 2024-11-13, 2024-11-20, 2024-11-27, 2024-12-04</t>
  </si>
  <si>
    <t>27177e59-5548-4613-8f69-ef2dfb2c2c83</t>
  </si>
  <si>
    <t>christine oconnor</t>
  </si>
  <si>
    <t>leblanckimberly@luna-evans.com</t>
  </si>
  <si>
    <t>2022-07-07, 2022-07-14, 2022-07-21</t>
  </si>
  <si>
    <t>6c24dcaa-5660-42e1-a46c-d3c18c45fc9e</t>
  </si>
  <si>
    <t>wanda todd</t>
  </si>
  <si>
    <t>rosejustin@hotmail.com</t>
  </si>
  <si>
    <t>2022-05-10, 2022-05-17, 2022-05-24, 2022-05-31, 2022-06-07, 2022-06-14</t>
  </si>
  <si>
    <t>64ce4589-8c4a-42ba-9b33-5860b37bdb99</t>
  </si>
  <si>
    <t>frank moody</t>
  </si>
  <si>
    <t>stephen29@ramos.com</t>
  </si>
  <si>
    <t>2023-02-04, 2023-02-11, 2023-02-18</t>
  </si>
  <si>
    <t>bf95ff33-cdea-4f52-b7d7-cab335b33f54</t>
  </si>
  <si>
    <t>matthew cox</t>
  </si>
  <si>
    <t>nicholasmcgrath@skinner.info</t>
  </si>
  <si>
    <t>2022-11-17, 2022-11-24, 2022-12-01, 2022-12-08, 2022-12-15</t>
  </si>
  <si>
    <t>faf36aec-1e0a-4157-8d6e-d01ef1efa963</t>
  </si>
  <si>
    <t>gina hamilton</t>
  </si>
  <si>
    <t>hsanchez@sanders.org</t>
  </si>
  <si>
    <t>2023-01-11, 2023-01-18, 2023-01-25, 2023-02-01, 2023-02-08, 2023-02-15</t>
  </si>
  <si>
    <t>c69e17c9-6018-4b17-bec5-715ca71db3a6</t>
  </si>
  <si>
    <t>rebecca barrett</t>
  </si>
  <si>
    <t>phill@yahoo.com</t>
  </si>
  <si>
    <t>2022-12-30, 2023-01-06, 2023-01-13, 2023-01-20, 2023-01-27, 2023-02-03, 2023-02-10, 2023-02-17</t>
  </si>
  <si>
    <t>1527b2ac-1ddb-4f15-9eb8-586302f86044</t>
  </si>
  <si>
    <t>martin kerr</t>
  </si>
  <si>
    <t>matthewsvanessa@hill-mcgee.org</t>
  </si>
  <si>
    <t>2023-10-29, 2023-11-05, 2023-11-12, 2023-11-19, 2023-11-26</t>
  </si>
  <si>
    <t>a5044925-fffc-4f63-bbf3-f8f5624b31d7</t>
  </si>
  <si>
    <t>elizabeth martinez</t>
  </si>
  <si>
    <t>reevesmichelle@hotmail.com</t>
  </si>
  <si>
    <t>2023-01-13, 2023-01-20, 2023-01-27, 2023-02-03, 2023-02-10</t>
  </si>
  <si>
    <t>050e1961-b363-4272-9018-1ce667c3bd9e</t>
  </si>
  <si>
    <t>robert logan</t>
  </si>
  <si>
    <t>stonebrenda@hotmail.com</t>
  </si>
  <si>
    <t>2023-01-19, 2023-01-26, 2023-02-02, 2023-02-09, 2023-02-16, 2023-02-23, 2023-03-02, 2023-03-09</t>
  </si>
  <si>
    <t>351c586a-c0c3-459e-80e5-ea1a1fc45171</t>
  </si>
  <si>
    <t>stephanie white</t>
  </si>
  <si>
    <t>peterslauren@williams.com</t>
  </si>
  <si>
    <t>2025-01-13, 2025-01-20, 2025-01-27, 2025-02-03, 2025-02-10, 2025-02-17, 2025-02-24, 2025-03-03</t>
  </si>
  <si>
    <t>41bb0e0d-8fff-406d-967b-6ea029451370</t>
  </si>
  <si>
    <t>AMANDA WHITNEY</t>
  </si>
  <si>
    <t>tammy26@hotmail.com</t>
  </si>
  <si>
    <t>14-01-2025</t>
  </si>
  <si>
    <t>f23b1efb-0bd1-4d4a-8cf4-1edd3f9304fa</t>
  </si>
  <si>
    <t>summer carter</t>
  </si>
  <si>
    <t>barbaraneal@hotmail.com</t>
  </si>
  <si>
    <t>2022-04-07, 2022-04-14, 2022-04-21, 2022-04-28, 2022-05-05, 2022-05-12</t>
  </si>
  <si>
    <t>35b80aae-82b6-4c8e-89c8-18d79b2e18c0</t>
  </si>
  <si>
    <t>mary williams</t>
  </si>
  <si>
    <t>donaldchase@bernard.net</t>
  </si>
  <si>
    <t>2023-10-05, 2023-10-12, 2023-10-19, 2023-10-26, 2023-11-02</t>
  </si>
  <si>
    <t>20e4dbfe-4703-47f7-9beb-b1c7977f199a</t>
  </si>
  <si>
    <t>jennifer pierce</t>
  </si>
  <si>
    <t>ksantos@yahoo.com</t>
  </si>
  <si>
    <t>2023-03-08, 2023-03-15, 2023-03-22, 2023-03-29</t>
  </si>
  <si>
    <t>ad30c94b-4111-4681-b1da-833d15502390</t>
  </si>
  <si>
    <t>michael herrera</t>
  </si>
  <si>
    <t>wanda35@sandoval.biz</t>
  </si>
  <si>
    <t>2024-03-15, 2024-03-22, 2024-03-29, 2024-04-05, 2024-04-12, 2024-04-19, 2024-04-26, 2024-05-03</t>
  </si>
  <si>
    <t>6f023006-c9ac-476c-be11-230e50fcfdaa</t>
  </si>
  <si>
    <t>victor wright</t>
  </si>
  <si>
    <t>schmidtgabriella@yahoo.com</t>
  </si>
  <si>
    <t>2022-12-01, 2022-12-08, 2022-12-15, 2022-12-22</t>
  </si>
  <si>
    <t>5ce1bcc2-16c7-42a1-a3e2-ac175450c61f</t>
  </si>
  <si>
    <t>paula thomas</t>
  </si>
  <si>
    <t>alejandro63@lynn-patton.com</t>
  </si>
  <si>
    <t>2022-07-18, 2022-07-25, 2022-08-01, 2022-08-08, 2022-08-15, 2022-08-22, 2022-08-29</t>
  </si>
  <si>
    <t>4e7a081e-e021-4caf-ba73-aa4e86c71c16</t>
  </si>
  <si>
    <t>renee davis</t>
  </si>
  <si>
    <t>andrea91@gmail.com</t>
  </si>
  <si>
    <t>63ba6c3d-c07a-4e48-b24e-7fd651683612</t>
  </si>
  <si>
    <t>ROBERT BYRD</t>
  </si>
  <si>
    <t>qvargas@gmail.com</t>
  </si>
  <si>
    <t>a8560b74-27ce-46ce-b695-c2bf837905ed</t>
  </si>
  <si>
    <t>james moss</t>
  </si>
  <si>
    <t>jasmine39@mann-white.com</t>
  </si>
  <si>
    <t>2025-03-08, 2025-03-15, 2025-03-22, 2025-03-29</t>
  </si>
  <si>
    <t>f3dea9dc-469c-458b-896d-036a8092189b</t>
  </si>
  <si>
    <t>todd keith</t>
  </si>
  <si>
    <t>cynthia14@townsend-bruce.com</t>
  </si>
  <si>
    <t>2024-04-04, 2024-04-11, 2024-04-18, 2024-04-25, 2024-05-02, 2024-05-09</t>
  </si>
  <si>
    <t>17f85f5b-f1e2-4ce7-bd73-0c3bbade33a0</t>
  </si>
  <si>
    <t>anthony paul</t>
  </si>
  <si>
    <t>haydenroger@hotmail.com</t>
  </si>
  <si>
    <t>2022-08-04, 2022-08-11, 2022-08-18, 2022-08-25, 2022-09-01, 2022-09-08, 2022-09-15</t>
  </si>
  <si>
    <t>af642572-83d7-4afc-bf70-29737acabb76</t>
  </si>
  <si>
    <t>dr. melissa sullivan dds</t>
  </si>
  <si>
    <t>vpark@sanchez-stevenson.net</t>
  </si>
  <si>
    <t>2022-11-04, 2022-11-11, 2022-11-18</t>
  </si>
  <si>
    <t>72dadc21-9b7c-4539-8ad7-d77c9bf41cc6</t>
  </si>
  <si>
    <t>megan macias</t>
  </si>
  <si>
    <t>charlesfranco@gomez.com</t>
  </si>
  <si>
    <t>2025-03-04, 2025-03-11</t>
  </si>
  <si>
    <t>e9fedd48-5684-4457-9cfc-df01f8401eea</t>
  </si>
  <si>
    <t>sandra rosales</t>
  </si>
  <si>
    <t>kevin44@smith.org</t>
  </si>
  <si>
    <t>2023-11-07, 2023-11-14, 2023-11-21, 2023-11-28</t>
  </si>
  <si>
    <t>edda1677-4e08-4b81-ac4d-6c0037abaaf8</t>
  </si>
  <si>
    <t>MARIA PETERSEN</t>
  </si>
  <si>
    <t>fstafford@kelly.info</t>
  </si>
  <si>
    <t>2023-12-09, 2023-12-16, 2023-12-23, 2023-12-30</t>
  </si>
  <si>
    <t>0151ccb0-1b6f-4a9e-9a98-b7154c60b543</t>
  </si>
  <si>
    <t>NATHAN MORALES</t>
  </si>
  <si>
    <t>jordanjames@robertson.info</t>
  </si>
  <si>
    <t>2023-08-30, 2023-09-06, 2023-09-13</t>
  </si>
  <si>
    <t>4008d4da-a819-413d-84fa-84a427d764ce</t>
  </si>
  <si>
    <t>james evans</t>
  </si>
  <si>
    <t>amandaadams@yahoo.com</t>
  </si>
  <si>
    <t>2022-04-17, 2022-04-24, 2022-05-01, 2022-05-08, 2022-05-15, 2022-05-22, 2022-05-29</t>
  </si>
  <si>
    <t>23cecf1e-296d-491f-b079-ae53d6e0217c</t>
  </si>
  <si>
    <t>JEFFREY HOWARD</t>
  </si>
  <si>
    <t>lopezbilly@fisher-rivera.com</t>
  </si>
  <si>
    <t>2025-01-20, 2025-01-27, 2025-02-03, 2025-02-10, 2025-02-17, 2025-02-24, 2025-03-03</t>
  </si>
  <si>
    <t>7ab3137c-f2c8-425e-b2f1-227caa8c662d</t>
  </si>
  <si>
    <t>victoria wilson</t>
  </si>
  <si>
    <t>tmarsh@gmail.com</t>
  </si>
  <si>
    <t>2022-12-12, 2022-12-19</t>
  </si>
  <si>
    <t>e1bb7399-c7c4-42a0-83af-3d93c0476d80</t>
  </si>
  <si>
    <t>nicholas harmon</t>
  </si>
  <si>
    <t>danielrodriguez@gmail.com</t>
  </si>
  <si>
    <t>2023-08-24, 2023-08-31, 2023-09-07, 2023-09-14, 2023-09-21</t>
  </si>
  <si>
    <t>037e7f60-8000-4fac-9818-48c527d19990</t>
  </si>
  <si>
    <t>cynthia gregory</t>
  </si>
  <si>
    <t>vbray@gmail.com</t>
  </si>
  <si>
    <t>2022-10-19, 2022-10-26, 2022-11-02, 2022-11-09</t>
  </si>
  <si>
    <t>7c65dbfb-483f-4a72-8a1a-7c2e7aededf4</t>
  </si>
  <si>
    <t>JEFFREY WILLIAMSON</t>
  </si>
  <si>
    <t>juanwilson@gamble-wright.biz</t>
  </si>
  <si>
    <t>2024-02-10, 2024-02-17, 2024-02-24, 2024-03-02, 2024-03-09, 2024-03-16</t>
  </si>
  <si>
    <t>cf590b8e-c860-42c4-b4da-9f0479510a45</t>
  </si>
  <si>
    <t>nicholas carr</t>
  </si>
  <si>
    <t>jeromeanderson@hill.com</t>
  </si>
  <si>
    <t>17478b5c-331b-4602-9dd0-ce040485742a</t>
  </si>
  <si>
    <t>JAMIE WARREN</t>
  </si>
  <si>
    <t>matthewmendoza@simmons.com</t>
  </si>
  <si>
    <t>6b06e92f-b62a-4941-99dc-be0ff1685db8</t>
  </si>
  <si>
    <t>steven white</t>
  </si>
  <si>
    <t>guerreromarc@kennedy-kerr.com</t>
  </si>
  <si>
    <t>7dc4f12b-f2c5-42da-8094-4f952f51aca6</t>
  </si>
  <si>
    <t>eric davis</t>
  </si>
  <si>
    <t>markfigueroa@paul-chapman.org</t>
  </si>
  <si>
    <t>2024-02-05, 2024-02-12, 2024-02-19, 2024-02-26</t>
  </si>
  <si>
    <t>35c4be08-46a4-4588-a676-ace13cfe18e9</t>
  </si>
  <si>
    <t>ANITA RODRIGUEZ</t>
  </si>
  <si>
    <t>willisrhonda@roth.com</t>
  </si>
  <si>
    <t>57c8294c-9e77-46ae-8bec-9a50f11afc00</t>
  </si>
  <si>
    <t>john juarez</t>
  </si>
  <si>
    <t>andersonrobert@king.net</t>
  </si>
  <si>
    <t>a13ecf15-72cf-4b0e-9db2-f6cee5190530</t>
  </si>
  <si>
    <t>susan jones</t>
  </si>
  <si>
    <t>jacksonjoshua@gmail.com</t>
  </si>
  <si>
    <t>2023-09-28, 2023-10-05</t>
  </si>
  <si>
    <t>0f9027d5-90f0-447c-b4af-80050ba24c4f</t>
  </si>
  <si>
    <t>melissa yang</t>
  </si>
  <si>
    <t>gcohen@gmail.com</t>
  </si>
  <si>
    <t>2023-06-30, 2023-07-07, 2023-07-14, 2023-07-21, 2023-07-28, 2023-08-04, 2023-08-11</t>
  </si>
  <si>
    <t>6257ae9c-8260-4132-802f-b24f70100d7e</t>
  </si>
  <si>
    <t>jeanette lawson</t>
  </si>
  <si>
    <t>adamarmstrong@horton.info</t>
  </si>
  <si>
    <t>4242fc5c-866b-429a-b877-e049b52f5e0d</t>
  </si>
  <si>
    <t>DANIEL ERICKSON</t>
  </si>
  <si>
    <t>jeffreyferguson@williams-hernandez.com</t>
  </si>
  <si>
    <t>2024-05-28, 2024-06-04</t>
  </si>
  <si>
    <t>0d3069bf-ca66-48a8-9f96-048a453b37f5</t>
  </si>
  <si>
    <t>danielle colon</t>
  </si>
  <si>
    <t>wongcynthia@nguyen-potts.net</t>
  </si>
  <si>
    <t>2022-10-30, 2022-11-06, 2022-11-13, 2022-11-20, 2022-11-27, 2022-12-04, 2022-12-11</t>
  </si>
  <si>
    <t>e5f95507-6889-48ad-a234-5eacb8da3559</t>
  </si>
  <si>
    <t>erika brown</t>
  </si>
  <si>
    <t>jeffrey42@bonilla-medina.org</t>
  </si>
  <si>
    <t>2023-05-22, 2023-05-29, 2023-06-05, 2023-06-12</t>
  </si>
  <si>
    <t>61c9815e-b028-4484-beea-c4d3b8fc7513</t>
  </si>
  <si>
    <t>DAWN SIMS</t>
  </si>
  <si>
    <t>rwalker@perkins.com</t>
  </si>
  <si>
    <t>6f144dc6-b9ed-433f-bad4-f3e03b523525</t>
  </si>
  <si>
    <t>STEVEN DAVIS</t>
  </si>
  <si>
    <t>llopez@hudson.com</t>
  </si>
  <si>
    <t>2024-02-28, 2024-03-06</t>
  </si>
  <si>
    <t>29b50942-4f66-4914-8563-5b3048340d51</t>
  </si>
  <si>
    <t>RUTH MCDANIEL</t>
  </si>
  <si>
    <t>thomasronald@stout-waller.com</t>
  </si>
  <si>
    <t>2025-01-06, 2025-01-13, 2025-01-20, 2025-01-27, 2025-02-03, 2025-02-10, 2025-02-17</t>
  </si>
  <si>
    <t>ced89c97-c01d-4c62-ba0d-3f1f232585b4</t>
  </si>
  <si>
    <t>brett cruz</t>
  </si>
  <si>
    <t>hinesdeanna@anderson.com</t>
  </si>
  <si>
    <t>2024-07-03, 2024-07-10, 2024-07-17</t>
  </si>
  <si>
    <t>03748864-9981-428f-a09c-4325f047fbeb</t>
  </si>
  <si>
    <t>ALEXANDRA CONNER</t>
  </si>
  <si>
    <t>harristimothy@hotmail.com</t>
  </si>
  <si>
    <t>2022-11-14, 2022-11-21, 2022-11-28, 2022-12-05, 2022-12-12, 2022-12-19, 2022-12-26, 2023-01-02</t>
  </si>
  <si>
    <t>54edfb70-4eb0-4866-a9c3-d598d0c24f21</t>
  </si>
  <si>
    <t>david stephens</t>
  </si>
  <si>
    <t>2024-02-26, 2024-03-04, 2024-03-11, 2024-03-18</t>
  </si>
  <si>
    <t>056de195-1f81-4097-8b2a-3730a0a2e9bd</t>
  </si>
  <si>
    <t>ashley phillips</t>
  </si>
  <si>
    <t>aaronwalker@gmail.com</t>
  </si>
  <si>
    <t>2023-05-27, 2023-06-03, 2023-06-10, 2023-06-17, 2023-06-24, 2023-07-01, 2023-07-08</t>
  </si>
  <si>
    <t>a7c5f960-5a72-44a2-a5ba-779562a876d7</t>
  </si>
  <si>
    <t>thomas cohen</t>
  </si>
  <si>
    <t>hjackson@garcia.com</t>
  </si>
  <si>
    <t>2024-01-30, 2024-02-06, 2024-02-13, 2024-02-20, 2024-02-27, 2024-03-05, 2024-03-12</t>
  </si>
  <si>
    <t>5c494d63-1e4c-4fdf-956e-fce49d9e4da2</t>
  </si>
  <si>
    <t>TAMARA HUANG</t>
  </si>
  <si>
    <t>royrogers@shelton.com</t>
  </si>
  <si>
    <t>e01a5b5e-592f-4dc6-8979-3220d14bc771</t>
  </si>
  <si>
    <t>thomas stanley</t>
  </si>
  <si>
    <t>mccormickmichelle@gmail.com</t>
  </si>
  <si>
    <t>2024-12-02, 2024-12-09</t>
  </si>
  <si>
    <t>63fe557c-25d4-4c19-91fc-4c232586dcd1</t>
  </si>
  <si>
    <t>ROBERT BRAY</t>
  </si>
  <si>
    <t>lanesusan@thomas-morris.com</t>
  </si>
  <si>
    <t>2025-01-19, 2025-01-26, 2025-02-02, 2025-02-09, 2025-02-16</t>
  </si>
  <si>
    <t>51beadc1-5a44-4143-a290-8017c47d336f</t>
  </si>
  <si>
    <t>JOHN DUDLEY DDS</t>
  </si>
  <si>
    <t>leahvaldez@gmail.com</t>
  </si>
  <si>
    <t>2023-01-14, 2023-01-21, 2023-01-28, 2023-02-04, 2023-02-11, 2023-02-18</t>
  </si>
  <si>
    <t>89eb56c1-7f42-4889-8ca1-7f756b2d470a</t>
  </si>
  <si>
    <t>KIM UNDERWOOD</t>
  </si>
  <si>
    <t>carpenterrobert@hotmail.com</t>
  </si>
  <si>
    <t>2023-11-23, 2023-11-30, 2023-12-07, 2023-12-14, 2023-12-21, 2023-12-28, 2024-01-04</t>
  </si>
  <si>
    <t>b3fdec76-3826-45ad-bf8f-81eacfb0d68d</t>
  </si>
  <si>
    <t>isaiah harris</t>
  </si>
  <si>
    <t>angela21@pruitt.com</t>
  </si>
  <si>
    <t>2025-03-19, 2025-03-26, 2025-04-02</t>
  </si>
  <si>
    <t>da72ab37-d5d3-48cf-a4e6-5ffd75dc037d</t>
  </si>
  <si>
    <t>tara fisher</t>
  </si>
  <si>
    <t>briantaylor@padilla.biz</t>
  </si>
  <si>
    <t>a9a9cef7-1b23-45d0-b38f-10f20dd867e5</t>
  </si>
  <si>
    <t>KAREN WHEELER</t>
  </si>
  <si>
    <t>thomasdonald@jones.biz</t>
  </si>
  <si>
    <t>be59d035-7842-4071-aeb3-5f6ac3f26a39</t>
  </si>
  <si>
    <t>JOSEPH RUSH</t>
  </si>
  <si>
    <t>csharp@hotmail.com</t>
  </si>
  <si>
    <t>2022-11-25, 2022-12-02, 2022-12-09</t>
  </si>
  <si>
    <t>27e83b87-1c7b-48eb-8969-b2a10361b157</t>
  </si>
  <si>
    <t>marvin munoz</t>
  </si>
  <si>
    <t>alexwall@vaughan.com</t>
  </si>
  <si>
    <t>2025-03-22, 2025-03-29, 2025-04-05, 2025-04-12, 2025-04-19, 2025-04-26, 2025-05-03</t>
  </si>
  <si>
    <t>3a314e67-b598-4577-8e58-3dde807ab658</t>
  </si>
  <si>
    <t>CHRISTOPHER DUDLEY</t>
  </si>
  <si>
    <t>juliamorales@gmail.com</t>
  </si>
  <si>
    <t>2024-09-11, 2024-09-18, 2024-09-25, 2024-10-02, 2024-10-09, 2024-10-16</t>
  </si>
  <si>
    <t>bef99394-d28f-4f65-af06-8e12646d2e33</t>
  </si>
  <si>
    <t>LISA JONES</t>
  </si>
  <si>
    <t>pedwards@yahoo.com</t>
  </si>
  <si>
    <t>2023-03-13, 2023-03-20, 2023-03-27</t>
  </si>
  <si>
    <t>5f1930e0-cda7-4451-8dfe-f6332a31edfd</t>
  </si>
  <si>
    <t>chloe rodriguez</t>
  </si>
  <si>
    <t>carrie50@campbell.com</t>
  </si>
  <si>
    <t>2023-11-19, 2023-11-26, 2023-12-03, 2023-12-10, 2023-12-17</t>
  </si>
  <si>
    <t>c1ab6398-02cf-43a8-98dc-4031363fbae9</t>
  </si>
  <si>
    <t>CHELSEA HARRIS</t>
  </si>
  <si>
    <t>josephdavila@williams.com</t>
  </si>
  <si>
    <t>2022-07-17, 2022-07-24</t>
  </si>
  <si>
    <t>022ba960-4f00-4a6a-b189-d0b117dcabf5</t>
  </si>
  <si>
    <t>dr. tina porter</t>
  </si>
  <si>
    <t>iswanson@hotmail.com</t>
  </si>
  <si>
    <t>2023-08-08, 2023-08-15</t>
  </si>
  <si>
    <t>e581c1bc-6843-4e98-94d1-44d518ede297</t>
  </si>
  <si>
    <t>ashlee aguirre</t>
  </si>
  <si>
    <t>2025-02-18, 2025-02-25, 2025-03-04, 2025-03-11, 2025-03-18</t>
  </si>
  <si>
    <t>61d21319-cbcb-4293-9651-224006103d84</t>
  </si>
  <si>
    <t>SEAN JOHNSON</t>
  </si>
  <si>
    <t>faithmiller@davis.com</t>
  </si>
  <si>
    <t>2022-11-26, 2022-12-03, 2022-12-10, 2022-12-17, 2022-12-24, 2022-12-31</t>
  </si>
  <si>
    <t>842c49fa-806a-49ad-b6b2-e778fe508d4d</t>
  </si>
  <si>
    <t>LISA MILLS PHD</t>
  </si>
  <si>
    <t>matthewward@yahoo.com</t>
  </si>
  <si>
    <t>2022-12-13, 2022-12-20, 2022-12-27, 2023-01-03, 2023-01-10, 2023-01-17, 2023-01-24</t>
  </si>
  <si>
    <t>aed0cbcf-c630-4536-b677-9a11e403999b</t>
  </si>
  <si>
    <t>DANIEL BISHOP</t>
  </si>
  <si>
    <t>ashleygamble@ballard.com</t>
  </si>
  <si>
    <t>c80cd031-cc21-4b4e-b80c-eb1ade16afca</t>
  </si>
  <si>
    <t>kathryn gibson</t>
  </si>
  <si>
    <t>evan49@gomez-jones.info</t>
  </si>
  <si>
    <t>2024-08-03, 2024-08-10, 2024-08-17, 2024-08-24, 2024-08-31, 2024-09-07, 2024-09-14, 2024-09-21</t>
  </si>
  <si>
    <t>418af089-fa7d-4961-b927-a136fc73e358</t>
  </si>
  <si>
    <t>JESSICA GLASS</t>
  </si>
  <si>
    <t>swilliams@ortiz-harvey.com</t>
  </si>
  <si>
    <t>2023-05-12, 2023-05-19, 2023-05-26, 2023-06-02, 2023-06-09</t>
  </si>
  <si>
    <t>9fe7e068-d847-460b-8331-d7115de22a7d</t>
  </si>
  <si>
    <t>JACQUELINE FLEMING</t>
  </si>
  <si>
    <t>natalie09@hotmail.com</t>
  </si>
  <si>
    <t>2024-02-20, 2024-02-27</t>
  </si>
  <si>
    <t>b32281f3-3eac-4015-8a64-25fcbdb4f711</t>
  </si>
  <si>
    <t>aimee farrell</t>
  </si>
  <si>
    <t>zmoore@gmail.com</t>
  </si>
  <si>
    <t>2022-07-04, 2022-07-11, 2022-07-18, 2022-07-25</t>
  </si>
  <si>
    <t>ab4d738c-7657-437c-9fc8-e06063629509</t>
  </si>
  <si>
    <t>john day</t>
  </si>
  <si>
    <t>millerjessica@yahoo.com</t>
  </si>
  <si>
    <t>108134dc-5427-4925-a6ca-0baf3310880a</t>
  </si>
  <si>
    <t>zachary tucker</t>
  </si>
  <si>
    <t>ramirezbenjamin@gmail.com</t>
  </si>
  <si>
    <t>2024-02-08, 2024-02-15, 2024-02-22, 2024-02-29, 2024-03-07, 2024-03-14, 2024-03-21, 2024-03-28</t>
  </si>
  <si>
    <t>51f7c017-36a5-4aba-a3e5-38922540647b</t>
  </si>
  <si>
    <t>victoria schroeder</t>
  </si>
  <si>
    <t>kristine73@lewis.biz</t>
  </si>
  <si>
    <t>2024-04-06, 2024-04-13</t>
  </si>
  <si>
    <t>15663d1a-2d15-420b-a2bc-67154087be6a</t>
  </si>
  <si>
    <t>donald miller</t>
  </si>
  <si>
    <t>qwarren@yahoo.com</t>
  </si>
  <si>
    <t>2023-05-31, 2023-06-07, 2023-06-14, 2023-06-21, 2023-06-28, 2023-07-05, 2023-07-12</t>
  </si>
  <si>
    <t>e51bdfff-17aa-4aee-8dc2-0df3d49edd91</t>
  </si>
  <si>
    <t>gloria mullins</t>
  </si>
  <si>
    <t>michaelbarnes@nichols-bowers.biz</t>
  </si>
  <si>
    <t>2023-01-17, 2023-01-24, 2023-01-31, 2023-02-07</t>
  </si>
  <si>
    <t>639e8bbc-9200-4957-b161-fd16e9a002a4</t>
  </si>
  <si>
    <t>KRISTINA ENGLISH</t>
  </si>
  <si>
    <t>2023-10-09, 2023-10-16</t>
  </si>
  <si>
    <t>9417e0f5-aaff-46ff-b904-6b5213eb4599</t>
  </si>
  <si>
    <t>erica downs</t>
  </si>
  <si>
    <t>hernandezstephen@gmail.com</t>
  </si>
  <si>
    <t>2023-02-09, 2023-02-16, 2023-02-23, 2023-03-02, 2023-03-09</t>
  </si>
  <si>
    <t>cac19d2e-1d15-471c-9100-1ab9dd42da67</t>
  </si>
  <si>
    <t>JENNIFER MEYER</t>
  </si>
  <si>
    <t>iharding@cole.com</t>
  </si>
  <si>
    <t>2024-05-21, 2024-05-28, 2024-06-04, 2024-06-11, 2024-06-18, 2024-06-25, 2024-07-02</t>
  </si>
  <si>
    <t>c63e0e47-8bcc-4e8d-b24a-4a6d6b90a95b</t>
  </si>
  <si>
    <t>james bailey</t>
  </si>
  <si>
    <t>woodmichael@mosley-shaw.com</t>
  </si>
  <si>
    <t>2023-01-23, 2023-01-30, 2023-02-06, 2023-02-13</t>
  </si>
  <si>
    <t>74bc405c-ffc1-4ef6-a61f-135f7fc706f0</t>
  </si>
  <si>
    <t>guy clayton</t>
  </si>
  <si>
    <t>daniel27@yahoo.com</t>
  </si>
  <si>
    <t>2025-03-28, 2025-04-04</t>
  </si>
  <si>
    <t>29a3e5f6-984a-4463-8d81-42152d490058</t>
  </si>
  <si>
    <t>jane bruce</t>
  </si>
  <si>
    <t>jacqueline11@gmail.com</t>
  </si>
  <si>
    <t>2023-11-07, 2023-11-14, 2023-11-21</t>
  </si>
  <si>
    <t>eeb81b7d-9dc3-4d41-8434-86c3a64dcc1d</t>
  </si>
  <si>
    <t>JON WALTON</t>
  </si>
  <si>
    <t>zgordon@contreras.com</t>
  </si>
  <si>
    <t>2022-08-24, 2022-08-31, 2022-09-07</t>
  </si>
  <si>
    <t>618e72a7-8d34-4d83-b462-9fb5c6e19fd7</t>
  </si>
  <si>
    <t>SCOTT SAMPSON</t>
  </si>
  <si>
    <t>pgutierrez@hotmail.com</t>
  </si>
  <si>
    <t>2023-03-19, 2023-03-26, 2023-04-02, 2023-04-09, 2023-04-16, 2023-04-23, 2023-04-30, 2023-05-07</t>
  </si>
  <si>
    <t>c83e0032-5fe8-47f4-b08a-ba2101f268f5</t>
  </si>
  <si>
    <t>drew hobbs</t>
  </si>
  <si>
    <t>mary63@gmail.com</t>
  </si>
  <si>
    <t>2023-12-12, 2023-12-19, 2023-12-26, 2024-01-02, 2024-01-09</t>
  </si>
  <si>
    <t>27439b53-06b8-4c8a-83f9-c74d085d5d01</t>
  </si>
  <si>
    <t>SARA STONE</t>
  </si>
  <si>
    <t>george96@gmail.com</t>
  </si>
  <si>
    <t>2024-01-10, 2024-01-17, 2024-01-24, 2024-01-31, 2024-02-07, 2024-02-14</t>
  </si>
  <si>
    <t>9dc3bbee-3152-4136-a430-5373f936a968</t>
  </si>
  <si>
    <t>sandra solis</t>
  </si>
  <si>
    <t>sheilamyers@hotmail.com</t>
  </si>
  <si>
    <t>846c454c-5170-42ef-a777-c6646732ceca</t>
  </si>
  <si>
    <t>david mckinney</t>
  </si>
  <si>
    <t>welchkristen@rangel.com</t>
  </si>
  <si>
    <t>2023-01-01, 2023-01-08, 2023-01-15</t>
  </si>
  <si>
    <t>6ffad356-0690-4ba5-97e0-3df517df85b3</t>
  </si>
  <si>
    <t>randy hernandez</t>
  </si>
  <si>
    <t>ujohnson@lucero.com</t>
  </si>
  <si>
    <t>2023-02-17, 2023-02-24</t>
  </si>
  <si>
    <t>38c4f346-e5dd-414c-a70b-ba9c3d5e69df</t>
  </si>
  <si>
    <t>JOSEPH SANCHEZ</t>
  </si>
  <si>
    <t>donna41@gmail.com</t>
  </si>
  <si>
    <t>2023-01-21, 2023-01-28, 2023-02-04</t>
  </si>
  <si>
    <t>945094c8-fc1b-461a-a36d-4d5405ec8e9f</t>
  </si>
  <si>
    <t>ASHLEY HO</t>
  </si>
  <si>
    <t>thomasjose@davis.com</t>
  </si>
  <si>
    <t>2024-12-06, 2024-12-13, 2024-12-20, 2024-12-27, 2025-01-03, 2025-01-10, 2025-01-17</t>
  </si>
  <si>
    <t>cba20d38-7db4-490d-99c5-9f2d640b7b85</t>
  </si>
  <si>
    <t>BENJAMIN CHUNG</t>
  </si>
  <si>
    <t>gracebrooks@schultz-hayes.com</t>
  </si>
  <si>
    <t>2023-02-24, 2023-03-03, 2023-03-10, 2023-03-17</t>
  </si>
  <si>
    <t>2dbdc7cf-e754-44c3-8298-8dd24c7b34e2</t>
  </si>
  <si>
    <t>lynn bond</t>
  </si>
  <si>
    <t>victoria79@payne.com</t>
  </si>
  <si>
    <t>2023-01-11, 2023-01-18, 2023-01-25, 2023-02-01, 2023-02-08</t>
  </si>
  <si>
    <t>05e5d461-8934-4b06-8790-eeb49b2a1376</t>
  </si>
  <si>
    <t>paige robinson</t>
  </si>
  <si>
    <t>roachanthony@gmail.com</t>
  </si>
  <si>
    <t>2023-01-31, 2023-02-07</t>
  </si>
  <si>
    <t>f099e2b6-b10c-4f77-ba4d-6c8e155c8139</t>
  </si>
  <si>
    <t>donald gonzalez</t>
  </si>
  <si>
    <t>jean47@lamb.com</t>
  </si>
  <si>
    <t>2023-03-14, 2023-03-21, 2023-03-28, 2023-04-04, 2023-04-11, 2023-04-18</t>
  </si>
  <si>
    <t>d895ccea-afe2-4f5c-b2a8-07cc2c471336</t>
  </si>
  <si>
    <t>DIANA LONG</t>
  </si>
  <si>
    <t>lauramckay@yahoo.com</t>
  </si>
  <si>
    <t>2023-04-30, 2023-05-07, 2023-05-14, 2023-05-21, 2023-05-28, 2023-06-04</t>
  </si>
  <si>
    <t>98a91187-6c7a-4c9d-b237-64bae202f022</t>
  </si>
  <si>
    <t>rose dean</t>
  </si>
  <si>
    <t>wgonzalez@yahoo.com</t>
  </si>
  <si>
    <t>2ad0d57e-730c-49bc-9073-c0c3d1c06099</t>
  </si>
  <si>
    <t>tina king</t>
  </si>
  <si>
    <t>cassandra85@yahoo.com</t>
  </si>
  <si>
    <t>14-12-2024</t>
  </si>
  <si>
    <t>529b3b96-cf1d-46be-ae0e-343d1d59b308</t>
  </si>
  <si>
    <t>cody sanchez</t>
  </si>
  <si>
    <t>nathan51@flores.com</t>
  </si>
  <si>
    <t>2022-05-23, 2022-05-30, 2022-06-06, 2022-06-13</t>
  </si>
  <si>
    <t>5251d645-cb94-4f8d-9145-aa387722ec2c</t>
  </si>
  <si>
    <t>kristina cruz</t>
  </si>
  <si>
    <t>dakotaramirez@shah.org</t>
  </si>
  <si>
    <t>6f69a1cf-c196-46e9-aea0-32926bf7d125</t>
  </si>
  <si>
    <t>FRANCISCO GONZALEZ</t>
  </si>
  <si>
    <t>rwilliams@yahoo.com</t>
  </si>
  <si>
    <t>99f75c76-2bcf-403f-b3e9-b99b1fc489b3</t>
  </si>
  <si>
    <t>james ray</t>
  </si>
  <si>
    <t>schneidermelissa@gmail.com</t>
  </si>
  <si>
    <t>2022-10-09, 2022-10-16, 2022-10-23, 2022-10-30, 2022-11-06, 2022-11-13</t>
  </si>
  <si>
    <t>f783b6f6-d775-4809-a18d-052048cc32c6</t>
  </si>
  <si>
    <t>steven hull</t>
  </si>
  <si>
    <t>deanna17@gallegos.com</t>
  </si>
  <si>
    <t>2024-03-24, 2024-03-31, 2024-04-07, 2024-04-14, 2024-04-21</t>
  </si>
  <si>
    <t>667cf788-5887-43d2-80f1-fa3a5133577b</t>
  </si>
  <si>
    <t>raymond snyder</t>
  </si>
  <si>
    <t>devans@allison-coffey.com</t>
  </si>
  <si>
    <t>2023-06-07, 2023-06-14, 2023-06-21, 2023-06-28</t>
  </si>
  <si>
    <t>077f6e36-1a4d-47db-9e33-bdbcf00d5a65</t>
  </si>
  <si>
    <t>roger taylor</t>
  </si>
  <si>
    <t>fperez@gmail.com</t>
  </si>
  <si>
    <t>2023-11-08, 2023-11-15, 2023-11-22, 2023-11-29, 2023-12-06</t>
  </si>
  <si>
    <t>fd54225b-899d-4cd2-a723-2e8ad0ef0cd4</t>
  </si>
  <si>
    <t>MICHAEL WILLIAMS</t>
  </si>
  <si>
    <t>williamskevin@murphy-salazar.biz</t>
  </si>
  <si>
    <t>2023-11-01, 2023-11-08, 2023-11-15, 2023-11-22, 2023-11-29, 2023-12-06</t>
  </si>
  <si>
    <t>23447519-ecc3-4555-ab9b-4ffcb2dbb2c5</t>
  </si>
  <si>
    <t>barbara flores</t>
  </si>
  <si>
    <t>qwalsh@boyd.org</t>
  </si>
  <si>
    <t>2023-05-31, 2023-06-07, 2023-06-14, 2023-06-21</t>
  </si>
  <si>
    <t>47d1931c-f9f2-49ab-bd77-71f8a948ec66</t>
  </si>
  <si>
    <t>nicholas perez</t>
  </si>
  <si>
    <t>jennifer58@gmail.com</t>
  </si>
  <si>
    <t>34b549be-db19-4e67-bc3a-8abba5aa9765</t>
  </si>
  <si>
    <t>ANGELA SIMPSON</t>
  </si>
  <si>
    <t>santiagotaylor@lopez-garcia.com</t>
  </si>
  <si>
    <t>2025-01-25, 2025-02-01, 2025-02-08, 2025-02-15, 2025-02-22, 2025-03-01, 2025-03-08, 2025-03-15</t>
  </si>
  <si>
    <t>dbc3f559-8390-4d94-8713-b81fc2f86229</t>
  </si>
  <si>
    <t>tony erickson</t>
  </si>
  <si>
    <t>sloanjeffery@cruz-chavez.org</t>
  </si>
  <si>
    <t>301db817-6673-442d-87af-75de33f92a87</t>
  </si>
  <si>
    <t>jay parks</t>
  </si>
  <si>
    <t>stevenrodriguez@allen.com</t>
  </si>
  <si>
    <t>2024-06-12, 2024-06-19, 2024-06-26, 2024-07-03</t>
  </si>
  <si>
    <t>87e81b25-a971-4404-b9ea-e46107516daa</t>
  </si>
  <si>
    <t>DEREK MCINTOSH</t>
  </si>
  <si>
    <t>ryan26@jordan.com</t>
  </si>
  <si>
    <t>2023-05-26, 2023-06-02, 2023-06-09</t>
  </si>
  <si>
    <t>bb647511-61ec-4f07-a60c-13290c941263</t>
  </si>
  <si>
    <t>CHEYENNE LOPEZ</t>
  </si>
  <si>
    <t>alyssa78@rodriguez-williams.com</t>
  </si>
  <si>
    <t>e5228d31-0d9a-4fce-9d7c-f46d3836613c</t>
  </si>
  <si>
    <t>DEREK JONES</t>
  </si>
  <si>
    <t>jeremy96@long-robinson.com</t>
  </si>
  <si>
    <t>2022-09-26, 2022-10-03, 2022-10-10, 2022-10-17, 2022-10-24</t>
  </si>
  <si>
    <t>341d85cd-c925-4285-abc8-906f34a91b86</t>
  </si>
  <si>
    <t>dwayne carlson</t>
  </si>
  <si>
    <t>lopezrebecca@woods.com</t>
  </si>
  <si>
    <t>2024-05-15, 2024-05-22, 2024-05-29, 2024-06-05, 2024-06-12, 2024-06-19, 2024-06-26, 2024-07-03</t>
  </si>
  <si>
    <t>2aa946d4-11c7-476c-ae73-03c050ab3660</t>
  </si>
  <si>
    <t>STEVEN THOMAS</t>
  </si>
  <si>
    <t>bpatterson@mccann.com</t>
  </si>
  <si>
    <t>2022-12-27, 2023-01-03, 2023-01-10, 2023-01-17, 2023-01-24, 2023-01-31, 2023-02-07, 2023-02-14</t>
  </si>
  <si>
    <t>9810b8c1-027d-4b45-9a64-15b5c2a072dd</t>
  </si>
  <si>
    <t>john smith</t>
  </si>
  <si>
    <t>25-02-2025</t>
  </si>
  <si>
    <t>d1a529db-0b90-403d-9c00-b89578fa3b84</t>
  </si>
  <si>
    <t>michael roberts</t>
  </si>
  <si>
    <t>karirowe@torres.com</t>
  </si>
  <si>
    <t>2023-04-26, 2023-05-03, 2023-05-10</t>
  </si>
  <si>
    <t>fd6314f2-59cc-494a-bc1c-d60d7d9c03c7</t>
  </si>
  <si>
    <t>MARY KING</t>
  </si>
  <si>
    <t>careykevin@yahoo.com</t>
  </si>
  <si>
    <t>dd7902fc-db61-4a80-a9f7-c6d1c6475ae2</t>
  </si>
  <si>
    <t>linda rodriguez</t>
  </si>
  <si>
    <t>tiffanychase@mcknight.org</t>
  </si>
  <si>
    <t>2024-06-19, 2024-06-26, 2024-07-03</t>
  </si>
  <si>
    <t>34d091d1-5c02-41da-ae43-b319f9299271</t>
  </si>
  <si>
    <t>cheryl blevins</t>
  </si>
  <si>
    <t>natalie87@thompson.com</t>
  </si>
  <si>
    <t>2025-03-22, 2025-03-29, 2025-04-05, 2025-04-12, 2025-04-19</t>
  </si>
  <si>
    <t>fe731856-f1fc-4c36-aad3-cc4096d26487</t>
  </si>
  <si>
    <t>connor riley</t>
  </si>
  <si>
    <t>hamiltonspencer@yahoo.com</t>
  </si>
  <si>
    <t>2023-12-05, 2023-12-12, 2023-12-19, 2023-12-26, 2024-01-02, 2024-01-09, 2024-01-16, 2024-01-23</t>
  </si>
  <si>
    <t>7fb9ae49-0222-4c10-b82f-2dc31c35730b</t>
  </si>
  <si>
    <t>bridget becker</t>
  </si>
  <si>
    <t>8ee25180-9fb1-49a3-8a2f-2373f777c816</t>
  </si>
  <si>
    <t>ELIZABETH ROBERTS</t>
  </si>
  <si>
    <t>chavezjeff@hotmail.com</t>
  </si>
  <si>
    <t>014d9829-4e4a-416f-bd05-955b0d9e1328</t>
  </si>
  <si>
    <t>michaelcampbell@hotmail.com</t>
  </si>
  <si>
    <t>2022-10-15, 2022-10-22, 2022-10-29, 2022-11-05, 2022-11-12, 2022-11-19</t>
  </si>
  <si>
    <t>27b0816b-8f8d-4107-84d5-ac13f561d900</t>
  </si>
  <si>
    <t>michelle thomas</t>
  </si>
  <si>
    <t>frichards@robinson-kennedy.com</t>
  </si>
  <si>
    <t>2025-02-03, 2025-02-10, 2025-02-17, 2025-02-24, 2025-03-03, 2025-03-10, 2025-03-17</t>
  </si>
  <si>
    <t>62e0adf7-a315-4bbb-adb2-31a2cfcc2abd</t>
  </si>
  <si>
    <t>walter garcia</t>
  </si>
  <si>
    <t>carla29@yahoo.com</t>
  </si>
  <si>
    <t>28-04-2023</t>
  </si>
  <si>
    <t>9402c7be-cdeb-4d3c-928e-0ae8e03d1b30</t>
  </si>
  <si>
    <t>RANDALL WRIGHT</t>
  </si>
  <si>
    <t>kevinmiller@hotmail.com</t>
  </si>
  <si>
    <t>2025-02-24, 2025-03-03, 2025-03-10, 2025-03-17, 2025-03-24</t>
  </si>
  <si>
    <t>603f4ddc-2ef1-4a90-8bbb-8f3f760e36aa</t>
  </si>
  <si>
    <t>sandra davis</t>
  </si>
  <si>
    <t>william57@yahoo.com</t>
  </si>
  <si>
    <t>2024-12-08, 2024-12-15, 2024-12-22, 2024-12-29, 2025-01-05, 2025-01-12, 2025-01-19, 2025-01-26</t>
  </si>
  <si>
    <t>6906b588-f621-42ab-aba6-4252776ffd03</t>
  </si>
  <si>
    <t>THOMAS JOHNSON</t>
  </si>
  <si>
    <t>camposchristina@yahoo.com</t>
  </si>
  <si>
    <t>209515d5-5f84-4666-831f-fc009490029d</t>
  </si>
  <si>
    <t>stephanie rich</t>
  </si>
  <si>
    <t>qmartinez@ford.info</t>
  </si>
  <si>
    <t>2023-04-18, 2023-04-25, 2023-05-02, 2023-05-09, 2023-05-16, 2023-05-23</t>
  </si>
  <si>
    <t>d473f3b5-452a-4da7-8e00-583d15ac37f0</t>
  </si>
  <si>
    <t>mrs. linda short</t>
  </si>
  <si>
    <t>michelle19@hotmail.com</t>
  </si>
  <si>
    <t>2022-06-30, 2022-07-07, 2022-07-14, 2022-07-21, 2022-07-28, 2022-08-04</t>
  </si>
  <si>
    <t>b39a442b-0d92-4c7e-b78a-2037bd46ebd5</t>
  </si>
  <si>
    <t>charles yang</t>
  </si>
  <si>
    <t>jeffreylowe@gmail.com</t>
  </si>
  <si>
    <t>2024-06-08, 2024-06-15, 2024-06-22</t>
  </si>
  <si>
    <t>fd397fe7-b819-415d-8f96-8a84a0d44d24</t>
  </si>
  <si>
    <t>renee hanson</t>
  </si>
  <si>
    <t>joneseric@meyer.com</t>
  </si>
  <si>
    <t>2023-07-18, 2023-07-25, 2023-08-01</t>
  </si>
  <si>
    <t>817c6779-d52d-4f91-864f-e16479472ea4</t>
  </si>
  <si>
    <t>anthony martinez</t>
  </si>
  <si>
    <t>pmcgrath@hotmail.com</t>
  </si>
  <si>
    <t>2022-09-14, 2022-09-21</t>
  </si>
  <si>
    <t>706ad042-ae6b-4455-9cdd-d7c2d25a0b3f</t>
  </si>
  <si>
    <t>LISA REYNOLDS</t>
  </si>
  <si>
    <t>donaldgarner@jackson.net</t>
  </si>
  <si>
    <t>16-05-2023</t>
  </si>
  <si>
    <t>2023-05-16, 2023-05-23, 2023-05-30, 2023-06-06, 2023-06-13, 2023-06-20, 2023-06-27, 2023-07-04</t>
  </si>
  <si>
    <t>4a1954ec-4a3f-4fda-baff-d9bd79e58450</t>
  </si>
  <si>
    <t>tina vasquez</t>
  </si>
  <si>
    <t>zcruz@gmail.com</t>
  </si>
  <si>
    <t>2023-02-12, 2023-02-19, 2023-02-26, 2023-03-05, 2023-03-12, 2023-03-19</t>
  </si>
  <si>
    <t>25ee3dfd-6cc1-4a4d-9041-1dec6ab9ba0f</t>
  </si>
  <si>
    <t>JIM ELLIOTT</t>
  </si>
  <si>
    <t>austin97@odonnell.com</t>
  </si>
  <si>
    <t>2024-03-27, 2024-04-03, 2024-04-10, 2024-04-17, 2024-04-24, 2024-05-01, 2024-05-08, 2024-05-15</t>
  </si>
  <si>
    <t>46e32efc-7556-4ff1-b91a-ce28e1e68d35</t>
  </si>
  <si>
    <t>christopher mason</t>
  </si>
  <si>
    <t>rachel86@brown.org</t>
  </si>
  <si>
    <t>2024-04-02, 2024-04-09, 2024-04-16, 2024-04-23, 2024-04-30</t>
  </si>
  <si>
    <t>c964f746-dbd1-45a3-b716-307d75a09875</t>
  </si>
  <si>
    <t>richard barrett</t>
  </si>
  <si>
    <t>hendricksdeanna@yahoo.com</t>
  </si>
  <si>
    <t>2023-09-16, 2023-09-23</t>
  </si>
  <si>
    <t>937749f6-2e2d-4681-a8b2-60709b1872ac</t>
  </si>
  <si>
    <t>katie hopkins</t>
  </si>
  <si>
    <t>heidichapman@hotmail.com</t>
  </si>
  <si>
    <t>2024-04-08, 2024-04-15, 2024-04-22, 2024-04-29, 2024-05-06, 2024-05-13, 2024-05-20</t>
  </si>
  <si>
    <t>675db93b-d473-4d37-9e12-d7cf95a15905</t>
  </si>
  <si>
    <t>allen quinn</t>
  </si>
  <si>
    <t>ortegavictor@alvarez.com</t>
  </si>
  <si>
    <t>ba68e69f-2c8b-4151-a179-2fcde658eb6a</t>
  </si>
  <si>
    <t>nicole fisher</t>
  </si>
  <si>
    <t>salazardanny@jones.com</t>
  </si>
  <si>
    <t>2022-09-17, 2022-09-24</t>
  </si>
  <si>
    <t>73131038-b2df-4075-9b8f-abe952377d88</t>
  </si>
  <si>
    <t>william berry</t>
  </si>
  <si>
    <t>johnnykim@perez-harmon.biz</t>
  </si>
  <si>
    <t>2023-01-02, 2023-01-09, 2023-01-16, 2023-01-23</t>
  </si>
  <si>
    <t>16054b9e-313a-4c74-8a3d-b769cf052461</t>
  </si>
  <si>
    <t>lori barnett</t>
  </si>
  <si>
    <t>patrickpatricia@schroeder-carroll.com</t>
  </si>
  <si>
    <t>2024-07-06, 2024-07-13, 2024-07-20, 2024-07-27</t>
  </si>
  <si>
    <t>f52eaf63-badf-47a8-aeaf-39512f701b32</t>
  </si>
  <si>
    <t>MARIA CRAWFORD</t>
  </si>
  <si>
    <t>wmason@yoder.info</t>
  </si>
  <si>
    <t>2023-09-18, 2023-09-25, 2023-10-02, 2023-10-09, 2023-10-16</t>
  </si>
  <si>
    <t>1224615f-dfbc-4340-a049-48bea01ed90e</t>
  </si>
  <si>
    <t>BETHANY HOLMES</t>
  </si>
  <si>
    <t>jimenezbrett@rivera.com</t>
  </si>
  <si>
    <t>df5864d5-1165-4b1e-9b9f-acdeb409b855</t>
  </si>
  <si>
    <t>TRACY JONES</t>
  </si>
  <si>
    <t>reginald08@snow.com</t>
  </si>
  <si>
    <t>2023-12-04, 2023-12-11</t>
  </si>
  <si>
    <t>6be13e78-568a-420d-8843-280a07aca3fe</t>
  </si>
  <si>
    <t>george hubbard</t>
  </si>
  <si>
    <t>amygross@gaines.org</t>
  </si>
  <si>
    <t>2025-01-15, 2025-01-22, 2025-01-29</t>
  </si>
  <si>
    <t>ceb7803e-c3fc-4c0e-95c2-c94db3fdc2b8</t>
  </si>
  <si>
    <t>william dodson</t>
  </si>
  <si>
    <t>rpotts@williams.com</t>
  </si>
  <si>
    <t>2024-11-09, 2024-11-16, 2024-11-23, 2024-11-30</t>
  </si>
  <si>
    <t>d98eb024-c813-4025-8dac-d33c7a438217</t>
  </si>
  <si>
    <t>crystal velazquez</t>
  </si>
  <si>
    <t>amandadalton@sutton.biz</t>
  </si>
  <si>
    <t>2024-02-06, 2024-02-13, 2024-02-20, 2024-02-27, 2024-03-05, 2024-03-12, 2024-03-19, 2024-03-26</t>
  </si>
  <si>
    <t>b38adf82-6e02-4a88-a00f-8ed9b2086418</t>
  </si>
  <si>
    <t>CHAD KIM</t>
  </si>
  <si>
    <t>james60@gmail.com</t>
  </si>
  <si>
    <t>2023-11-14, 2023-11-21, 2023-11-28, 2023-12-05, 2023-12-12, 2023-12-19, 2023-12-26, 2024-01-02</t>
  </si>
  <si>
    <t>3a24ec19-0292-4d3d-96af-a28a178cb5a0</t>
  </si>
  <si>
    <t>paul morton</t>
  </si>
  <si>
    <t>marksjohn@jones.info</t>
  </si>
  <si>
    <t>2023-04-02, 2023-04-09, 2023-04-16, 2023-04-23</t>
  </si>
  <si>
    <t>5983ce94-506a-4dd3-8b31-324f485835db</t>
  </si>
  <si>
    <t>stephanie bolton</t>
  </si>
  <si>
    <t>hmendoza@jones.info</t>
  </si>
  <si>
    <t>2023-01-12, 2023-01-19, 2023-01-26, 2023-02-02, 2023-02-09, 2023-02-16</t>
  </si>
  <si>
    <t>e5cbbf13-5b61-4ebe-903c-9c2cbc3749b1</t>
  </si>
  <si>
    <t>connie marquez</t>
  </si>
  <si>
    <t>misty38@yahoo.com</t>
  </si>
  <si>
    <t>2025-04-06, 2025-04-13, 2025-04-20, 2025-04-27, 2025-05-04, 2025-05-11, 2025-05-18</t>
  </si>
  <si>
    <t>1ab88733-80e1-4c41-8a9a-727fb2a12a55</t>
  </si>
  <si>
    <t>steven thornton</t>
  </si>
  <si>
    <t>christian28@gmail.com</t>
  </si>
  <si>
    <t>2023-08-15, 2023-08-22, 2023-08-29, 2023-09-05, 2023-09-12, 2023-09-19, 2023-09-26, 2023-10-03</t>
  </si>
  <si>
    <t>1f6c6a86-35f4-4fba-8d8f-2868bdedb9cc</t>
  </si>
  <si>
    <t>robert thomas</t>
  </si>
  <si>
    <t>dsantos@smith.com</t>
  </si>
  <si>
    <t>2023-07-24, 2023-07-31</t>
  </si>
  <si>
    <t>d3c1fe3f-4ce7-4b3f-a259-66cc9696e833</t>
  </si>
  <si>
    <t>amy bond</t>
  </si>
  <si>
    <t>ysmith@yahoo.com</t>
  </si>
  <si>
    <t>611b92ab-34aa-4abd-b975-74330b5ed148</t>
  </si>
  <si>
    <t>jeffrey williams</t>
  </si>
  <si>
    <t>weavermichael@gmail.com</t>
  </si>
  <si>
    <t>2024-02-25, 2024-03-03, 2024-03-10, 2024-03-17</t>
  </si>
  <si>
    <t>ec35fb0c-5612-46fb-a4a6-bf51c125798e</t>
  </si>
  <si>
    <t>deborah mullins</t>
  </si>
  <si>
    <t>petersonmaria@glenn-patton.com</t>
  </si>
  <si>
    <t>2024-11-07, 2024-11-14, 2024-11-21, 2024-11-28</t>
  </si>
  <si>
    <t>b8a6ebf6-f3d5-4f3e-a35b-36bd8da4afbe</t>
  </si>
  <si>
    <t>DONNA RITTER</t>
  </si>
  <si>
    <t>karmstrong@hotmail.com</t>
  </si>
  <si>
    <t>23-09-2022</t>
  </si>
  <si>
    <t>77a319c6-619c-4a06-b5d6-8c8f299ccd73</t>
  </si>
  <si>
    <t>TAMMY ANDERSON</t>
  </si>
  <si>
    <t>lauren41@wise.com</t>
  </si>
  <si>
    <t>46368d12-9d94-413f-89e2-18a7650495b5</t>
  </si>
  <si>
    <t>MATTHEW PATTON</t>
  </si>
  <si>
    <t>2024-09-10, 2024-09-17, 2024-09-24, 2024-10-01, 2024-10-08, 2024-10-15, 2024-10-22, 2024-10-29</t>
  </si>
  <si>
    <t>91855abd-4e90-4e4a-9fd2-8b9e0328a80d</t>
  </si>
  <si>
    <t>sara abbott</t>
  </si>
  <si>
    <t>asmith@yahoo.com</t>
  </si>
  <si>
    <t>a34321bf-7aee-47df-9bd5-5037f7444596</t>
  </si>
  <si>
    <t>claudia brown</t>
  </si>
  <si>
    <t>penny85@alexander.com</t>
  </si>
  <si>
    <t>2022-06-03, 2022-06-10, 2022-06-17, 2022-06-24</t>
  </si>
  <si>
    <t>3a38204b-2091-4706-beb3-a98fde7a69b4</t>
  </si>
  <si>
    <t>bridget williamson</t>
  </si>
  <si>
    <t>dannyjohnson@hunter.net</t>
  </si>
  <si>
    <t>15-05-2023</t>
  </si>
  <si>
    <t>fdf1d205-b6ec-484e-b3a2-dc1d0f916e97</t>
  </si>
  <si>
    <t>david gregory</t>
  </si>
  <si>
    <t>burkemichael@gmail.com</t>
  </si>
  <si>
    <t>2023-03-27, 2023-04-03, 2023-04-10, 2023-04-17, 2023-04-24, 2023-05-01, 2023-05-08, 2023-05-15</t>
  </si>
  <si>
    <t>13d3c726-82d3-4948-9cf9-8855719db54f</t>
  </si>
  <si>
    <t>gabriel watson</t>
  </si>
  <si>
    <t>maynancy@gmail.com</t>
  </si>
  <si>
    <t>2024-06-02, 2024-06-09</t>
  </si>
  <si>
    <t>5c3bc3e5-c9c5-4567-9b62-2c0a53982922</t>
  </si>
  <si>
    <t>jason pearson</t>
  </si>
  <si>
    <t>christy25@gmail.com</t>
  </si>
  <si>
    <t>2022-05-15, 2022-05-22, 2022-05-29, 2022-06-05, 2022-06-12, 2022-06-19, 2022-06-26</t>
  </si>
  <si>
    <t>975aae69-e970-4c9e-a66a-8b90ee28b2f4</t>
  </si>
  <si>
    <t>LEE MORTON</t>
  </si>
  <si>
    <t>nicholasaguilar@hotmail.com</t>
  </si>
  <si>
    <t>2023-07-02, 2023-07-09, 2023-07-16, 2023-07-23, 2023-07-30, 2023-08-06</t>
  </si>
  <si>
    <t>a632c350-ff71-4ff4-833a-8761618f178a</t>
  </si>
  <si>
    <t>billy walls</t>
  </si>
  <si>
    <t>hryan@yates.net</t>
  </si>
  <si>
    <t>2022-11-26, 2022-12-03, 2022-12-10</t>
  </si>
  <si>
    <t>d604ae9f-31ed-40f5-84e9-28ac5122f001</t>
  </si>
  <si>
    <t>susan murphy</t>
  </si>
  <si>
    <t>2024-02-21, 2024-02-28, 2024-03-06</t>
  </si>
  <si>
    <t>bf89444e-5097-4e46-b4b0-b2433b1ba723</t>
  </si>
  <si>
    <t>MELISSA WALLACE</t>
  </si>
  <si>
    <t>christopher88@gmail.com</t>
  </si>
  <si>
    <t>2023-10-21, 2023-10-28, 2023-11-04, 2023-11-11, 2023-11-18, 2023-11-25, 2023-12-02</t>
  </si>
  <si>
    <t>3af834f2-9aef-4aec-bbf1-8cf4a740a142</t>
  </si>
  <si>
    <t>JASON HUDSON</t>
  </si>
  <si>
    <t>kimberlyrussell@wade.com</t>
  </si>
  <si>
    <t>6bc822f4-6893-438a-94dd-93141e32e3e1</t>
  </si>
  <si>
    <t>BRITTANY SNYDER</t>
  </si>
  <si>
    <t>nancysmith@barnes.info</t>
  </si>
  <si>
    <t>2023-08-07, 2023-08-14, 2023-08-21</t>
  </si>
  <si>
    <t>d577c131-08b9-4ed4-9e94-da10205b9db8</t>
  </si>
  <si>
    <t>michael fritz</t>
  </si>
  <si>
    <t>wstrong@morales.com</t>
  </si>
  <si>
    <t>2022-09-10, 2022-09-17</t>
  </si>
  <si>
    <t>d3208f77-e5bd-4b3e-9639-117a1e78ba02</t>
  </si>
  <si>
    <t>leslie jensen</t>
  </si>
  <si>
    <t>rodgersmichael@lozano-mccoy.biz</t>
  </si>
  <si>
    <t>22758233-b33a-46b9-ba23-9f3cc1f6028b</t>
  </si>
  <si>
    <t>misty lawrence</t>
  </si>
  <si>
    <t>paulawatkins@craig-chavez.com</t>
  </si>
  <si>
    <t>2023-06-30, 2023-07-07, 2023-07-14, 2023-07-21, 2023-07-28, 2023-08-04, 2023-08-11, 2023-08-18</t>
  </si>
  <si>
    <t>968c77f1-b8f7-4f48-8238-03582d3dab8a</t>
  </si>
  <si>
    <t>raymond hall</t>
  </si>
  <si>
    <t>brandon88@hotmail.com</t>
  </si>
  <si>
    <t>2024-02-17, 2024-02-24, 2024-03-02, 2024-03-09, 2024-03-16, 2024-03-23</t>
  </si>
  <si>
    <t>49069da9-6d3b-467c-ad94-4378d814abe0</t>
  </si>
  <si>
    <t>FERNANDO WHITE</t>
  </si>
  <si>
    <t>cervantesjessica@clark.org</t>
  </si>
  <si>
    <t>2024-06-04, 2024-06-11, 2024-06-18, 2024-06-25, 2024-07-02, 2024-07-09, 2024-07-16, 2024-07-23</t>
  </si>
  <si>
    <t>2a6445d3-48e8-4f79-98eb-a4621976a39a</t>
  </si>
  <si>
    <t>DONALD GONZALES</t>
  </si>
  <si>
    <t>sheila49@middleton.com</t>
  </si>
  <si>
    <t>d6baf0f2-8d5a-4549-b4f3-ab8e1891e25c</t>
  </si>
  <si>
    <t>caroline george</t>
  </si>
  <si>
    <t>2022-11-12, 2022-11-19</t>
  </si>
  <si>
    <t>89b4db80-8a32-484a-a401-461af5b92b3c</t>
  </si>
  <si>
    <t>ADRIANA WALL</t>
  </si>
  <si>
    <t>james96@wallace.com</t>
  </si>
  <si>
    <t>2022-06-07, 2022-06-14, 2022-06-21, 2022-06-28, 2022-07-05, 2022-07-12, 2022-07-19</t>
  </si>
  <si>
    <t>7e45fee4-6ea8-4b32-a38d-9fb071c487bc</t>
  </si>
  <si>
    <t>SEAN KAISER</t>
  </si>
  <si>
    <t>linda31@moore-rogers.info</t>
  </si>
  <si>
    <t>2022-10-10, 2022-10-17, 2022-10-24, 2022-10-31, 2022-11-07, 2022-11-14, 2022-11-21</t>
  </si>
  <si>
    <t>c6ec757f-ac0d-4818-8349-c078bc4b2732</t>
  </si>
  <si>
    <t>michael mcclain</t>
  </si>
  <si>
    <t>tgarcia@stewart.com</t>
  </si>
  <si>
    <t>2024-12-11, 2024-12-18</t>
  </si>
  <si>
    <t>230a37e5-3ef4-43df-820a-5c40a095c0d0</t>
  </si>
  <si>
    <t>SHELBY ROBINSON</t>
  </si>
  <si>
    <t>theodore72@crawford.com</t>
  </si>
  <si>
    <t>36d5187b-bfdb-410b-b929-1d34db6ea0ba</t>
  </si>
  <si>
    <t>austin grant</t>
  </si>
  <si>
    <t>benjaminwatts@james.info</t>
  </si>
  <si>
    <t>2024-06-17, 2024-06-24, 2024-07-01, 2024-07-08</t>
  </si>
  <si>
    <t>e0bd6044-2e18-422b-b44f-5031a82d4879</t>
  </si>
  <si>
    <t>david carter</t>
  </si>
  <si>
    <t>zrobles@hotmail.com</t>
  </si>
  <si>
    <t>2024-07-09, 2024-07-16, 2024-07-23, 2024-07-30, 2024-08-06, 2024-08-13, 2024-08-20</t>
  </si>
  <si>
    <t>18b666f8-4ba0-468a-bb20-21f78b1d2284</t>
  </si>
  <si>
    <t>victor prince</t>
  </si>
  <si>
    <t>umontes@gmail.com</t>
  </si>
  <si>
    <t>2023-10-13, 2023-10-20, 2023-10-27, 2023-11-03</t>
  </si>
  <si>
    <t>76f8ef17-2d1b-443e-9da6-536d6cc3f8aa</t>
  </si>
  <si>
    <t>mary bailey</t>
  </si>
  <si>
    <t>e1d5fcea-c610-424b-a0c8-667fb46f0145</t>
  </si>
  <si>
    <t>DR. JOHN JENKINS</t>
  </si>
  <si>
    <t>carterwilliam@brown-ingram.com</t>
  </si>
  <si>
    <t>2023-12-16, 2023-12-23, 2023-12-30, 2024-01-06, 2024-01-13</t>
  </si>
  <si>
    <t>cf1ca021-6431-4fc2-a946-4f3f514f6fd9</t>
  </si>
  <si>
    <t>james gaines</t>
  </si>
  <si>
    <t>vchandler@hotmail.com</t>
  </si>
  <si>
    <t>2025-02-18, 2025-02-25, 2025-03-04, 2025-03-11, 2025-03-18, 2025-03-25</t>
  </si>
  <si>
    <t>38a7c678-68e9-48cf-b298-4bb64efa8dc3</t>
  </si>
  <si>
    <t>carol harris</t>
  </si>
  <si>
    <t>david80@smith.com</t>
  </si>
  <si>
    <t>16-06-2022</t>
  </si>
  <si>
    <t>103f3a46-8d8a-4957-8419-6c8ac44fc2a8</t>
  </si>
  <si>
    <t>KELLY COX</t>
  </si>
  <si>
    <t>maryfoster@perez.com</t>
  </si>
  <si>
    <t>2023-10-06, 2023-10-13, 2023-10-20</t>
  </si>
  <si>
    <t>3fab0c74-bbbb-4ccc-8d8e-352b37328d15</t>
  </si>
  <si>
    <t>AMANDA SMITH</t>
  </si>
  <si>
    <t>cmoody@campbell.com</t>
  </si>
  <si>
    <t>2024-01-09, 2024-01-16, 2024-01-23, 2024-01-30</t>
  </si>
  <si>
    <t>08a5ad03-3f4f-4031-b025-5b9dc5bcc4cd</t>
  </si>
  <si>
    <t>caleb bowers</t>
  </si>
  <si>
    <t>lorettamcdowell@gmail.com</t>
  </si>
  <si>
    <t>2024-12-13, 2024-12-20, 2024-12-27, 2025-01-03, 2025-01-10, 2025-01-17, 2025-01-24</t>
  </si>
  <si>
    <t>b417dee1-b8dc-4390-8127-8b8612ea7890</t>
  </si>
  <si>
    <t>jennifer smith</t>
  </si>
  <si>
    <t>fitzgeraldlaura@decker.com</t>
  </si>
  <si>
    <t>2022-08-03, 2022-08-10, 2022-08-17, 2022-08-24, 2022-08-31, 2022-09-07, 2022-09-14</t>
  </si>
  <si>
    <t>4d59f68e-05ff-42f2-be54-eceb8329bd1a</t>
  </si>
  <si>
    <t>DALE BAKER</t>
  </si>
  <si>
    <t>fcarter@gmail.com</t>
  </si>
  <si>
    <t>2024-01-27, 2024-02-03, 2024-02-10, 2024-02-17, 2024-02-24, 2024-03-02, 2024-03-09</t>
  </si>
  <si>
    <t>48cff1da-7bbc-4b5d-874f-92058f9d7375</t>
  </si>
  <si>
    <t>KIM SANCHEZ</t>
  </si>
  <si>
    <t>xluna@klein.com</t>
  </si>
  <si>
    <t>2023-12-29, 2024-01-05, 2024-01-12, 2024-01-19, 2024-01-26</t>
  </si>
  <si>
    <t>5eaca15d-7274-4e76-bb6b-ecb7c56dbe29</t>
  </si>
  <si>
    <t>brian collins</t>
  </si>
  <si>
    <t>davisgary@watkins-miller.biz</t>
  </si>
  <si>
    <t>2023-12-15, 2023-12-22, 2023-12-29, 2024-01-05, 2024-01-12, 2024-01-19</t>
  </si>
  <si>
    <t>b918a6e8-85fd-49e9-b938-41a9d68bc80f</t>
  </si>
  <si>
    <t>paige brown</t>
  </si>
  <si>
    <t>robert52@gmail.com</t>
  </si>
  <si>
    <t>2024-11-19, 2024-11-26, 2024-12-03, 2024-12-10, 2024-12-17, 2024-12-24, 2024-12-31, 2025-01-07</t>
  </si>
  <si>
    <t>6812a17c-9946-401e-90b8-4f94b062259e</t>
  </si>
  <si>
    <t>debra clark</t>
  </si>
  <si>
    <t>pedwards@gmail.com</t>
  </si>
  <si>
    <t>2023-08-19, 2023-08-26, 2023-09-02, 2023-09-09, 2023-09-16, 2023-09-23</t>
  </si>
  <si>
    <t>83b1c1ec-7ba5-45df-b578-6277761c7a2b</t>
  </si>
  <si>
    <t>nancy quinn</t>
  </si>
  <si>
    <t>2023-08-19, 2023-08-26, 2023-09-02, 2023-09-09</t>
  </si>
  <si>
    <t>602cf604-13d7-44d6-b302-69aa6cfacecc</t>
  </si>
  <si>
    <t>adam meyer</t>
  </si>
  <si>
    <t>2022-09-17, 2022-09-24, 2022-10-01, 2022-10-08, 2022-10-15, 2022-10-22</t>
  </si>
  <si>
    <t>dea7e1ae-7006-42c6-b286-af002a8be289</t>
  </si>
  <si>
    <t>amanda coleman</t>
  </si>
  <si>
    <t>jtaylor@ross-phillips.biz</t>
  </si>
  <si>
    <t>ad3b1b9d-e156-40e9-ac06-3d73b84e2f11</t>
  </si>
  <si>
    <t>FRANK PRESTON</t>
  </si>
  <si>
    <t>kellycohen@crane.info</t>
  </si>
  <si>
    <t>2023-07-08, 2023-07-15, 2023-07-22, 2023-07-29, 2023-08-05</t>
  </si>
  <si>
    <t>ed55169f-5486-4db3-afaa-f79135eb0106</t>
  </si>
  <si>
    <t>whitney reilly</t>
  </si>
  <si>
    <t>asmith@hernandez.com</t>
  </si>
  <si>
    <t>2024-03-26, 2024-04-02</t>
  </si>
  <si>
    <t>b1acf1dd-3303-443c-b00b-6e7bb3932fb8</t>
  </si>
  <si>
    <t>JIMMY DAVIS</t>
  </si>
  <si>
    <t>carlfields@gmail.com</t>
  </si>
  <si>
    <t>2023-08-04, 2023-08-11</t>
  </si>
  <si>
    <t>3150e60d-ed89-42c2-839d-fd70a0fa7665</t>
  </si>
  <si>
    <t>robert parrish</t>
  </si>
  <si>
    <t>claudia64@hotmail.com</t>
  </si>
  <si>
    <t>2023-09-24, 2023-10-01, 2023-10-08</t>
  </si>
  <si>
    <t>13d579ae-33dc-409c-a8cc-5023a43fdaf0</t>
  </si>
  <si>
    <t>ASHLEY ROBINSON</t>
  </si>
  <si>
    <t>anne28@newman.org</t>
  </si>
  <si>
    <t>2024-07-25, 2024-08-01, 2024-08-08, 2024-08-15, 2024-08-22</t>
  </si>
  <si>
    <t>bcbd6eeb-ceab-4f76-b776-f4e846f90964</t>
  </si>
  <si>
    <t>mary kennedy</t>
  </si>
  <si>
    <t>loganveronica@noble.com</t>
  </si>
  <si>
    <t>00102dc0-dfe6-4589-b9b8-023d2a3189ba</t>
  </si>
  <si>
    <t>steven williams</t>
  </si>
  <si>
    <t>uortega@yahoo.com</t>
  </si>
  <si>
    <t>2022-11-15, 2022-11-22, 2022-11-29, 2022-12-06, 2022-12-13, 2022-12-20, 2022-12-27, 2023-01-03</t>
  </si>
  <si>
    <t>8f65abf9-3da3-4aca-9e07-24a8c28fd8cb</t>
  </si>
  <si>
    <t>raymond mccarthy</t>
  </si>
  <si>
    <t>mary58@gmail.com</t>
  </si>
  <si>
    <t>2024-05-23, 2024-05-30, 2024-06-06, 2024-06-13, 2024-06-20</t>
  </si>
  <si>
    <t>2a869922-f492-4b35-b6c2-1bc3d799d80d</t>
  </si>
  <si>
    <t>sandra dawson</t>
  </si>
  <si>
    <t>yhenry@yahoo.com</t>
  </si>
  <si>
    <t>2024-11-02, 2024-11-09, 2024-11-16, 2024-11-23, 2024-11-30, 2024-12-07, 2024-12-14, 2024-12-21</t>
  </si>
  <si>
    <t>6f774027-e656-4fbc-8ed2-de161ec80917</t>
  </si>
  <si>
    <t>cassandra cline</t>
  </si>
  <si>
    <t>jessica39@hotmail.com</t>
  </si>
  <si>
    <t>2025-03-06, 2025-03-13, 2025-03-20</t>
  </si>
  <si>
    <t>eee5b33e-2dd3-4f8e-9fcb-f48261e8baa5</t>
  </si>
  <si>
    <t>alexandra ramos</t>
  </si>
  <si>
    <t>willismark@moon-shaw.com</t>
  </si>
  <si>
    <t>2023-01-28, 2023-02-04, 2023-02-11, 2023-02-18, 2023-02-25, 2023-03-04</t>
  </si>
  <si>
    <t>46633755-a5b0-4639-8895-4db145e526e1</t>
  </si>
  <si>
    <t>jennifer forbes</t>
  </si>
  <si>
    <t>colleen90@hotmail.com</t>
  </si>
  <si>
    <t>7458d92c-a1da-4c7a-9b88-26edff4a9185</t>
  </si>
  <si>
    <t>john golden dds</t>
  </si>
  <si>
    <t>woodchloe@hernandez.com</t>
  </si>
  <si>
    <t>1e92c0ae-d886-4de4-9585-3f0b6b691bd2</t>
  </si>
  <si>
    <t>mark brown</t>
  </si>
  <si>
    <t>tonya39@smith.com</t>
  </si>
  <si>
    <t>2022-08-13, 2022-08-20</t>
  </si>
  <si>
    <t>b8dddfc2-963b-431c-bc7c-356de7dd93a5</t>
  </si>
  <si>
    <t>KELLI SHEPARD</t>
  </si>
  <si>
    <t>qmonroe@gmail.com</t>
  </si>
  <si>
    <t>2022-12-25, 2023-01-01, 2023-01-08, 2023-01-15</t>
  </si>
  <si>
    <t>8063fce4-c2e4-4a50-9336-50db316482fe</t>
  </si>
  <si>
    <t>DEREK THOMPSON</t>
  </si>
  <si>
    <t>2022-07-16, 2022-07-23, 2022-07-30, 2022-08-06, 2022-08-13, 2022-08-20</t>
  </si>
  <si>
    <t>b04fbce9-32dc-4a5b-9bc8-8efe4688d612</t>
  </si>
  <si>
    <t>carrie francis</t>
  </si>
  <si>
    <t>joshua51@owens-huff.com</t>
  </si>
  <si>
    <t>2022-06-15, 2022-06-22</t>
  </si>
  <si>
    <t>1dc35362-1691-483a-b687-853eee265c95</t>
  </si>
  <si>
    <t>catherine miller</t>
  </si>
  <si>
    <t>wangkristina@gmail.com</t>
  </si>
  <si>
    <t>2024-09-02, 2024-09-09, 2024-09-16, 2024-09-23, 2024-09-30, 2024-10-07, 2024-10-14</t>
  </si>
  <si>
    <t>e09012d7-14ce-4f0f-b5d9-704d5fe12b57</t>
  </si>
  <si>
    <t>danielle hood</t>
  </si>
  <si>
    <t>lancegray@thompson-taylor.com</t>
  </si>
  <si>
    <t>2024-12-23, 2024-12-30, 2025-01-06</t>
  </si>
  <si>
    <t>45d62ecd-3030-47f4-95d4-999b39d88a14</t>
  </si>
  <si>
    <t>cassandra phillips</t>
  </si>
  <si>
    <t>christopher59@yahoo.com</t>
  </si>
  <si>
    <t>2024-01-10, 2024-01-17, 2024-01-24, 2024-01-31, 2024-02-07, 2024-02-14, 2024-02-21, 2024-02-28</t>
  </si>
  <si>
    <t>731dc76f-85e6-40fe-a44e-b3e1c5ba136f</t>
  </si>
  <si>
    <t>melissa jackson</t>
  </si>
  <si>
    <t>amandaclark@hotmail.com</t>
  </si>
  <si>
    <t>2023-09-30, 2023-10-07, 2023-10-14, 2023-10-21, 2023-10-28</t>
  </si>
  <si>
    <t>ae98b722-cf97-4016-a560-c77558cfd966</t>
  </si>
  <si>
    <t>christine lyons</t>
  </si>
  <si>
    <t>2024-02-09, 2024-02-16, 2024-02-23</t>
  </si>
  <si>
    <t>cb56eb48-be3d-4265-9471-8d868d366459</t>
  </si>
  <si>
    <t>jose clark</t>
  </si>
  <si>
    <t>hgreen@barrett.org</t>
  </si>
  <si>
    <t>2024-05-28, 2024-06-04, 2024-06-11, 2024-06-18, 2024-06-25, 2024-07-02, 2024-07-09</t>
  </si>
  <si>
    <t>a886a9fc-60be-485d-9053-317b5f4dec1d</t>
  </si>
  <si>
    <t>amanda haynes</t>
  </si>
  <si>
    <t>moorethomas@yahoo.com</t>
  </si>
  <si>
    <t>2023-08-21, 2023-08-28, 2023-09-04, 2023-09-11, 2023-09-18, 2023-09-25, 2023-10-02, 2023-10-09</t>
  </si>
  <si>
    <t>e9c41f0d-2fe6-4a52-99a7-361be729b06f</t>
  </si>
  <si>
    <t>christopher payne</t>
  </si>
  <si>
    <t>dlamb@johnston.com</t>
  </si>
  <si>
    <t>2025-01-07, 2025-01-14, 2025-01-21, 2025-01-28</t>
  </si>
  <si>
    <t>567f3096-99d7-4477-9f8b-00f7b92eefe0</t>
  </si>
  <si>
    <t>mr. andrew hickman</t>
  </si>
  <si>
    <t>fisherkim@morales.com</t>
  </si>
  <si>
    <t>2023-05-04, 2023-05-11</t>
  </si>
  <si>
    <t>862a76f2-f15e-409c-b297-fa7ff719ae43</t>
  </si>
  <si>
    <t>WILLIAM WALTON</t>
  </si>
  <si>
    <t>kristina01@mcguire-thomas.com</t>
  </si>
  <si>
    <t>003742ae-75e9-43d8-aa53-dbd6655fdaa5</t>
  </si>
  <si>
    <t>christina jackson</t>
  </si>
  <si>
    <t>lopezmichaela@yahoo.com</t>
  </si>
  <si>
    <t>2024-03-19, 2024-03-26, 2024-04-02, 2024-04-09, 2024-04-16</t>
  </si>
  <si>
    <t>af496395-2775-457e-bea6-ca65b960df1f</t>
  </si>
  <si>
    <t>PATRICIA SMITH</t>
  </si>
  <si>
    <t>cory86@lewis.info</t>
  </si>
  <si>
    <t>2022-08-25, 2022-09-01, 2022-09-08, 2022-09-15, 2022-09-22, 2022-09-29, 2022-10-06, 2022-10-13</t>
  </si>
  <si>
    <t>63380b42-1887-4a69-aabd-37dac357a620</t>
  </si>
  <si>
    <t>phillip anderson</t>
  </si>
  <si>
    <t>2023-04-19, 2023-04-26, 2023-05-03, 2023-05-10</t>
  </si>
  <si>
    <t>acbc63ed-d1dd-43e6-887f-70f0e5e4b935</t>
  </si>
  <si>
    <t>jessica long</t>
  </si>
  <si>
    <t>tracy90@blackwell.com</t>
  </si>
  <si>
    <t>2023-08-28, 2023-09-04, 2023-09-11, 2023-09-18, 2023-09-25</t>
  </si>
  <si>
    <t>d2bfbc31-805f-4a69-9700-78c15cbe693e</t>
  </si>
  <si>
    <t>kyle sanders</t>
  </si>
  <si>
    <t>devinlopez@turner.com</t>
  </si>
  <si>
    <t>2023-11-01, 2023-11-08, 2023-11-15, 2023-11-22, 2023-11-29, 2023-12-06, 2023-12-13, 2023-12-20</t>
  </si>
  <si>
    <t>26976497-6cfb-4acc-ae0c-5488a76f7d3c</t>
  </si>
  <si>
    <t>james nicholson</t>
  </si>
  <si>
    <t>susan62@sanders.com</t>
  </si>
  <si>
    <t>2023-11-24, 2023-12-01, 2023-12-08, 2023-12-15</t>
  </si>
  <si>
    <t>afa1ff17-58a6-4190-9527-ed08ce65050b</t>
  </si>
  <si>
    <t>mary sullivan</t>
  </si>
  <si>
    <t>luisandrews@parks-smith.biz</t>
  </si>
  <si>
    <t>2024-03-29, 2024-04-05, 2024-04-12</t>
  </si>
  <si>
    <t>6ccb9163-4d8e-4d5e-8df4-73bbc577d3a5</t>
  </si>
  <si>
    <t>mark munoz</t>
  </si>
  <si>
    <t>kimberly58@yahoo.com</t>
  </si>
  <si>
    <t>2024-01-23, 2024-01-30, 2024-02-06, 2024-02-13, 2024-02-20</t>
  </si>
  <si>
    <t>6c8f8833-fb11-4ab6-adc8-6df8c9162eb7</t>
  </si>
  <si>
    <t>janet leonard</t>
  </si>
  <si>
    <t>rogerssarah@scott.info</t>
  </si>
  <si>
    <t>2022-09-27, 2022-10-04, 2022-10-11</t>
  </si>
  <si>
    <t>0a333eef-481e-47f3-b6fa-b8280c6d5a71</t>
  </si>
  <si>
    <t>JOHN RICHARDSON</t>
  </si>
  <si>
    <t>ronald40@hotmail.com</t>
  </si>
  <si>
    <t>2024-02-11, 2024-02-18, 2024-02-25, 2024-03-03</t>
  </si>
  <si>
    <t>6ac475a5-5b5c-46c5-8b11-c1812dc12143</t>
  </si>
  <si>
    <t>FREDERICK FIELDS</t>
  </si>
  <si>
    <t>jessica86@thompson.com</t>
  </si>
  <si>
    <t>7e52c22c-a207-4bf3-a507-68f2ba0ebd56</t>
  </si>
  <si>
    <t>DONALD BONILLA</t>
  </si>
  <si>
    <t>uwilliams@johnson-lynch.com</t>
  </si>
  <si>
    <t>2022-10-19, 2022-10-26, 2022-11-02, 2022-11-09, 2022-11-16, 2022-11-23, 2022-11-30, 2022-12-07</t>
  </si>
  <si>
    <t>1429ef31-b9b3-40ee-baf2-be80833bde78</t>
  </si>
  <si>
    <t>mark turner</t>
  </si>
  <si>
    <t>whitejulie@hotmail.com</t>
  </si>
  <si>
    <t>2023-11-21, 2023-11-28</t>
  </si>
  <si>
    <t>d63c04c0-144b-48bc-a207-6595be209925</t>
  </si>
  <si>
    <t>traci leon</t>
  </si>
  <si>
    <t>christina83@hotmail.com</t>
  </si>
  <si>
    <t>2025-01-15, 2025-01-22, 2025-01-29, 2025-02-05, 2025-02-12, 2025-02-19, 2025-02-26, 2025-03-05</t>
  </si>
  <si>
    <t>3717f44b-7911-4e22-92c6-26305fcdf4b8</t>
  </si>
  <si>
    <t>jessica burgess</t>
  </si>
  <si>
    <t>2022-06-21, 2022-06-28</t>
  </si>
  <si>
    <t>0bb5c276-abe3-47f3-8066-703846dfe43f</t>
  </si>
  <si>
    <t>susan gregory</t>
  </si>
  <si>
    <t>russellandrew@yahoo.com</t>
  </si>
  <si>
    <t>2023-01-20, 2023-01-27, 2023-02-03, 2023-02-10, 2023-02-17, 2023-02-24, 2023-03-03, 2023-03-10</t>
  </si>
  <si>
    <t>76628c4e-445d-4a87-8657-3d382138681b</t>
  </si>
  <si>
    <t>VANESSA FLORES</t>
  </si>
  <si>
    <t>andrewnguyen@carr.org</t>
  </si>
  <si>
    <t>2025-01-21, 2025-01-28, 2025-02-04, 2025-02-11</t>
  </si>
  <si>
    <t>98610b0b-a280-460f-abb7-3dac96818aed</t>
  </si>
  <si>
    <t>james spears</t>
  </si>
  <si>
    <t>matthew57@murray.info</t>
  </si>
  <si>
    <t>ac48ceaf-2b85-4fb7-b29e-21268840e78a</t>
  </si>
  <si>
    <t>jamie guerrero</t>
  </si>
  <si>
    <t>whoffman@clark.com</t>
  </si>
  <si>
    <t>2023-02-28, 2023-03-07, 2023-03-14, 2023-03-21, 2023-03-28, 2023-04-04</t>
  </si>
  <si>
    <t>7395734b-50b9-4f30-8038-32d04ab4ea29</t>
  </si>
  <si>
    <t>alyssa weber</t>
  </si>
  <si>
    <t>annette60@hawkins-henry.com</t>
  </si>
  <si>
    <t>60e0b673-21b6-4b84-899f-ad03ebd23573</t>
  </si>
  <si>
    <t>sarah davis</t>
  </si>
  <si>
    <t>victoriaduncan@hancock.biz</t>
  </si>
  <si>
    <t>2023-11-10, 2023-11-17, 2023-11-24, 2023-12-01, 2023-12-08, 2023-12-15</t>
  </si>
  <si>
    <t>37bea260-c053-4253-9a1e-490d6894844f</t>
  </si>
  <si>
    <t>kyle flores</t>
  </si>
  <si>
    <t>beckgloria@hotmail.com</t>
  </si>
  <si>
    <t>2024-08-08, 2024-08-15, 2024-08-22, 2024-08-29, 2024-09-05, 2024-09-12, 2024-09-19</t>
  </si>
  <si>
    <t>8852787c-891e-4aa2-8097-09fa5159b574</t>
  </si>
  <si>
    <t>scott simpson</t>
  </si>
  <si>
    <t>margaret72@gmail.com</t>
  </si>
  <si>
    <t>2024-12-20, 2024-12-27, 2025-01-03, 2025-01-10, 2025-01-17, 2025-01-24</t>
  </si>
  <si>
    <t>d4721e33-885c-4793-80da-b7f849d5182c</t>
  </si>
  <si>
    <t>john jackson</t>
  </si>
  <si>
    <t>acarpenter@jenkins-fields.org</t>
  </si>
  <si>
    <t>2023-12-19, 2023-12-26, 2024-01-02, 2024-01-09, 2024-01-16, 2024-01-23</t>
  </si>
  <si>
    <t>80dc4873-9eb3-48ad-9c15-b25e2379750a</t>
  </si>
  <si>
    <t>ms. monique dougherty md</t>
  </si>
  <si>
    <t>ashleykennedy@crane.org</t>
  </si>
  <si>
    <t>2023-03-21, 2023-03-28, 2023-04-04, 2023-04-11, 2023-04-18, 2023-04-25</t>
  </si>
  <si>
    <t>dd0a4a6e-82e6-414d-8d53-a19063abbef5</t>
  </si>
  <si>
    <t>THOMAS ELLIS</t>
  </si>
  <si>
    <t>thomasmarquez@morris.com</t>
  </si>
  <si>
    <t>2025-01-17, 2025-01-24, 2025-01-31, 2025-02-07, 2025-02-14</t>
  </si>
  <si>
    <t>758daaee-760f-4d95-93dd-bda134fe6da8</t>
  </si>
  <si>
    <t>larry fritz</t>
  </si>
  <si>
    <t>hporter@massey.com</t>
  </si>
  <si>
    <t>2022-05-24, 2022-05-31, 2022-06-07, 2022-06-14, 2022-06-21</t>
  </si>
  <si>
    <t>01c31adc-11e1-4ee9-b664-b2b9b8d80619</t>
  </si>
  <si>
    <t>MELANIE RUSSELL</t>
  </si>
  <si>
    <t>ajones@yahoo.com</t>
  </si>
  <si>
    <t>2024-03-25, 2024-04-01, 2024-04-08, 2024-04-15, 2024-04-22, 2024-04-29, 2024-05-06</t>
  </si>
  <si>
    <t>9b62d6d2-c6cf-47bf-b73e-54c31ef8aca7</t>
  </si>
  <si>
    <t>kimberly johnson</t>
  </si>
  <si>
    <t>carterraymond@hotmail.com</t>
  </si>
  <si>
    <t>2024-07-19, 2024-07-26, 2024-08-02, 2024-08-09, 2024-08-16, 2024-08-23, 2024-08-30, 2024-09-06</t>
  </si>
  <si>
    <t>ed696cb3-b774-461d-a641-01fa5d0607cc</t>
  </si>
  <si>
    <t>MARIE PATTERSON</t>
  </si>
  <si>
    <t>thomasjose@molina.biz</t>
  </si>
  <si>
    <t>3e39bf9b-e9b8-43ea-a456-d76756ff66fd</t>
  </si>
  <si>
    <t>christine davis</t>
  </si>
  <si>
    <t>fnolan@sherman.com</t>
  </si>
  <si>
    <t>2025-01-20, 2025-01-27</t>
  </si>
  <si>
    <t>734bda19-c991-46cc-94a6-368b71d60744</t>
  </si>
  <si>
    <t>laura wheeler</t>
  </si>
  <si>
    <t>2025-03-12, 2025-03-19, 2025-03-26, 2025-04-02, 2025-04-09, 2025-04-16, 2025-04-23</t>
  </si>
  <si>
    <t>06a4093b-49d6-43b1-8593-53fa25e4e633</t>
  </si>
  <si>
    <t>jacob cox</t>
  </si>
  <si>
    <t>shirley29@hotmail.com</t>
  </si>
  <si>
    <t>ac5bfe79-709a-41ab-b68c-55b279ac446d</t>
  </si>
  <si>
    <t>patrick neal</t>
  </si>
  <si>
    <t>michele43@rosales.com</t>
  </si>
  <si>
    <t>2023-07-24, 2023-07-31, 2023-08-07, 2023-08-14, 2023-08-21</t>
  </si>
  <si>
    <t>5d39b505-4269-4d14-8316-cde595906901</t>
  </si>
  <si>
    <t>NICHOLE FERRELL</t>
  </si>
  <si>
    <t>kmontgomery@yahoo.com</t>
  </si>
  <si>
    <t>2022-11-23, 2022-11-30</t>
  </si>
  <si>
    <t>8047c7e1-da44-4e00-964e-81dd27e78bba</t>
  </si>
  <si>
    <t>james grimes</t>
  </si>
  <si>
    <t>monicaolson@yahoo.com</t>
  </si>
  <si>
    <t>2025-01-01, 2025-01-08, 2025-01-15, 2025-01-22, 2025-01-29</t>
  </si>
  <si>
    <t>1093a05b-f26b-4379-ab32-dc3a03a4bf4b</t>
  </si>
  <si>
    <t>eric walker</t>
  </si>
  <si>
    <t>santosmichael@yahoo.com</t>
  </si>
  <si>
    <t>031f9724-e803-48e2-a37d-afcae9a6df13</t>
  </si>
  <si>
    <t>sarah logan</t>
  </si>
  <si>
    <t>michaeljohnson@garcia.net</t>
  </si>
  <si>
    <t>2024-09-07, 2024-09-14, 2024-09-21</t>
  </si>
  <si>
    <t>df63bcb2-89a8-4d04-bdc3-13b8d8bb254c</t>
  </si>
  <si>
    <t>robert griffin</t>
  </si>
  <si>
    <t>jonathanstevenson@mayer.info</t>
  </si>
  <si>
    <t>2024-07-15, 2024-07-22, 2024-07-29, 2024-08-05, 2024-08-12</t>
  </si>
  <si>
    <t>440910e2-9bf0-42e7-bab8-7bb60a4cb231</t>
  </si>
  <si>
    <t>anna lee</t>
  </si>
  <si>
    <t>alexandrabrown@sanchez.info</t>
  </si>
  <si>
    <t>2023-01-07, 2023-01-14</t>
  </si>
  <si>
    <t>c80aa7cf-e1b3-4498-8974-7baf19283cfc</t>
  </si>
  <si>
    <t>richard jones</t>
  </si>
  <si>
    <t>ramosthomas@gmail.com</t>
  </si>
  <si>
    <t>2024-03-28, 2024-04-04, 2024-04-11, 2024-04-18</t>
  </si>
  <si>
    <t>7cbb2627-9929-47c7-b709-d7d396e15645</t>
  </si>
  <si>
    <t>adam jordan</t>
  </si>
  <si>
    <t>mwaters@shaffer.com</t>
  </si>
  <si>
    <t>2024-07-27, 2024-08-03</t>
  </si>
  <si>
    <t>454f6d2d-99f2-487c-a83c-3806c12adc55</t>
  </si>
  <si>
    <t>christopher hunter md</t>
  </si>
  <si>
    <t>michelle35@yahoo.com</t>
  </si>
  <si>
    <t>2023-05-03, 2023-05-10</t>
  </si>
  <si>
    <t>a03c67ff-4f0d-47bc-80c8-b0838faf04ba</t>
  </si>
  <si>
    <t>william bautista</t>
  </si>
  <si>
    <t>floresterri@yahoo.com</t>
  </si>
  <si>
    <t>2025-02-22, 2025-03-01, 2025-03-08, 2025-03-15</t>
  </si>
  <si>
    <t>c2ac0d6d-10c8-4179-adc5-852129c2f1f9</t>
  </si>
  <si>
    <t>eric schaefer</t>
  </si>
  <si>
    <t>dana82@gmail.com</t>
  </si>
  <si>
    <t>2024-05-16, 2024-05-23</t>
  </si>
  <si>
    <t>4ea4ae73-3695-4a61-bb57-6da7c34a4fa6</t>
  </si>
  <si>
    <t>erica moreno</t>
  </si>
  <si>
    <t>sara39@moore.com</t>
  </si>
  <si>
    <t>2022-09-22, 2022-09-29, 2022-10-06, 2022-10-13, 2022-10-20, 2022-10-27, 2022-11-03, 2022-11-10</t>
  </si>
  <si>
    <t>535fd8d2-2839-4888-a99f-8c039c310930</t>
  </si>
  <si>
    <t>veronica valdez</t>
  </si>
  <si>
    <t>jeremy47@yahoo.com</t>
  </si>
  <si>
    <t>2022-12-08, 2022-12-15</t>
  </si>
  <si>
    <t>ba09a484-556e-40d1-8e65-3eee251dd64e</t>
  </si>
  <si>
    <t>patrick cole</t>
  </si>
  <si>
    <t>afarmer@yahoo.com</t>
  </si>
  <si>
    <t>a552abc6-5a86-403a-a8a6-50cef7fb68d5</t>
  </si>
  <si>
    <t>VANESSA WANG</t>
  </si>
  <si>
    <t>jasonmoran@wall-johnson.biz</t>
  </si>
  <si>
    <t>2022-07-01, 2022-07-08, 2022-07-15</t>
  </si>
  <si>
    <t>bd303739-8f5a-4787-8edd-8e22536019db</t>
  </si>
  <si>
    <t>daniel shaw</t>
  </si>
  <si>
    <t>jonesethan@hotmail.com</t>
  </si>
  <si>
    <t>2023-11-22, 2023-11-29, 2023-12-06, 2023-12-13</t>
  </si>
  <si>
    <t>784983ff-97ca-4ef5-b8a4-c19ff105c2d8</t>
  </si>
  <si>
    <t>theresa harrington</t>
  </si>
  <si>
    <t>mwright@hotmail.com</t>
  </si>
  <si>
    <t>2024-04-21, 2024-04-28, 2024-05-05, 2024-05-12, 2024-05-19, 2024-05-26, 2024-06-02</t>
  </si>
  <si>
    <t>a3beb445-0e5d-4626-99f7-f7750f2f633b</t>
  </si>
  <si>
    <t>joshua kim</t>
  </si>
  <si>
    <t>ruiznicole@gmail.com</t>
  </si>
  <si>
    <t>2023-11-10, 2023-11-17</t>
  </si>
  <si>
    <t>69ed5072-bb81-4774-8676-51b3fa286316</t>
  </si>
  <si>
    <t>shelly lawrence</t>
  </si>
  <si>
    <t>gonzalesmark@farmer.com</t>
  </si>
  <si>
    <t>2023-08-24, 2023-08-31, 2023-09-07</t>
  </si>
  <si>
    <t>c5188d4d-c5a8-446c-a3f5-aea605981489</t>
  </si>
  <si>
    <t>richard dawson</t>
  </si>
  <si>
    <t>rebecca73@gmail.com</t>
  </si>
  <si>
    <t>2025-03-13, 2025-03-20</t>
  </si>
  <si>
    <t>5cb9635c-75f7-4b07-ba49-62d177e43d33</t>
  </si>
  <si>
    <t>michael padilla</t>
  </si>
  <si>
    <t>taylordawn@yahoo.com</t>
  </si>
  <si>
    <t>2023-08-19, 2023-08-26, 2023-09-02, 2023-09-09, 2023-09-16</t>
  </si>
  <si>
    <t>0c4bc3d2-cc50-45cf-bc81-ed5ace5a4372</t>
  </si>
  <si>
    <t>amy mayo</t>
  </si>
  <si>
    <t>knightwendy@hotmail.com</t>
  </si>
  <si>
    <t>2023-12-13, 2023-12-20, 2023-12-27, 2024-01-03</t>
  </si>
  <si>
    <t>485b841f-7df4-4531-89ef-698aca46739f</t>
  </si>
  <si>
    <t>madison navarro</t>
  </si>
  <si>
    <t>schmidtlauren@berry.org</t>
  </si>
  <si>
    <t>2023-08-28, 2023-09-04, 2023-09-11, 2023-09-18, 2023-09-25, 2023-10-02, 2023-10-09</t>
  </si>
  <si>
    <t>12b59aa4-c07d-4001-b0de-0010fe31f408</t>
  </si>
  <si>
    <t>jessica hill</t>
  </si>
  <si>
    <t>debrajones@hotmail.com</t>
  </si>
  <si>
    <t>2025-01-11, 2025-01-18, 2025-01-25, 2025-02-01, 2025-02-08, 2025-02-15</t>
  </si>
  <si>
    <t>c7f7040b-8718-4322-b43c-6de656fdc504</t>
  </si>
  <si>
    <t>SAMANTHA REYNOLDS</t>
  </si>
  <si>
    <t>aandrews@clayton.biz</t>
  </si>
  <si>
    <t>2024-09-16, 2024-09-23</t>
  </si>
  <si>
    <t>9599b267-390f-416d-9b06-f07242442fce</t>
  </si>
  <si>
    <t>erin ellis</t>
  </si>
  <si>
    <t>patricia92@mejia.com</t>
  </si>
  <si>
    <t>2022-11-26, 2022-12-03, 2022-12-10, 2022-12-17, 2022-12-24</t>
  </si>
  <si>
    <t>9a178669-888e-48e7-86b6-a5f419d45a55</t>
  </si>
  <si>
    <t>AMANDA ANDERSON</t>
  </si>
  <si>
    <t>murphyleslie@gmail.com</t>
  </si>
  <si>
    <t>2023-01-14, 2023-01-21, 2023-01-28, 2023-02-04, 2023-02-11, 2023-02-18, 2023-02-25, 2023-03-04</t>
  </si>
  <si>
    <t>29cd4d5c-4d8c-49c6-b3a2-b47b35746477</t>
  </si>
  <si>
    <t>devin mayer</t>
  </si>
  <si>
    <t>anthony71@johnson-dillon.com</t>
  </si>
  <si>
    <t>2025-01-23, 2025-01-30, 2025-02-06, 2025-02-13</t>
  </si>
  <si>
    <t>66308af8-7044-4b51-b262-4be80c994ec1</t>
  </si>
  <si>
    <t>ray lawrence</t>
  </si>
  <si>
    <t>costawilliam@ramsey.com</t>
  </si>
  <si>
    <t>bfeb32a4-5bbf-485b-9ad7-5864bd9ab6d9</t>
  </si>
  <si>
    <t>JENNIFER CLARK MD</t>
  </si>
  <si>
    <t>hscott@yahoo.com</t>
  </si>
  <si>
    <t>2024-05-05, 2024-05-12, 2024-05-19</t>
  </si>
  <si>
    <t>6b8608d1-cdac-4327-a149-96d101db80b4</t>
  </si>
  <si>
    <t>scott gomez</t>
  </si>
  <si>
    <t>hamiltonmelanie@yahoo.com</t>
  </si>
  <si>
    <t>2022-05-02, 2022-05-09, 2022-05-16</t>
  </si>
  <si>
    <t>a682c0fb-159e-4c9f-b382-c1aeffecc4eb</t>
  </si>
  <si>
    <t>JEAN RUIZ</t>
  </si>
  <si>
    <t>brandon32@hotmail.com</t>
  </si>
  <si>
    <t>2023-03-29, 2023-04-05, 2023-04-12, 2023-04-19, 2023-04-26, 2023-05-03, 2023-05-10, 2023-05-17</t>
  </si>
  <si>
    <t>23e57b50-27df-46e0-84c4-69b120c13845</t>
  </si>
  <si>
    <t>pamela brown</t>
  </si>
  <si>
    <t>nathan62@thompson-mayer.com</t>
  </si>
  <si>
    <t>2022-04-21, 2022-04-28, 2022-05-05, 2022-05-12, 2022-05-19, 2022-05-26</t>
  </si>
  <si>
    <t>ecc9d15a-e10b-4781-9d75-18d42e7e4cef</t>
  </si>
  <si>
    <t>christopher jimenez</t>
  </si>
  <si>
    <t>qgarrett@hotmail.com</t>
  </si>
  <si>
    <t>2025-02-08, 2025-02-15</t>
  </si>
  <si>
    <t>54e28fa6-069c-4c0a-8884-4f88074a588f</t>
  </si>
  <si>
    <t>john moss</t>
  </si>
  <si>
    <t>ywilliams@sharp.com</t>
  </si>
  <si>
    <t>10fab909-fcfa-4e61-ab7d-71bc17956e87</t>
  </si>
  <si>
    <t>JOHN LUCERO</t>
  </si>
  <si>
    <t>melodypacheco@gmail.com</t>
  </si>
  <si>
    <t>2023-03-18, 2023-03-25, 2023-04-01, 2023-04-08, 2023-04-15, 2023-04-22, 2023-04-29</t>
  </si>
  <si>
    <t>e7235658-e648-47ae-b830-4c6c79eb1797</t>
  </si>
  <si>
    <t>frank fernandez</t>
  </si>
  <si>
    <t>kvasquez@martinez.com</t>
  </si>
  <si>
    <t>be41635f-150a-4643-a8c1-fb6439bdc3ed</t>
  </si>
  <si>
    <t>JARED EATON</t>
  </si>
  <si>
    <t>jeremylopez@turner.org</t>
  </si>
  <si>
    <t>2022-11-14, 2022-11-21, 2022-11-28, 2022-12-05</t>
  </si>
  <si>
    <t>e2327c25-fcd6-4aba-93c1-392f8453d803</t>
  </si>
  <si>
    <t>steven murphy</t>
  </si>
  <si>
    <t>bethmichael@gmail.com</t>
  </si>
  <si>
    <t>2024-06-22, 2024-06-29, 2024-07-06, 2024-07-13, 2024-07-20, 2024-07-27</t>
  </si>
  <si>
    <t>32a95261-cb50-4aa3-8c4a-ef81a1c2e70c</t>
  </si>
  <si>
    <t>ALEXIS WALTERS</t>
  </si>
  <si>
    <t>randysmith@webb-cooper.org</t>
  </si>
  <si>
    <t>2023-11-26, 2023-12-03, 2023-12-10</t>
  </si>
  <si>
    <t>74047ec7-36ff-412d-be21-81fd73bd185b</t>
  </si>
  <si>
    <t>kimberly wilson</t>
  </si>
  <si>
    <t>matthew24@yahoo.com</t>
  </si>
  <si>
    <t>2023-12-28, 2024-01-04, 2024-01-11</t>
  </si>
  <si>
    <t>a9caa03d-74d1-4024-8c84-c302c5a24d77</t>
  </si>
  <si>
    <t>SCOTT HINES</t>
  </si>
  <si>
    <t>caseyronald@gmail.com</t>
  </si>
  <si>
    <t>f99f5c06-3a24-4e17-9836-a02720507d45</t>
  </si>
  <si>
    <t>BRIAN PIERCE</t>
  </si>
  <si>
    <t>morganparker@yahoo.com</t>
  </si>
  <si>
    <t>2024-07-29, 2024-08-05, 2024-08-12</t>
  </si>
  <si>
    <t>f75ef2cf-153d-4754-b086-424afbfbd9f9</t>
  </si>
  <si>
    <t>kathy sanders</t>
  </si>
  <si>
    <t>marywalker@gonzalez.com</t>
  </si>
  <si>
    <t>2024-08-13, 2024-08-20, 2024-08-27, 2024-09-03, 2024-09-10, 2024-09-17, 2024-09-24</t>
  </si>
  <si>
    <t>901919b7-26da-4a1c-87a9-ff3099d6f609</t>
  </si>
  <si>
    <t>KELLY MCBRIDE</t>
  </si>
  <si>
    <t>heatherosborn@gmail.com</t>
  </si>
  <si>
    <t>2024-07-01, 2024-07-08</t>
  </si>
  <si>
    <t>2a6716d4-ae2e-4dd2-99a2-a60228a3d3a3</t>
  </si>
  <si>
    <t>shannon perez</t>
  </si>
  <si>
    <t>rgarrison@haley.com</t>
  </si>
  <si>
    <t>2023-11-09, 2023-11-16</t>
  </si>
  <si>
    <t>6bd7f764-f8d5-42a7-8591-5047e6a517d0</t>
  </si>
  <si>
    <t>JULIE TAYLOR</t>
  </si>
  <si>
    <t>jonesjeanette@hotmail.com</t>
  </si>
  <si>
    <t>2023-12-03, 2023-12-10, 2023-12-17, 2023-12-24, 2023-12-31, 2024-01-07, 2024-01-14</t>
  </si>
  <si>
    <t>9cf540d9-bbc4-4107-ac4d-25503570f44d</t>
  </si>
  <si>
    <t>andrea fischer</t>
  </si>
  <si>
    <t>timothymartin@myers.biz</t>
  </si>
  <si>
    <t>2023-08-04, 2023-08-11, 2023-08-18, 2023-08-25</t>
  </si>
  <si>
    <t>d5969658-3fa2-4ffd-b180-c811976710d7</t>
  </si>
  <si>
    <t>DARRELL RUSH</t>
  </si>
  <si>
    <t>vmartinez@blackburn.com</t>
  </si>
  <si>
    <t>2023-12-05, 2023-12-12, 2023-12-19, 2023-12-26, 2024-01-02, 2024-01-09, 2024-01-16</t>
  </si>
  <si>
    <t>85475ee1-1e06-496a-a302-7b2102c1c269</t>
  </si>
  <si>
    <t>BRIAN FULLER</t>
  </si>
  <si>
    <t>donnaevans@gmail.com</t>
  </si>
  <si>
    <t>275759a0-7451-4c96-9c2b-4ca9be2f7685</t>
  </si>
  <si>
    <t>WILLIAM LOZANO</t>
  </si>
  <si>
    <t>fceae86b-f311-43a1-85a8-8731e00f6ea2</t>
  </si>
  <si>
    <t>ryan scott</t>
  </si>
  <si>
    <t>trichards@hotmail.com</t>
  </si>
  <si>
    <t>2023-09-19, 2023-09-26</t>
  </si>
  <si>
    <t>85d8cc08-3981-4354-8a85-fbd1c22a6772</t>
  </si>
  <si>
    <t>zachary morrison</t>
  </si>
  <si>
    <t>mollyortega@hotmail.com</t>
  </si>
  <si>
    <t>2024-05-03, 2024-05-10, 2024-05-17, 2024-05-24, 2024-05-31, 2024-06-07, 2024-06-14, 2024-06-21</t>
  </si>
  <si>
    <t>1aedbcfd-a357-44ea-8e80-c78a6bf2d5d9</t>
  </si>
  <si>
    <t>DIANA RAMSEY</t>
  </si>
  <si>
    <t>danielle56@hotmail.com</t>
  </si>
  <si>
    <t>2024-02-07, 2024-02-14, 2024-02-21, 2024-02-28, 2024-03-06, 2024-03-13</t>
  </si>
  <si>
    <t>034f2029-1545-4b48-9b4e-279bfbab907a</t>
  </si>
  <si>
    <t>robert sanchez</t>
  </si>
  <si>
    <t>brittanywade@gmail.com</t>
  </si>
  <si>
    <t>2023-05-02, 2023-05-09, 2023-05-16, 2023-05-23, 2023-05-30, 2023-06-06, 2023-06-13, 2023-06-20</t>
  </si>
  <si>
    <t>90cc7a42-d660-4275-9b4c-ccb08f881e63</t>
  </si>
  <si>
    <t>joseph schaefer</t>
  </si>
  <si>
    <t>guzmanbrittany@hotmail.com</t>
  </si>
  <si>
    <t>2024-05-03, 2024-05-10, 2024-05-17, 2024-05-24</t>
  </si>
  <si>
    <t>f77b9742-1e12-4bed-984c-4178935c31d1</t>
  </si>
  <si>
    <t>heather chambers</t>
  </si>
  <si>
    <t>chiggins@yahoo.com</t>
  </si>
  <si>
    <t>2022-09-07, 2022-09-14, 2022-09-21, 2022-09-28, 2022-10-05, 2022-10-12, 2022-10-19, 2022-10-26</t>
  </si>
  <si>
    <t>75f3405d-da2b-41b7-b0b3-e6dfc9c34dd8</t>
  </si>
  <si>
    <t>kelly bentley</t>
  </si>
  <si>
    <t>robinsonhenry@hotmail.com</t>
  </si>
  <si>
    <t>69824369-ebb1-4253-8ad2-a7ba194b3b6e</t>
  </si>
  <si>
    <t>monica atkinson</t>
  </si>
  <si>
    <t>loretta55@gmail.com</t>
  </si>
  <si>
    <t>2023-08-31, 2023-09-07, 2023-09-14</t>
  </si>
  <si>
    <t>53133ea1-0c3c-400f-88a1-34aa722d8397</t>
  </si>
  <si>
    <t>william baker</t>
  </si>
  <si>
    <t>angelaboyer@morris.com</t>
  </si>
  <si>
    <t>2023-06-10, 2023-06-17</t>
  </si>
  <si>
    <t>5a0fdf61-5571-4266-96c0-2601db4d2d18</t>
  </si>
  <si>
    <t>natalie huff</t>
  </si>
  <si>
    <t>maria11@sullivan.biz</t>
  </si>
  <si>
    <t>2024-05-22, 2024-05-29, 2024-06-05, 2024-06-12, 2024-06-19, 2024-06-26</t>
  </si>
  <si>
    <t>7c45d65d-b517-48ef-9b21-3e3143c2181f</t>
  </si>
  <si>
    <t>robert huang</t>
  </si>
  <si>
    <t>marcusrodriguez@collins.com</t>
  </si>
  <si>
    <t>2023-02-15, 2023-02-22, 2023-03-01, 2023-03-08, 2023-03-15, 2023-03-22, 2023-03-29, 2023-04-05</t>
  </si>
  <si>
    <t>9e541d3e-65e1-4146-ad8b-62b689cb09aa</t>
  </si>
  <si>
    <t>christina davis</t>
  </si>
  <si>
    <t>dustin58@yahoo.com</t>
  </si>
  <si>
    <t>2024-08-23, 2024-08-30, 2024-09-06, 2024-09-13, 2024-09-20, 2024-09-27, 2024-10-04, 2024-10-11</t>
  </si>
  <si>
    <t>1a873c25-629f-4962-abd7-95f5220e674e</t>
  </si>
  <si>
    <t>NANCY WALTER</t>
  </si>
  <si>
    <t>nguyenjeffrey@gmail.com</t>
  </si>
  <si>
    <t>2023-12-14, 2023-12-21, 2023-12-28, 2024-01-04, 2024-01-11, 2024-01-18</t>
  </si>
  <si>
    <t>fe20193b-aae2-4d63-a7ae-daae8c48e3f4</t>
  </si>
  <si>
    <t>johnny whitaker</t>
  </si>
  <si>
    <t>nancyalexander@thomas.com</t>
  </si>
  <si>
    <t>23-04-2023</t>
  </si>
  <si>
    <t>2023-04-23, 2023-04-30</t>
  </si>
  <si>
    <t>d682a0b4-7bb7-4c42-9cba-7bc6db872c8f</t>
  </si>
  <si>
    <t>JUSTIN MURILLO</t>
  </si>
  <si>
    <t>hlopez@ross.biz</t>
  </si>
  <si>
    <t>2022-05-09, 2022-05-16, 2022-05-23, 2022-05-30, 2022-06-06, 2022-06-13, 2022-06-20, 2022-06-27</t>
  </si>
  <si>
    <t>5d2d113b-fb5e-4c15-8bfa-e8d6b4ed4d1d</t>
  </si>
  <si>
    <t>deborah wood</t>
  </si>
  <si>
    <t>amber12@heath-andersen.com</t>
  </si>
  <si>
    <t>2023-05-18, 2023-05-25</t>
  </si>
  <si>
    <t>fb2389d3-18bc-4e3b-a0f6-b8d894369f5d</t>
  </si>
  <si>
    <t>victoria erickson</t>
  </si>
  <si>
    <t>aguirrecassandra@hotmail.com</t>
  </si>
  <si>
    <t>2024-07-21, 2024-07-28, 2024-08-04, 2024-08-11, 2024-08-18</t>
  </si>
  <si>
    <t>f9fb722d-a51c-4d2a-b3bf-bdabb7b24f20</t>
  </si>
  <si>
    <t>victoria marshall</t>
  </si>
  <si>
    <t>fmontgomery@graham.net</t>
  </si>
  <si>
    <t>2023-09-30, 2023-10-07, 2023-10-14, 2023-10-21</t>
  </si>
  <si>
    <t>e555e087-0ebb-41ae-a678-97538f1a5d4a</t>
  </si>
  <si>
    <t>SEAN HERNANDEZ</t>
  </si>
  <si>
    <t>blevinsjoshua@yahoo.com</t>
  </si>
  <si>
    <t>2024-03-03, 2024-03-10, 2024-03-17</t>
  </si>
  <si>
    <t>6e4ae071-7da5-4648-9905-6421b6af49df</t>
  </si>
  <si>
    <t>terri andersen</t>
  </si>
  <si>
    <t>scollins@torres.net</t>
  </si>
  <si>
    <t>2022-05-19, 2022-05-26, 2022-06-02</t>
  </si>
  <si>
    <t>faecfb4c-8a24-4d57-842c-40ce24ec755d</t>
  </si>
  <si>
    <t>emily smith</t>
  </si>
  <si>
    <t>briana19@moreno.com</t>
  </si>
  <si>
    <t>2023-12-30, 2024-01-06</t>
  </si>
  <si>
    <t>c61371c1-99fd-42a4-bad2-fd693fb15376</t>
  </si>
  <si>
    <t>cassie white</t>
  </si>
  <si>
    <t>riveraclinton@yahoo.com</t>
  </si>
  <si>
    <t>2023-02-03, 2023-02-10, 2023-02-17, 2023-02-24, 2023-03-03, 2023-03-10, 2023-03-17, 2023-03-24</t>
  </si>
  <si>
    <t>632fff79-af73-4c45-b2f3-9f61b3700e92</t>
  </si>
  <si>
    <t>JANE WELLS</t>
  </si>
  <si>
    <t>codykelly@hotmail.com</t>
  </si>
  <si>
    <t>2024-09-14, 2024-09-21, 2024-09-28</t>
  </si>
  <si>
    <t>173a603d-7feb-45e2-8083-ff8fe10a5f9f</t>
  </si>
  <si>
    <t>JAMES PEREZ</t>
  </si>
  <si>
    <t>shannon18@smith-obrien.net</t>
  </si>
  <si>
    <t>2024-02-04, 2024-02-11, 2024-02-18, 2024-02-25, 2024-03-03</t>
  </si>
  <si>
    <t>2b23ace0-1872-4dc7-9f86-8f8baec61694</t>
  </si>
  <si>
    <t>ztorres@hotmail.com</t>
  </si>
  <si>
    <t>f4a985b0-11c3-4e19-9bfe-ed4a5ff540ca</t>
  </si>
  <si>
    <t>mark jimenez</t>
  </si>
  <si>
    <t>collin29@berry-vance.com</t>
  </si>
  <si>
    <t>2024-08-29, 2024-09-05, 2024-09-12, 2024-09-19, 2024-09-26, 2024-10-03</t>
  </si>
  <si>
    <t>71f27f0f-d1a9-4f91-9079-fe4e261b047a</t>
  </si>
  <si>
    <t>ANDREW MEDINA</t>
  </si>
  <si>
    <t>savannah15@white.info</t>
  </si>
  <si>
    <t>2024-06-03, 2024-06-10, 2024-06-17, 2024-06-24, 2024-07-01, 2024-07-08, 2024-07-15, 2024-07-22</t>
  </si>
  <si>
    <t>9cfa2010-ff51-4c96-a7be-a2b29a7f326f</t>
  </si>
  <si>
    <t>teresa mcfarland</t>
  </si>
  <si>
    <t>2023-02-01, 2023-02-08, 2023-02-15, 2023-02-22, 2023-03-01, 2023-03-08, 2023-03-15, 2023-03-22</t>
  </si>
  <si>
    <t>72abe7ff-c8b8-447b-a38b-66acd4eee313</t>
  </si>
  <si>
    <t>MARY JONES</t>
  </si>
  <si>
    <t>donald73@williams-brown.info</t>
  </si>
  <si>
    <t>2024-08-05, 2024-08-12, 2024-08-19</t>
  </si>
  <si>
    <t>975481a3-d6cc-47cd-812e-3882b527ba0a</t>
  </si>
  <si>
    <t>joseph alvarado</t>
  </si>
  <si>
    <t>psherman@gmail.com</t>
  </si>
  <si>
    <t>2025-01-25, 2025-02-01, 2025-02-08, 2025-02-15, 2025-02-22</t>
  </si>
  <si>
    <t>c37637d6-72a9-4fa1-a2ae-8888520041ca</t>
  </si>
  <si>
    <t>tony simmons</t>
  </si>
  <si>
    <t>bmiller@yahoo.com</t>
  </si>
  <si>
    <t>2023-06-19, 2023-06-26, 2023-07-03, 2023-07-10, 2023-07-17, 2023-07-24, 2023-07-31, 2023-08-07</t>
  </si>
  <si>
    <t>9c12e3c9-7bee-4582-8fae-46a9524ec63c</t>
  </si>
  <si>
    <t>JONATHAN HARTMAN</t>
  </si>
  <si>
    <t>rosebobby@gmail.com</t>
  </si>
  <si>
    <t>e67882ae-bf73-4026-9664-6ca5e4602d31</t>
  </si>
  <si>
    <t>carrie edwards</t>
  </si>
  <si>
    <t>williamskevin@bell.com</t>
  </si>
  <si>
    <t>8224da50-bd10-469f-af0d-c87bdfab24e2</t>
  </si>
  <si>
    <t>cassandra wood</t>
  </si>
  <si>
    <t>coreydodson@joseph.com</t>
  </si>
  <si>
    <t>2025-03-04, 2025-03-11, 2025-03-18, 2025-03-25, 2025-04-01, 2025-04-08</t>
  </si>
  <si>
    <t>9ceeaf74-a3f2-43db-9236-948e34ecb64f</t>
  </si>
  <si>
    <t>thomas harris</t>
  </si>
  <si>
    <t>adam35@benitez.com</t>
  </si>
  <si>
    <t>2024-05-15, 2024-05-22, 2024-05-29, 2024-06-05, 2024-06-12, 2024-06-19, 2024-06-26</t>
  </si>
  <si>
    <t>9947c98a-2444-4277-a7ea-f6650b752e49</t>
  </si>
  <si>
    <t>michael macias</t>
  </si>
  <si>
    <t>jamie46@hotmail.com</t>
  </si>
  <si>
    <t>22-12-2023</t>
  </si>
  <si>
    <t>608bb508-69e4-4d26-92d4-7ec76a77982b</t>
  </si>
  <si>
    <t>STEVEN MONTOYA</t>
  </si>
  <si>
    <t>carol60@hotmail.com</t>
  </si>
  <si>
    <t>2022-04-22, 2022-04-29, 2022-05-06, 2022-05-13</t>
  </si>
  <si>
    <t>3914dce2-b083-47e1-a9b7-f1f520fed1f3</t>
  </si>
  <si>
    <t>BRIAN MOORE</t>
  </si>
  <si>
    <t>whitemark@hotmail.com</t>
  </si>
  <si>
    <t>ee3d114e-b70b-4594-ae4f-d45ff48fab06</t>
  </si>
  <si>
    <t>dominique mitchell</t>
  </si>
  <si>
    <t>juarezralph@gmail.com</t>
  </si>
  <si>
    <t>2023-05-10, 2023-05-17, 2023-05-24, 2023-05-31, 2023-06-07, 2023-06-14, 2023-06-21</t>
  </si>
  <si>
    <t>3366da87-7f7a-478c-98b1-3a9d8e041844</t>
  </si>
  <si>
    <t>zachary harrison</t>
  </si>
  <si>
    <t>perezmarissa@miller.com</t>
  </si>
  <si>
    <t>2022-08-19, 2022-08-26, 2022-09-02</t>
  </si>
  <si>
    <t>7027e1f1-5ef3-4d4d-9d85-aa726f9a544a</t>
  </si>
  <si>
    <t>jessica hammond</t>
  </si>
  <si>
    <t>jennywilliams@fry.com</t>
  </si>
  <si>
    <t>2023-04-17, 2023-04-24, 2023-05-01, 2023-05-08, 2023-05-15, 2023-05-22</t>
  </si>
  <si>
    <t>e6ccd201-335d-4080-b647-f43f59a14829</t>
  </si>
  <si>
    <t>JEANNE HERNANDEZ</t>
  </si>
  <si>
    <t>perezcourtney@yahoo.com</t>
  </si>
  <si>
    <t>2023-01-04, 2023-01-11</t>
  </si>
  <si>
    <t>df0ff647-067a-41d7-b059-e387b89f52d2</t>
  </si>
  <si>
    <t>ryan guzman</t>
  </si>
  <si>
    <t>douglasbrandt@gmail.com</t>
  </si>
  <si>
    <t>2025-01-23, 2025-01-30, 2025-02-06, 2025-02-13, 2025-02-20, 2025-02-27, 2025-03-06</t>
  </si>
  <si>
    <t>849ebfa5-68f0-4a5d-90ac-72bdaf4c9dfc</t>
  </si>
  <si>
    <t>lisa jackson</t>
  </si>
  <si>
    <t>benjamin13@gmail.com</t>
  </si>
  <si>
    <t>d04f0a71-0ef4-43a2-900d-df1600e03200</t>
  </si>
  <si>
    <t>keith vincent</t>
  </si>
  <si>
    <t>smithmadison@pineda-newman.com</t>
  </si>
  <si>
    <t>2023-11-20, 2023-11-27, 2023-12-04, 2023-12-11, 2023-12-18, 2023-12-25</t>
  </si>
  <si>
    <t>e9058f29-731d-46ec-a303-2bd49db564b5</t>
  </si>
  <si>
    <t>melanie salazar</t>
  </si>
  <si>
    <t>7479d994-a2fe-4cb4-bcec-1791fae9df3f</t>
  </si>
  <si>
    <t>STEVEN GIBSON</t>
  </si>
  <si>
    <t>drewwalsh@gmail.com</t>
  </si>
  <si>
    <t>2023-09-25, 2023-10-02, 2023-10-09, 2023-10-16, 2023-10-23</t>
  </si>
  <si>
    <t>290a8303-e1c6-47c2-81d8-93a5ffc7aba2</t>
  </si>
  <si>
    <t>alex trujillo</t>
  </si>
  <si>
    <t>stevensjennifer@christian.com</t>
  </si>
  <si>
    <t>2023-12-01, 2023-12-08, 2023-12-15, 2023-12-22, 2023-12-29</t>
  </si>
  <si>
    <t>e23509a8-6bcf-4fa4-a7e2-020ef11f1e97</t>
  </si>
  <si>
    <t>ucox@hotmail.com</t>
  </si>
  <si>
    <t>2023-02-24, 2023-03-03, 2023-03-10, 2023-03-17, 2023-03-24</t>
  </si>
  <si>
    <t>34b6d9da-87a9-4faf-b92a-b1b72213cdad</t>
  </si>
  <si>
    <t>micheal carroll</t>
  </si>
  <si>
    <t>wkelley@yahoo.com</t>
  </si>
  <si>
    <t>64907a63-36a8-453d-8e90-ee87a4dd2fe1</t>
  </si>
  <si>
    <t>brian pearson</t>
  </si>
  <si>
    <t>nwilliams@yahoo.com</t>
  </si>
  <si>
    <t>6260dcbe-a8de-4b1c-a81e-c259e3d21a33</t>
  </si>
  <si>
    <t>jessica hahn</t>
  </si>
  <si>
    <t>paulestrada@terrell-becker.com</t>
  </si>
  <si>
    <t>2024-08-11, 2024-08-18, 2024-08-25, 2024-09-01, 2024-09-08, 2024-09-15</t>
  </si>
  <si>
    <t>cd03a402-c827-47c0-9337-bb3466e1608e</t>
  </si>
  <si>
    <t>jason mcdonald</t>
  </si>
  <si>
    <t>wstewart@schmidt.com</t>
  </si>
  <si>
    <t>2024-12-28, 2025-01-04, 2025-01-11, 2025-01-18, 2025-01-25, 2025-02-01, 2025-02-08, 2025-02-15</t>
  </si>
  <si>
    <t>eb9060cb-0238-4c49-857e-ccfa15f3b747</t>
  </si>
  <si>
    <t>AMY PHELPS</t>
  </si>
  <si>
    <t>james23@yahoo.com</t>
  </si>
  <si>
    <t>2022-07-17, 2022-07-24, 2022-07-31, 2022-08-07, 2022-08-14</t>
  </si>
  <si>
    <t>50c49c2b-e8c4-41fc-9f8c-1c815ce9a3d3</t>
  </si>
  <si>
    <t>sandra alvarez</t>
  </si>
  <si>
    <t>kevin82@martin.net</t>
  </si>
  <si>
    <t>2022-07-18, 2022-07-25, 2022-08-01, 2022-08-08, 2022-08-15, 2022-08-22, 2022-08-29, 2022-09-05</t>
  </si>
  <si>
    <t>8d64ec21-8fc9-4778-a885-10d168e0c800</t>
  </si>
  <si>
    <t>MELISSA CAMPBELL</t>
  </si>
  <si>
    <t>beckdwayne@davis-williams.biz</t>
  </si>
  <si>
    <t>2024-11-22, 2024-11-29, 2024-12-06, 2024-12-13, 2024-12-20</t>
  </si>
  <si>
    <t>c463299a-2ba3-41ef-ba14-cf98611e6047</t>
  </si>
  <si>
    <t>michael meyers</t>
  </si>
  <si>
    <t>sethsmith@yahoo.com</t>
  </si>
  <si>
    <t>2024-04-10, 2024-04-17, 2024-04-24, 2024-05-01, 2024-05-08, 2024-05-15</t>
  </si>
  <si>
    <t>56fb9a22-e2b6-4f5d-9805-2a559118b0e6</t>
  </si>
  <si>
    <t>stacey jones md</t>
  </si>
  <si>
    <t>hrangel@hotmail.com</t>
  </si>
  <si>
    <t>2025-02-13, 2025-02-20, 2025-02-27</t>
  </si>
  <si>
    <t>4ad76a0d-5219-4d62-a25c-6c5cf629c955</t>
  </si>
  <si>
    <t>tiffany miller</t>
  </si>
  <si>
    <t>howellbrittany@gmail.com</t>
  </si>
  <si>
    <t>2023-02-07, 2023-02-14, 2023-02-21</t>
  </si>
  <si>
    <t>836fad38-3128-4dc8-80b1-fb20d9ebb495</t>
  </si>
  <si>
    <t>joseph moon</t>
  </si>
  <si>
    <t>rebecca03@hotmail.com</t>
  </si>
  <si>
    <t>2023-10-26, 2023-11-02, 2023-11-09, 2023-11-16, 2023-11-23, 2023-11-30</t>
  </si>
  <si>
    <t>6ed5ca30-ff03-41a9-b2ed-257b435b6625</t>
  </si>
  <si>
    <t>don carney</t>
  </si>
  <si>
    <t>cookanthony@hotmail.com</t>
  </si>
  <si>
    <t>2023-07-27, 2023-08-03</t>
  </si>
  <si>
    <t>4d7e6eeb-04eb-4694-92da-e5a7bc11733c</t>
  </si>
  <si>
    <t>tanner james</t>
  </si>
  <si>
    <t>heidi55@nash.com</t>
  </si>
  <si>
    <t>42f76d43-b818-4f1c-98a3-2011f1624df9</t>
  </si>
  <si>
    <t>katherine adams</t>
  </si>
  <si>
    <t>trujillorobin@hotmail.com</t>
  </si>
  <si>
    <t>2022-10-29, 2022-11-05</t>
  </si>
  <si>
    <t>ce64debe-20e7-418a-8f8d-a52b05e3d107</t>
  </si>
  <si>
    <t>dana thompson</t>
  </si>
  <si>
    <t>ashleyyoung@shields.com</t>
  </si>
  <si>
    <t>30-09-2022</t>
  </si>
  <si>
    <t>12049b0a-9e11-471c-a8ae-6b4bdec2c775</t>
  </si>
  <si>
    <t>mark savage</t>
  </si>
  <si>
    <t>kristi19@gmail.com</t>
  </si>
  <si>
    <t>eb0230a0-3313-4402-a382-d280b44304e9</t>
  </si>
  <si>
    <t>angela davis</t>
  </si>
  <si>
    <t>hamiltongina@williams.biz</t>
  </si>
  <si>
    <t>79de06cb-3150-4323-8782-6633a01d9aeb</t>
  </si>
  <si>
    <t>michelle simpson</t>
  </si>
  <si>
    <t>rroberts@hancock.com</t>
  </si>
  <si>
    <t>43651cb8-329d-4f9e-b964-8a0f2d0490a7</t>
  </si>
  <si>
    <t>joshua kaufman</t>
  </si>
  <si>
    <t>lopezmelinda@martin.org</t>
  </si>
  <si>
    <t>2022-08-08, 2022-08-15, 2022-08-22, 2022-08-29, 2022-09-05, 2022-09-12</t>
  </si>
  <si>
    <t>a3fe085b-81b4-4b37-a98b-4ff499ff70c6</t>
  </si>
  <si>
    <t>jeffery summers</t>
  </si>
  <si>
    <t>penatammy@campbell-martin.com</t>
  </si>
  <si>
    <t>2023-07-11, 2023-07-18, 2023-07-25, 2023-08-01, 2023-08-08, 2023-08-15, 2023-08-22, 2023-08-29</t>
  </si>
  <si>
    <t>bba04391-e716-4b38-981f-03df7e71bda8</t>
  </si>
  <si>
    <t>perry jordan</t>
  </si>
  <si>
    <t>rowlandemily@yahoo.com</t>
  </si>
  <si>
    <t>2022-07-13, 2022-07-20, 2022-07-27, 2022-08-03, 2022-08-10</t>
  </si>
  <si>
    <t>5c89f06e-ea1b-448f-aa94-d306c5798f5d</t>
  </si>
  <si>
    <t>lisa chung</t>
  </si>
  <si>
    <t>shannon75@yahoo.com</t>
  </si>
  <si>
    <t>8bc135a9-503f-4053-bd34-d5ecc36f0008</t>
  </si>
  <si>
    <t>MRS. LAURIE WILLIAMS MD</t>
  </si>
  <si>
    <t>ynguyen@yahoo.com</t>
  </si>
  <si>
    <t>2023-07-17, 2023-07-24, 2023-07-31</t>
  </si>
  <si>
    <t>73c1d557-76e2-4e93-a62a-bbfede61f70d</t>
  </si>
  <si>
    <t>oscar cruz</t>
  </si>
  <si>
    <t>kristinajames@hernandez.com</t>
  </si>
  <si>
    <t>2024-03-27, 2024-04-03, 2024-04-10, 2024-04-17, 2024-04-24, 2024-05-01, 2024-05-08</t>
  </si>
  <si>
    <t>378ce7b7-2f14-4369-b22f-deb897cabad1</t>
  </si>
  <si>
    <t>james hernandez</t>
  </si>
  <si>
    <t>andrewmyers@yahoo.com</t>
  </si>
  <si>
    <t>2022-11-27, 2022-12-04</t>
  </si>
  <si>
    <t>7c8d8aef-30a0-4e0b-ba4d-1f5747155ad3</t>
  </si>
  <si>
    <t>KATHRYN GRAHAM</t>
  </si>
  <si>
    <t>dcosta@ali-jones.com</t>
  </si>
  <si>
    <t>2024-08-07, 2024-08-14, 2024-08-21, 2024-08-28, 2024-09-04, 2024-09-11, 2024-09-18</t>
  </si>
  <si>
    <t>3c32f2ee-2437-4380-8a10-ff5a9b99f012</t>
  </si>
  <si>
    <t>KATHLEEN ROBINSON</t>
  </si>
  <si>
    <t>fryecrystal@yahoo.com</t>
  </si>
  <si>
    <t>2024-04-16, 2024-04-23, 2024-04-30, 2024-05-07, 2024-05-14</t>
  </si>
  <si>
    <t>6dd2c683-9e54-47bf-af1e-65964f844346</t>
  </si>
  <si>
    <t>linda moreno</t>
  </si>
  <si>
    <t>lindsay25@hotmail.com</t>
  </si>
  <si>
    <t>2024-12-11, 2024-12-18, 2024-12-25</t>
  </si>
  <si>
    <t>5eb8e0db-7273-47af-8488-a0e81028f5b4</t>
  </si>
  <si>
    <t>daniel nguyen</t>
  </si>
  <si>
    <t>cynthia74@peterson.com</t>
  </si>
  <si>
    <t>2024-04-11, 2024-04-18, 2024-04-25, 2024-05-02</t>
  </si>
  <si>
    <t>f89c591d-9280-4c97-a1f7-6e1cc8169e32</t>
  </si>
  <si>
    <t>michelle lynch</t>
  </si>
  <si>
    <t>belliott@dixon-davis.com</t>
  </si>
  <si>
    <t>7dae4677-877b-4b50-94d0-945b5257fa5d</t>
  </si>
  <si>
    <t>steven valentine</t>
  </si>
  <si>
    <t>colekimberly@yahoo.com</t>
  </si>
  <si>
    <t>0f1c0455-c71b-4b67-9907-a3145d20d8de</t>
  </si>
  <si>
    <t>daniel smith</t>
  </si>
  <si>
    <t>yhoffman@yahoo.com</t>
  </si>
  <si>
    <t>2022-11-15, 2022-11-22, 2022-11-29, 2022-12-06, 2022-12-13</t>
  </si>
  <si>
    <t>9ad24609-506d-4518-bc3b-9c087c152622</t>
  </si>
  <si>
    <t>christina cochran</t>
  </si>
  <si>
    <t>phillipsbruce@mills.com</t>
  </si>
  <si>
    <t>2023-08-17, 2023-08-24, 2023-08-31</t>
  </si>
  <si>
    <t>b35d8adb-6c49-48d4-a042-1eb5ca6beccd</t>
  </si>
  <si>
    <t>alexandra green</t>
  </si>
  <si>
    <t>anthony61@marshall-browning.com</t>
  </si>
  <si>
    <t>2023-04-27, 2023-05-04, 2023-05-11, 2023-05-18</t>
  </si>
  <si>
    <t>282fbcce-8e25-4e3d-a1cc-06e5a03a5196</t>
  </si>
  <si>
    <t>olivia rodriguez</t>
  </si>
  <si>
    <t>thill@hotmail.com</t>
  </si>
  <si>
    <t>2024-02-29, 2024-03-07, 2024-03-14, 2024-03-21, 2024-03-28, 2024-04-04, 2024-04-11</t>
  </si>
  <si>
    <t>20e7b6ef-9623-4346-a9b3-e2d348e636b5</t>
  </si>
  <si>
    <t>alan williams</t>
  </si>
  <si>
    <t>uwood@hotmail.com</t>
  </si>
  <si>
    <t>2024-03-11, 2024-03-18, 2024-03-25, 2024-04-01</t>
  </si>
  <si>
    <t>6f2ba37e-a0fe-451e-8684-e4388cd5219a</t>
  </si>
  <si>
    <t>jennifer nguyen</t>
  </si>
  <si>
    <t>mario90@brown.com</t>
  </si>
  <si>
    <t>2023-11-10, 2023-11-17, 2023-11-24, 2023-12-01</t>
  </si>
  <si>
    <t>85d4f2c1-1a2d-4453-a6cd-497923d13c7f</t>
  </si>
  <si>
    <t>miguel davis</t>
  </si>
  <si>
    <t>matthew65@gmail.com</t>
  </si>
  <si>
    <t>2022-07-21, 2022-07-28</t>
  </si>
  <si>
    <t>865162a6-0fe9-4780-8b8c-6b6e668b179f</t>
  </si>
  <si>
    <t>richard neal</t>
  </si>
  <si>
    <t>shanewilson@perez-brown.net</t>
  </si>
  <si>
    <t>2024-05-11, 2024-05-18, 2024-05-25, 2024-06-01, 2024-06-08, 2024-06-15, 2024-06-22, 2024-06-29</t>
  </si>
  <si>
    <t>b281738e-d7c7-48e6-a495-430e0d6f885a</t>
  </si>
  <si>
    <t>andrew robinson</t>
  </si>
  <si>
    <t>14-05-2022</t>
  </si>
  <si>
    <t>2022-05-14, 2022-05-21, 2022-05-28, 2022-06-04, 2022-06-11</t>
  </si>
  <si>
    <t>ded7fbb9-f454-4f98-a712-cefef330f931</t>
  </si>
  <si>
    <t>francisco hughes</t>
  </si>
  <si>
    <t>dixonkeith@gmail.com</t>
  </si>
  <si>
    <t>2023-04-03, 2023-04-10, 2023-04-17, 2023-04-24, 2023-05-01, 2023-05-08, 2023-05-15</t>
  </si>
  <si>
    <t>8cced653-6a39-4c71-b276-c469b6f957dc</t>
  </si>
  <si>
    <t>CURTIS JOHNSON</t>
  </si>
  <si>
    <t>ssmith@perkins.net</t>
  </si>
  <si>
    <t>89465e5b-26fa-4d5c-b678-a41a65adafab</t>
  </si>
  <si>
    <t>MARK DEAN</t>
  </si>
  <si>
    <t>2022-12-18, 2022-12-25, 2023-01-01, 2023-01-08, 2023-01-15, 2023-01-22, 2023-01-29, 2023-02-05</t>
  </si>
  <si>
    <t>636f7abf-82c9-41df-9fd2-29bc8e673bc8</t>
  </si>
  <si>
    <t>DAKOTA LAWSON</t>
  </si>
  <si>
    <t>markgreen@gmail.com</t>
  </si>
  <si>
    <t>2023-05-24, 2023-05-31</t>
  </si>
  <si>
    <t>720f2288-0760-4502-b39f-51c3490ec6f3</t>
  </si>
  <si>
    <t>marisa hunt</t>
  </si>
  <si>
    <t>jackwilliams@gmail.com</t>
  </si>
  <si>
    <t>bc57003e-91f9-4586-827f-9590333c8c30</t>
  </si>
  <si>
    <t>SANDRA CRAIG</t>
  </si>
  <si>
    <t>steven39@yahoo.com</t>
  </si>
  <si>
    <t>2023-02-20, 2023-02-27, 2023-03-06, 2023-03-13, 2023-03-20, 2023-03-27, 2023-04-03</t>
  </si>
  <si>
    <t>032a0c06-4f55-458e-8618-93ec82d768c6</t>
  </si>
  <si>
    <t>christopher cook</t>
  </si>
  <si>
    <t>dcortez@yahoo.com</t>
  </si>
  <si>
    <t>2023-03-09, 2023-03-16</t>
  </si>
  <si>
    <t>7ddee37d-ebba-4a66-aa4e-4d28c0fce144</t>
  </si>
  <si>
    <t>kyle norton</t>
  </si>
  <si>
    <t>jensennicole@harvey.com</t>
  </si>
  <si>
    <t>2024-10-27, 2024-11-03, 2024-11-10, 2024-11-17, 2024-11-24</t>
  </si>
  <si>
    <t>ba8f3e6c-61a4-4d19-b1ef-7e0a4daeac5c</t>
  </si>
  <si>
    <t>CAITLIN BROWN</t>
  </si>
  <si>
    <t>tashaharmon@jones-butler.com</t>
  </si>
  <si>
    <t>2022-04-07, 2022-04-14, 2022-04-21</t>
  </si>
  <si>
    <t>1ebd55b6-e605-44a2-88f5-48e7c53bcc3a</t>
  </si>
  <si>
    <t>DENNIS CONRAD</t>
  </si>
  <si>
    <t>calhounjulie@mcguire.com</t>
  </si>
  <si>
    <t>2023-07-13, 2023-07-20, 2023-07-27, 2023-08-03</t>
  </si>
  <si>
    <t>3c1c09a3-b98d-45a7-960a-56e11cd27c9f</t>
  </si>
  <si>
    <t>stephen neal</t>
  </si>
  <si>
    <t>andrew97@gmail.com</t>
  </si>
  <si>
    <t>29-04-2022</t>
  </si>
  <si>
    <t>65c51c9a-10ae-4dfc-b729-6854273e54e5</t>
  </si>
  <si>
    <t>AMANDA JIMENEZ</t>
  </si>
  <si>
    <t>athompson@hotmail.com</t>
  </si>
  <si>
    <t>2025-03-16, 2025-03-23, 2025-03-30</t>
  </si>
  <si>
    <t>c5001e3e-f59d-4194-9021-7062a8179850</t>
  </si>
  <si>
    <t>michelle higgins</t>
  </si>
  <si>
    <t>andrew43@norris.com</t>
  </si>
  <si>
    <t>2022-06-14, 2022-06-21, 2022-06-28</t>
  </si>
  <si>
    <t>8f16fac0-6f72-4ca4-9b64-3c30d5dc4812</t>
  </si>
  <si>
    <t>KATHERINE HALL</t>
  </si>
  <si>
    <t>michael95@hoover-stephens.com</t>
  </si>
  <si>
    <t>28-08-2024</t>
  </si>
  <si>
    <t>8d0fe9b5-b9e8-46d0-9f0b-b32fe6ddbbe3</t>
  </si>
  <si>
    <t>erica fowler</t>
  </si>
  <si>
    <t>bettywatson@yahoo.com</t>
  </si>
  <si>
    <t>2025-01-24, 2025-01-31, 2025-02-07, 2025-02-14, 2025-02-21, 2025-02-28</t>
  </si>
  <si>
    <t>c06cbd3f-ac33-4f9c-9071-365425cb49de</t>
  </si>
  <si>
    <t>megan russell</t>
  </si>
  <si>
    <t>guzmannicole@yahoo.com</t>
  </si>
  <si>
    <t>2023-07-05, 2023-07-12, 2023-07-19, 2023-07-26, 2023-08-02, 2023-08-09</t>
  </si>
  <si>
    <t>c0f2b34e-7365-449b-b770-28e6a53d2350</t>
  </si>
  <si>
    <t>MELANIE PRESTON</t>
  </si>
  <si>
    <t>carolfernandez@hotmail.com</t>
  </si>
  <si>
    <t>2023-10-16, 2023-10-23, 2023-10-30</t>
  </si>
  <si>
    <t>23b7aaf6-92dd-4487-8c79-eecad9e18c82</t>
  </si>
  <si>
    <t>rebecca summers</t>
  </si>
  <si>
    <t>colonnicole@hotmail.com</t>
  </si>
  <si>
    <t>2022-12-10, 2022-12-17, 2022-12-24, 2022-12-31, 2023-01-07, 2023-01-14, 2023-01-21, 2023-01-28</t>
  </si>
  <si>
    <t>9351a5da-1a93-43f1-8502-76c00abf1903</t>
  </si>
  <si>
    <t>TIMOTHY ORTEGA</t>
  </si>
  <si>
    <t>gabriellafrench@wilson-dennis.com</t>
  </si>
  <si>
    <t>2024-07-30, 2024-08-06, 2024-08-13, 2024-08-20, 2024-08-27</t>
  </si>
  <si>
    <t>a82a1132-85eb-4279-a51c-21fdefda849e</t>
  </si>
  <si>
    <t>COLLEEN BELL</t>
  </si>
  <si>
    <t>perezdawn@gmail.com</t>
  </si>
  <si>
    <t>2024-08-05, 2024-08-12</t>
  </si>
  <si>
    <t>b75901d0-3036-481c-80d9-8272e52e1409</t>
  </si>
  <si>
    <t>RICKY WAGNER</t>
  </si>
  <si>
    <t>ethomas@clements.com</t>
  </si>
  <si>
    <t>2025-03-20, 2025-03-27, 2025-04-03, 2025-04-10, 2025-04-17, 2025-04-24</t>
  </si>
  <si>
    <t>d082b3b4-f398-416e-98b9-f0a2a36442e5</t>
  </si>
  <si>
    <t>alan phillips</t>
  </si>
  <si>
    <t>mariabecker@king.biz</t>
  </si>
  <si>
    <t>2024-07-26, 2024-08-02</t>
  </si>
  <si>
    <t>b2a43bf4-02b4-4d26-a72b-0fa7a95da34b</t>
  </si>
  <si>
    <t>GRACE BROOKS</t>
  </si>
  <si>
    <t>eharvey@hotmail.com</t>
  </si>
  <si>
    <t>2023-10-14, 2023-10-21, 2023-10-28, 2023-11-04</t>
  </si>
  <si>
    <t>7dc807a2-adda-43b6-8ab8-4fe297e4e173</t>
  </si>
  <si>
    <t>KATHRYN BELL</t>
  </si>
  <si>
    <t>ycallahan@hotmail.com</t>
  </si>
  <si>
    <t>2024-11-17, 2024-11-24, 2024-12-01</t>
  </si>
  <si>
    <t>9ec78199-964d-4e39-b047-824a6c362d23</t>
  </si>
  <si>
    <t>tiffany cohen</t>
  </si>
  <si>
    <t>fjohnson@wells.com</t>
  </si>
  <si>
    <t>2022-09-06, 2022-09-13, 2022-09-20, 2022-09-27, 2022-10-04, 2022-10-11</t>
  </si>
  <si>
    <t>b7321e2b-d4a4-4bf0-b96a-53053ed1d8f8</t>
  </si>
  <si>
    <t>anna james</t>
  </si>
  <si>
    <t>cassandraharrison@yahoo.com</t>
  </si>
  <si>
    <t>2022-08-13, 2022-08-20, 2022-08-27, 2022-09-03, 2022-09-10</t>
  </si>
  <si>
    <t>dac9d4a4-b43b-488c-86f4-34688d78e1c8</t>
  </si>
  <si>
    <t>LOUIS DAVIS</t>
  </si>
  <si>
    <t>wallssean@white.net</t>
  </si>
  <si>
    <t>2023-08-01, 2023-08-08, 2023-08-15, 2023-08-22, 2023-08-29</t>
  </si>
  <si>
    <t>95ede22d-40d1-4f56-8c78-9409b96dc079</t>
  </si>
  <si>
    <t>JOSE THOMPSON</t>
  </si>
  <si>
    <t>melissa04@hotmail.com</t>
  </si>
  <si>
    <t>2025-01-16, 2025-01-23, 2025-01-30, 2025-02-06, 2025-02-13, 2025-02-20, 2025-02-27</t>
  </si>
  <si>
    <t>27a0b911-afd2-4b72-9c13-a1e76d3e4848</t>
  </si>
  <si>
    <t>angela olson</t>
  </si>
  <si>
    <t>hughesjulie@whitehead.com</t>
  </si>
  <si>
    <t>9564d4c1-aedb-4262-9d95-b4d7570edab2</t>
  </si>
  <si>
    <t>crystal wallace</t>
  </si>
  <si>
    <t>martindavid@hart.biz</t>
  </si>
  <si>
    <t>2023-03-20, 2023-03-27, 2023-04-03</t>
  </si>
  <si>
    <t>b19dab55-e5ce-4a0f-8671-e213b55a478e</t>
  </si>
  <si>
    <t>joshua barnes</t>
  </si>
  <si>
    <t>2022-05-08, 2022-05-15</t>
  </si>
  <si>
    <t>b3b966e2-8eaa-4112-afb0-c6654766229e</t>
  </si>
  <si>
    <t>AUSTIN BAKER</t>
  </si>
  <si>
    <t>pmorales@gmail.com</t>
  </si>
  <si>
    <t>2022-05-29, 2022-06-05</t>
  </si>
  <si>
    <t>92071602-161c-4674-a978-868d062c0692</t>
  </si>
  <si>
    <t>craig keller</t>
  </si>
  <si>
    <t>timothy29@yahoo.com</t>
  </si>
  <si>
    <t>2022-10-11, 2022-10-18, 2022-10-25, 2022-11-01, 2022-11-08, 2022-11-15, 2022-11-22, 2022-11-29</t>
  </si>
  <si>
    <t>33d3958a-3b74-4fd2-8a2d-6f038f464f34</t>
  </si>
  <si>
    <t>CASEY MILES</t>
  </si>
  <si>
    <t>brian01@wade.com</t>
  </si>
  <si>
    <t>2022-10-03, 2022-10-10</t>
  </si>
  <si>
    <t>7afac8ce-dc4f-47fe-be61-8f4bebb511e6</t>
  </si>
  <si>
    <t>chelsea wells</t>
  </si>
  <si>
    <t>coryhughes@hotmail.com</t>
  </si>
  <si>
    <t>2023-08-16, 2023-08-23, 2023-08-30, 2023-09-06, 2023-09-13, 2023-09-20, 2023-09-27</t>
  </si>
  <si>
    <t>1227b7ac-cdca-4bef-9bd3-4a948a996027</t>
  </si>
  <si>
    <t>cameron hicks</t>
  </si>
  <si>
    <t>epalmer@martin.com</t>
  </si>
  <si>
    <t>0f46bb11-6809-4564-8331-21ffd3f63623</t>
  </si>
  <si>
    <t>amanda flores</t>
  </si>
  <si>
    <t>leejessica@yahoo.com</t>
  </si>
  <si>
    <t>2023-03-23, 2023-03-30, 2023-04-06, 2023-04-13, 2023-04-20, 2023-04-27, 2023-05-04, 2023-05-11</t>
  </si>
  <si>
    <t>ddef7af4-d61c-4113-9b3f-6c547327f33e</t>
  </si>
  <si>
    <t>TERRY MENDOZA</t>
  </si>
  <si>
    <t>johnboyd@yahoo.com</t>
  </si>
  <si>
    <t>2023-12-05, 2023-12-12, 2023-12-19, 2023-12-26, 2024-01-02, 2024-01-09</t>
  </si>
  <si>
    <t>6ad5401e-07e9-4b0b-998d-eba36ec8261b</t>
  </si>
  <si>
    <t>bradley snow</t>
  </si>
  <si>
    <t>woodphillip@santos-hatfield.com</t>
  </si>
  <si>
    <t>2022-08-01, 2022-08-08, 2022-08-15, 2022-08-22, 2022-08-29, 2022-09-05</t>
  </si>
  <si>
    <t>53bc0611-9af4-4b8a-8908-d3f9d6195c4f</t>
  </si>
  <si>
    <t>savannah harrison</t>
  </si>
  <si>
    <t>stodd@hotmail.com</t>
  </si>
  <si>
    <t>2023-07-22, 2023-07-29, 2023-08-05</t>
  </si>
  <si>
    <t>9aeeb3e9-aea3-48c6-ac67-7b258f6875a3</t>
  </si>
  <si>
    <t>rachel taylor</t>
  </si>
  <si>
    <t>holttheresa@hotmail.com</t>
  </si>
  <si>
    <t>2025-03-22, 2025-03-29, 2025-04-05, 2025-04-12, 2025-04-19, 2025-04-26</t>
  </si>
  <si>
    <t>40686515-101c-478c-a1a1-31b49dca3488</t>
  </si>
  <si>
    <t>TAYLOR BAXTER</t>
  </si>
  <si>
    <t>sara53@lee.com</t>
  </si>
  <si>
    <t>2024-06-18, 2024-06-25, 2024-07-02, 2024-07-09, 2024-07-16, 2024-07-23, 2024-07-30</t>
  </si>
  <si>
    <t>438f9d83-474d-4a1a-a95a-a2daad14e5bf</t>
  </si>
  <si>
    <t>mckenzie lopez</t>
  </si>
  <si>
    <t>james58@morris.com</t>
  </si>
  <si>
    <t>2024-06-19, 2024-06-26, 2024-07-03, 2024-07-10, 2024-07-17</t>
  </si>
  <si>
    <t>4a9d3213-e04b-4533-b905-a7b6b97ee830</t>
  </si>
  <si>
    <t>CHRISTINE TYLER</t>
  </si>
  <si>
    <t>paigepacheco@yahoo.com</t>
  </si>
  <si>
    <t>2022-10-06, 2022-10-13, 2022-10-20, 2022-10-27, 2022-11-03, 2022-11-10, 2022-11-17, 2022-11-24</t>
  </si>
  <si>
    <t>454f3fbf-b790-4752-bbfd-ec746441e11e</t>
  </si>
  <si>
    <t>judy peterson</t>
  </si>
  <si>
    <t>kingtammy@hotmail.com</t>
  </si>
  <si>
    <t>2023-04-23, 2023-04-30, 2023-05-07, 2023-05-14</t>
  </si>
  <si>
    <t>cfdea771-305d-4749-9109-2f7a00d61c63</t>
  </si>
  <si>
    <t>tanya gibson</t>
  </si>
  <si>
    <t>dgonzalez@yahoo.com</t>
  </si>
  <si>
    <t>1bab13ac-9863-4b20-bd53-c706fb5078f7</t>
  </si>
  <si>
    <t>wardlaurie@williams.com</t>
  </si>
  <si>
    <t>2024-12-07, 2024-12-14, 2024-12-21, 2024-12-28</t>
  </si>
  <si>
    <t>209ebc46-44b6-4c9e-8904-59d78c69e2e8</t>
  </si>
  <si>
    <t>tammy mcdaniel</t>
  </si>
  <si>
    <t>vanceashley@rodriguez.com</t>
  </si>
  <si>
    <t>2022-09-20, 2022-09-27, 2022-10-04, 2022-10-11, 2022-10-18</t>
  </si>
  <si>
    <t>386e995d-3b01-4893-bd9d-38e36e078bdc</t>
  </si>
  <si>
    <t>laura adams</t>
  </si>
  <si>
    <t>edwardspencer@yahoo.com</t>
  </si>
  <si>
    <t>2023-06-22, 2023-06-29</t>
  </si>
  <si>
    <t>d33b05e6-f765-48a0-8e43-07c42bfddbf9</t>
  </si>
  <si>
    <t>JOSHUA SMITH</t>
  </si>
  <si>
    <t>duncanchristina@pacheco-martinez.com</t>
  </si>
  <si>
    <t>2023-03-14, 2023-03-21</t>
  </si>
  <si>
    <t>9c0f37d5-75a2-49b1-bdf5-516b3891b7f7</t>
  </si>
  <si>
    <t>christopher robinson</t>
  </si>
  <si>
    <t>allenkyle@valencia.com</t>
  </si>
  <si>
    <t>2023-12-29, 2024-01-05</t>
  </si>
  <si>
    <t>b6617c50-6895-496f-94fd-c3a7d8e77ca2</t>
  </si>
  <si>
    <t>CHRIS BEASLEY</t>
  </si>
  <si>
    <t>weaverjoseph@hotmail.com</t>
  </si>
  <si>
    <t>8620a10a-e009-4d7a-8a22-6c566fc8503c</t>
  </si>
  <si>
    <t>ALEX ROMERO</t>
  </si>
  <si>
    <t>xobrien@gmail.com</t>
  </si>
  <si>
    <t>2024-05-09, 2024-05-16, 2024-05-23, 2024-05-30, 2024-06-06, 2024-06-13, 2024-06-20</t>
  </si>
  <si>
    <t>b2ed003d-d641-4ee3-99d8-176413cdaa4c</t>
  </si>
  <si>
    <t>caroline powell</t>
  </si>
  <si>
    <t>michael43@roberts.info</t>
  </si>
  <si>
    <t>2025-04-03, 2025-04-10, 2025-04-17, 2025-04-24, 2025-05-01, 2025-05-08, 2025-05-15, 2025-05-22</t>
  </si>
  <si>
    <t>3e7b8fb1-9035-46bb-af6d-8fc6afbdf369</t>
  </si>
  <si>
    <t>amy marquez</t>
  </si>
  <si>
    <t>xarmstrong@smith-graham.info</t>
  </si>
  <si>
    <t>59259acd-4142-400e-aff6-fa9a16e6e8fc</t>
  </si>
  <si>
    <t>jacob osborn</t>
  </si>
  <si>
    <t>garynash@hotmail.com</t>
  </si>
  <si>
    <t>2024-01-25, 2024-02-01, 2024-02-08</t>
  </si>
  <si>
    <t>321a3244-cf65-49ec-87eb-754a995ef5bd</t>
  </si>
  <si>
    <t>veronica diaz</t>
  </si>
  <si>
    <t>mannerik@dominguez.com</t>
  </si>
  <si>
    <t>2024-06-18, 2024-06-25, 2024-07-02</t>
  </si>
  <si>
    <t>dbc6ac37-2442-40c6-8b0c-100c2626c97d</t>
  </si>
  <si>
    <t>SETH LOPEZ</t>
  </si>
  <si>
    <t>garrett13@gmail.com</t>
  </si>
  <si>
    <t>2024-03-10, 2024-03-17, 2024-03-24, 2024-03-31</t>
  </si>
  <si>
    <t>c8794a56-a795-4d2b-9296-81b00d5979bf</t>
  </si>
  <si>
    <t>tiffany david</t>
  </si>
  <si>
    <t>amy62@smith.org</t>
  </si>
  <si>
    <t>2024-11-26, 2024-12-03, 2024-12-10, 2024-12-17, 2024-12-24, 2024-12-31, 2025-01-07</t>
  </si>
  <si>
    <t>44e01371-19fc-4448-85d8-99df113ff40f</t>
  </si>
  <si>
    <t>cassandra martinez</t>
  </si>
  <si>
    <t>jennifer28@gmail.com</t>
  </si>
  <si>
    <t>2022-08-04, 2022-08-11, 2022-08-18, 2022-08-25, 2022-09-01, 2022-09-08, 2022-09-15, 2022-09-22</t>
  </si>
  <si>
    <t>dafbf997-5352-4440-823d-35cfc972d38d</t>
  </si>
  <si>
    <t>DOMINIC LI</t>
  </si>
  <si>
    <t>dtaylor@moore-anderson.org</t>
  </si>
  <si>
    <t>7660302f-477e-4375-887d-01c292e8c8b1</t>
  </si>
  <si>
    <t>CHRISTOPHER RODRIGUEZ</t>
  </si>
  <si>
    <t>daniellewebster@mcgrath.com</t>
  </si>
  <si>
    <t>2023-10-29, 2023-11-05, 2023-11-12, 2023-11-19</t>
  </si>
  <si>
    <t>7d6dca57-cc80-4698-8765-88fe75f53328</t>
  </si>
  <si>
    <t>jennifer weaver</t>
  </si>
  <si>
    <t>hhayden@yahoo.com</t>
  </si>
  <si>
    <t>2023-06-27, 2023-07-04, 2023-07-11, 2023-07-18, 2023-07-25</t>
  </si>
  <si>
    <t>bfd4f67c-d66e-4576-b7e6-2b4d93d5326f</t>
  </si>
  <si>
    <t>DAVID GILES</t>
  </si>
  <si>
    <t>cmartinez@jones.com</t>
  </si>
  <si>
    <t>61f041d0-6993-4611-a777-5ef59ab9ae1b</t>
  </si>
  <si>
    <t>james edwards</t>
  </si>
  <si>
    <t>lewiskimberly@cole.com</t>
  </si>
  <si>
    <t>2022-10-03, 2022-10-10, 2022-10-17, 2022-10-24, 2022-10-31, 2022-11-07, 2022-11-14</t>
  </si>
  <si>
    <t>3e97037d-6577-464d-8d4e-0bd1cb33e3c6</t>
  </si>
  <si>
    <t>steven mckee</t>
  </si>
  <si>
    <t>tross@yahoo.com</t>
  </si>
  <si>
    <t>2025-01-09, 2025-01-16</t>
  </si>
  <si>
    <t>2162d1b7-769a-4892-b466-b8f9e1e3e199</t>
  </si>
  <si>
    <t>ANTHONY GOULD</t>
  </si>
  <si>
    <t>2023-11-05, 2023-11-12, 2023-11-19, 2023-11-26</t>
  </si>
  <si>
    <t>5fc0ccce-4ba0-4508-99ed-cdbcec39212e</t>
  </si>
  <si>
    <t>JOHN HUGHES</t>
  </si>
  <si>
    <t>georgemichael@hotmail.com</t>
  </si>
  <si>
    <t>2024-12-26, 2025-01-02, 2025-01-09, 2025-01-16, 2025-01-23, 2025-01-30, 2025-02-06</t>
  </si>
  <si>
    <t>fb3a3e15-ef19-40da-8a5f-cede7a23c1bc</t>
  </si>
  <si>
    <t>karen gomez</t>
  </si>
  <si>
    <t>sandra20@thomas.net</t>
  </si>
  <si>
    <t>2024-08-10, 2024-08-17, 2024-08-24, 2024-08-31</t>
  </si>
  <si>
    <t>37fc511b-826f-481a-8651-a8970f54c086</t>
  </si>
  <si>
    <t>jacqueline west</t>
  </si>
  <si>
    <t>ureed@yahoo.com</t>
  </si>
  <si>
    <t>2023-05-30, 2023-06-06, 2023-06-13, 2023-06-20, 2023-06-27, 2023-07-04, 2023-07-11, 2023-07-18</t>
  </si>
  <si>
    <t>95eb44d9-8459-4302-8d1d-036e0d08da99</t>
  </si>
  <si>
    <t>jeffrey freeman</t>
  </si>
  <si>
    <t>lutzeric@rivera-klein.com</t>
  </si>
  <si>
    <t>2023-10-30, 2023-11-06, 2023-11-13, 2023-11-20, 2023-11-27, 2023-12-04, 2023-12-11</t>
  </si>
  <si>
    <t>3242f61c-ea3d-49b2-8319-8f412467f4a3</t>
  </si>
  <si>
    <t>james foster</t>
  </si>
  <si>
    <t>turnerstephanie@barnes.biz</t>
  </si>
  <si>
    <t>2022-11-16, 2022-11-23, 2022-11-30, 2022-12-07, 2022-12-14, 2022-12-21, 2022-12-28, 2023-01-04</t>
  </si>
  <si>
    <t>41515f1e-9174-4136-8c0b-dc3f6d4a1259</t>
  </si>
  <si>
    <t>CHRISTINE RITTER MD</t>
  </si>
  <si>
    <t>jessica13@herman-martin.info</t>
  </si>
  <si>
    <t>2022-11-28, 2022-12-05, 2022-12-12, 2022-12-19, 2022-12-26, 2023-01-02, 2023-01-09</t>
  </si>
  <si>
    <t>cfcae6b9-75a8-41d7-ab5e-ebe91478e20e</t>
  </si>
  <si>
    <t>lisa krause</t>
  </si>
  <si>
    <t>barbara85@hotmail.com</t>
  </si>
  <si>
    <t>2022-10-01, 2022-10-08, 2022-10-15, 2022-10-22, 2022-10-29, 2022-11-05</t>
  </si>
  <si>
    <t>aaf1c938-27d5-4ab0-86d6-69465397abdf</t>
  </si>
  <si>
    <t>MICHELLE MEYER</t>
  </si>
  <si>
    <t>jeremyjohnson@yahoo.com</t>
  </si>
  <si>
    <t>2025-02-02, 2025-02-09, 2025-02-16, 2025-02-23</t>
  </si>
  <si>
    <t>4cf21624-8243-4329-b09f-e9365401e034</t>
  </si>
  <si>
    <t>dr. jared crane md</t>
  </si>
  <si>
    <t>hollowayangela@gmail.com</t>
  </si>
  <si>
    <t>2023-06-03, 2023-06-10, 2023-06-17, 2023-06-24, 2023-07-01</t>
  </si>
  <si>
    <t>ed11b850-273b-4ecb-a7b9-86cb76df7b9a</t>
  </si>
  <si>
    <t>JOSHUA COX</t>
  </si>
  <si>
    <t>tknight@gmail.com</t>
  </si>
  <si>
    <t>2023-04-28, 2023-05-05, 2023-05-12, 2023-05-19, 2023-05-26</t>
  </si>
  <si>
    <t>f2d058ca-7b2e-429d-9f80-bd12299606d2</t>
  </si>
  <si>
    <t>andrea edwards</t>
  </si>
  <si>
    <t>bsullivan@perry.com</t>
  </si>
  <si>
    <t>2023-04-18, 2023-04-25, 2023-05-02, 2023-05-09</t>
  </si>
  <si>
    <t>7c8c9267-3c55-4d3a-8ed9-92e01e4415f4</t>
  </si>
  <si>
    <t>KATHERINE MULLEN</t>
  </si>
  <si>
    <t>pjordan@sanchez-ballard.com</t>
  </si>
  <si>
    <t>2023-11-03, 2023-11-10, 2023-11-17</t>
  </si>
  <si>
    <t>60791657-97ec-447d-93bf-a31199155bef</t>
  </si>
  <si>
    <t>ashlee miller</t>
  </si>
  <si>
    <t>ambervasquez@michael.com</t>
  </si>
  <si>
    <t>2022-12-10, 2022-12-17, 2022-12-24, 2022-12-31</t>
  </si>
  <si>
    <t>085e0518-2d75-4dd3-b8a1-18df0088ca76</t>
  </si>
  <si>
    <t>william richardson</t>
  </si>
  <si>
    <t>williamspatricia@yahoo.com</t>
  </si>
  <si>
    <t>2022-06-25, 2022-07-02, 2022-07-09, 2022-07-16, 2022-07-23, 2022-07-30, 2022-08-06</t>
  </si>
  <si>
    <t>15149d1a-9536-4ae6-bf0e-88ea09f81e6f</t>
  </si>
  <si>
    <t>lisa underwood md</t>
  </si>
  <si>
    <t>fholloway@adams.org</t>
  </si>
  <si>
    <t>2022-09-09, 2022-09-16, 2022-09-23</t>
  </si>
  <si>
    <t>48d160c6-9cdc-446c-94f0-fd631259d654</t>
  </si>
  <si>
    <t>joel phelps</t>
  </si>
  <si>
    <t>crawfordjeffrey@johnson-phelps.com</t>
  </si>
  <si>
    <t>2024-07-02, 2024-07-09, 2024-07-16, 2024-07-23, 2024-07-30, 2024-08-06</t>
  </si>
  <si>
    <t>5bd72a7c-73d7-4809-8f6d-e80279004406</t>
  </si>
  <si>
    <t>elizabeth valdez</t>
  </si>
  <si>
    <t>2025-03-21, 2025-03-28, 2025-04-04, 2025-04-11, 2025-04-18</t>
  </si>
  <si>
    <t>Name_Cleaned</t>
  </si>
  <si>
    <t>Checking_Email_Validity</t>
  </si>
  <si>
    <t>Gender_Cleaned</t>
  </si>
  <si>
    <t>Email_Cleaned</t>
  </si>
  <si>
    <t>Country_Cleaned</t>
  </si>
  <si>
    <t>Progress_Cleaned</t>
  </si>
  <si>
    <t>Cleanedprogress</t>
  </si>
  <si>
    <t>Time_Cleaned</t>
  </si>
  <si>
    <t>Completed_Cleaned</t>
  </si>
  <si>
    <t>Engagement_Score</t>
  </si>
  <si>
    <t>Engagement_Level</t>
  </si>
  <si>
    <t>Sessions_Count</t>
  </si>
  <si>
    <t>Cleaned_Feedback_Rating</t>
  </si>
  <si>
    <t>Higher_Performer</t>
  </si>
  <si>
    <t>MEDIAN=</t>
  </si>
  <si>
    <t>Age_Cleaned</t>
  </si>
  <si>
    <t>Experience_Level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</si>
</sst>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"/>
    <numFmt numFmtId="165" formatCode="m\-d\-yyyy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2" fontId="1" fillId="0" borderId="0" xfId="0" applyNumberFormat="1" applyFont="1"/>
    <xf numFmtId="2" fontId="1" fillId="0" borderId="0" xfId="1" applyNumberFormat="1" applyFont="1"/>
    <xf numFmtId="9" fontId="1" fillId="0" borderId="0" xfId="1" applyFont="1"/>
    <xf numFmtId="10" fontId="3" fillId="0" borderId="0" xfId="0" applyNumberFormat="1" applyFont="1"/>
    <xf numFmtId="2" fontId="0" fillId="0" borderId="0" xfId="0" applyNumberFormat="1"/>
    <xf numFmtId="14" fontId="1" fillId="0" borderId="0" xfId="0" applyNumberFormat="1" applyFont="1"/>
    <xf numFmtId="0" fontId="3" fillId="0" borderId="0" xfId="0" applyFont="1"/>
    <xf numFmtId="14" fontId="0" fillId="0" borderId="0" xfId="0" applyNumberFormat="1"/>
    <xf numFmtId="0" fontId="4" fillId="0" borderId="0" xfId="0" applyFont="1"/>
    <xf numFmtId="1" fontId="1" fillId="0" borderId="0" xfId="1" applyNumberFormat="1" applyFont="1"/>
    <xf numFmtId="1" fontId="1" fillId="0" borderId="0" xfId="0" applyNumberFormat="1" applyFont="1"/>
    <xf numFmtId="1" fontId="0" fillId="0" borderId="0" xfId="0" applyNumberFormat="1"/>
    <xf numFmtId="1" fontId="3" fillId="0" borderId="0" xfId="1" applyNumberFormat="1" applyFont="1"/>
    <xf numFmtId="1" fontId="0" fillId="0" borderId="0" xfId="1" applyNumberFormat="1" applyFont="1"/>
    <xf numFmtId="0" fontId="1" fillId="0" borderId="0" xfId="0" applyFont="1" applyAlignment="1">
      <alignment horizontal="right"/>
    </xf>
    <xf numFmtId="0" fontId="0" fillId="2" borderId="0" xfId="0" applyFill="1" applyAlignment="1">
      <alignment horizontal="left"/>
    </xf>
    <xf numFmtId="1" fontId="4" fillId="2" borderId="0" xfId="0" applyNumberFormat="1" applyFont="1" applyFill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202"/>
  <sheetViews>
    <sheetView tabSelected="1" topLeftCell="Z1" workbookViewId="0">
      <selection activeCell="AE6" sqref="AE6"/>
    </sheetView>
  </sheetViews>
  <sheetFormatPr defaultColWidth="12.6328125" defaultRowHeight="15.75" customHeight="1" x14ac:dyDescent="0.25"/>
  <cols>
    <col min="2" max="3" width="20.90625" customWidth="1"/>
    <col min="4" max="5" width="31.26953125" customWidth="1"/>
    <col min="6" max="6" width="22.36328125" customWidth="1"/>
    <col min="8" max="8" width="14.26953125" customWidth="1"/>
    <col min="10" max="10" width="14.90625" customWidth="1"/>
    <col min="11" max="11" width="12.6328125" style="15"/>
    <col min="13" max="13" width="14.6328125" customWidth="1"/>
    <col min="17" max="17" width="12.6328125" style="8"/>
    <col min="18" max="18" width="14.453125" style="17" customWidth="1"/>
    <col min="19" max="19" width="16" customWidth="1"/>
    <col min="22" max="23" width="16.7265625" customWidth="1"/>
    <col min="25" max="25" width="15.453125" customWidth="1"/>
    <col min="26" max="26" width="20.90625" style="15" customWidth="1"/>
    <col min="27" max="28" width="20.90625" customWidth="1"/>
    <col min="29" max="29" width="25.26953125" style="11" customWidth="1"/>
  </cols>
  <sheetData>
    <row r="1" spans="1:30" ht="15.75" customHeight="1" x14ac:dyDescent="0.25">
      <c r="A1" s="1" t="s">
        <v>0</v>
      </c>
      <c r="B1" s="1" t="s">
        <v>1</v>
      </c>
      <c r="C1" s="1" t="s">
        <v>4679</v>
      </c>
      <c r="D1" s="1" t="s">
        <v>2</v>
      </c>
      <c r="E1" s="1" t="s">
        <v>4682</v>
      </c>
      <c r="F1" s="1" t="s">
        <v>4680</v>
      </c>
      <c r="G1" s="1" t="s">
        <v>3</v>
      </c>
      <c r="H1" s="1" t="s">
        <v>4681</v>
      </c>
      <c r="I1" s="1" t="s">
        <v>4</v>
      </c>
      <c r="J1" s="1" t="s">
        <v>4683</v>
      </c>
      <c r="K1" s="14" t="s">
        <v>5</v>
      </c>
      <c r="L1" s="10" t="s">
        <v>4694</v>
      </c>
      <c r="M1" s="10" t="s">
        <v>4695</v>
      </c>
      <c r="N1" s="1" t="s">
        <v>6</v>
      </c>
      <c r="O1" s="1" t="s">
        <v>7</v>
      </c>
      <c r="P1" s="1" t="s">
        <v>8</v>
      </c>
      <c r="Q1" s="5" t="s">
        <v>9</v>
      </c>
      <c r="R1" s="16" t="s">
        <v>4685</v>
      </c>
      <c r="S1" s="7" t="s">
        <v>4684</v>
      </c>
      <c r="T1" s="10" t="s">
        <v>10</v>
      </c>
      <c r="U1" s="10" t="s">
        <v>4686</v>
      </c>
      <c r="V1" s="10" t="s">
        <v>4688</v>
      </c>
      <c r="W1" s="10" t="s">
        <v>4689</v>
      </c>
      <c r="X1" s="1" t="s">
        <v>11</v>
      </c>
      <c r="Y1" s="10" t="s">
        <v>4687</v>
      </c>
      <c r="Z1" s="14" t="s">
        <v>12</v>
      </c>
      <c r="AA1" s="10" t="s">
        <v>4691</v>
      </c>
      <c r="AB1" s="10" t="s">
        <v>4692</v>
      </c>
      <c r="AC1" s="9" t="s">
        <v>13</v>
      </c>
      <c r="AD1" s="12" t="s">
        <v>4690</v>
      </c>
    </row>
    <row r="2" spans="1:30" ht="15.75" customHeight="1" x14ac:dyDescent="0.25">
      <c r="A2" s="1" t="s">
        <v>14</v>
      </c>
      <c r="B2" s="1" t="s">
        <v>15</v>
      </c>
      <c r="C2" s="1" t="str" cm="1">
        <f t="array" ref="C2:C1201">PROPER(TRIM(B2:B1201))</f>
        <v>Charles Garcia</v>
      </c>
      <c r="D2" s="1" t="s">
        <v>16</v>
      </c>
      <c r="E2" t="str" cm="1">
        <f t="array" ref="E2:E1201">LOWER(TRIM(D2:D1201))</f>
        <v>fjohnson@hall.com</v>
      </c>
      <c r="F2" t="str">
        <f>IF(ISNUMBER(SEARCH("@", E2)), "Valid", "Invalid")</f>
        <v>Valid</v>
      </c>
      <c r="G2" s="1" t="s">
        <v>17</v>
      </c>
      <c r="H2" s="1" t="str">
        <f>IF(OR(LOWER(G2)="m", LOWER(G2)="male"), "Male", IF(OR(LOWER(G2)="f", LOWER(G2)="female"), "Female","Other"))</f>
        <v>Female</v>
      </c>
      <c r="I2" s="1" t="s">
        <v>18</v>
      </c>
      <c r="J2" t="str">
        <f>UPPER(TRIM(I2))</f>
        <v>US</v>
      </c>
      <c r="K2" s="14">
        <v>19</v>
      </c>
      <c r="L2" s="1">
        <f>IF(OR(K2=0,K2&lt;10,K2&gt;100), $L$1202, K2)</f>
        <v>19</v>
      </c>
      <c r="M2" s="1" t="str">
        <f>IF(K2&lt;22,"Student",
IF(K2&lt;=30,"Early Career",
IF(K2&lt;=40,"Mid Career",
IF(K2&lt;=50,"Senior","Expert"))))</f>
        <v>Student</v>
      </c>
      <c r="N2" s="9">
        <v>45651</v>
      </c>
      <c r="O2" s="1" t="s">
        <v>19</v>
      </c>
      <c r="P2" s="1" t="s">
        <v>20</v>
      </c>
      <c r="Q2" s="4">
        <v>0.94</v>
      </c>
      <c r="R2" s="13">
        <f>IF(Q2&lt;=1, Q2*100, Q2)</f>
        <v>94</v>
      </c>
      <c r="S2" s="6">
        <f t="shared" ref="S2:S65" si="0">R2/100</f>
        <v>0.94</v>
      </c>
      <c r="T2" s="1" t="s">
        <v>21</v>
      </c>
      <c r="U2" s="1">
        <f>IF(ISNUMBER(T2), T2,
IF(ISNUMBER(SEARCH("min", T2)), VALUE(LEFT(T2, FIND(" ", T2)-1))/60,
IF(ISNUMBER(SEARCH("hour", T2)), VALUE(LEFT(T2, FIND(" ", T2)-1)),
"")))</f>
        <v>1.5</v>
      </c>
      <c r="V2" s="1">
        <f>MIN( (0.7*R2 + 0.3*(U2)), 100 )</f>
        <v>66.25</v>
      </c>
      <c r="W2" s="10" t="str">
        <f>IF(V2&lt;41,"Low",IF(V2&lt;71,"Medium","High"))</f>
        <v>Medium</v>
      </c>
      <c r="X2" s="1" t="s">
        <v>22</v>
      </c>
      <c r="Y2" s="1" t="str">
        <f>IF(OR(X2="Yes", X2="Y", X2=1), "Yes", "No")</f>
        <v>No</v>
      </c>
      <c r="Z2" s="14">
        <v>1</v>
      </c>
      <c r="AA2" s="18">
        <f>IF(AND(Z2&gt;=1,Z2&lt;=6),Z2,"Invalid")</f>
        <v>1</v>
      </c>
      <c r="AB2" s="18" t="str">
        <f>IF(AND(Y2="Yes",AA2&gt;=4),"High Performer","No")</f>
        <v>No</v>
      </c>
      <c r="AC2" s="9" t="s">
        <v>23</v>
      </c>
      <c r="AD2">
        <f>IF(AC2="",0,LEN(AC2)-LEN(SUBSTITUTE(AC2,",",""))+1)</f>
        <v>5</v>
      </c>
    </row>
    <row r="3" spans="1:30" ht="15.75" customHeight="1" x14ac:dyDescent="0.25">
      <c r="A3" s="1" t="s">
        <v>24</v>
      </c>
      <c r="B3" s="1" t="s">
        <v>25</v>
      </c>
      <c r="C3" s="1" t="str">
        <v>Connie Lawrence</v>
      </c>
      <c r="D3" s="1" t="s">
        <v>26</v>
      </c>
      <c r="E3" s="1" t="str">
        <v>helenpeterson@lewis.com</v>
      </c>
      <c r="F3" t="str">
        <f t="shared" ref="F3:F66" si="1">IF(ISNUMBER(SEARCH("@", E3)), "Valid", "Invalid")</f>
        <v>Valid</v>
      </c>
      <c r="G3" s="1" t="s">
        <v>27</v>
      </c>
      <c r="H3" s="1" t="str">
        <f t="shared" ref="H3:H66" si="2">IF(OR(LOWER(G3)="m", LOWER(G3)="male"), "Male", IF(OR(LOWER(G3)="f", LOWER(G3)="female"), "Female","Other"))</f>
        <v>Male</v>
      </c>
      <c r="I3" s="1" t="s">
        <v>28</v>
      </c>
      <c r="J3" t="str">
        <f t="shared" ref="J3:J66" si="3">UPPER(TRIM(I3))</f>
        <v>INDIA</v>
      </c>
      <c r="K3" s="14">
        <v>42</v>
      </c>
      <c r="L3" s="1">
        <f t="shared" ref="L3:L66" si="4">IF(OR(K3=0,K3&lt;10,K3&gt;100), $L$1202, K3)</f>
        <v>42</v>
      </c>
      <c r="M3" s="1" t="str">
        <f t="shared" ref="M3:M66" si="5">IF(K3&lt;22,"Student",
IF(K3&lt;=30,"Early Career",
IF(K3&lt;=40,"Mid Career",
IF(K3&lt;=50,"Senior","Expert"))))</f>
        <v>Senior</v>
      </c>
      <c r="N3" s="9">
        <v>45529</v>
      </c>
      <c r="O3" s="1" t="s">
        <v>30</v>
      </c>
      <c r="P3" s="1" t="s">
        <v>31</v>
      </c>
      <c r="Q3" s="4">
        <v>0.83</v>
      </c>
      <c r="R3" s="13">
        <f t="shared" ref="R3:R9" si="6">IF(Q3&lt;=1, Q3*100, Q3)</f>
        <v>83</v>
      </c>
      <c r="S3" s="6">
        <f t="shared" si="0"/>
        <v>0.83</v>
      </c>
      <c r="T3" s="1">
        <v>45</v>
      </c>
      <c r="U3" s="1">
        <f t="shared" ref="U3:U66" si="7">IF(ISNUMBER(T3), T3,
IF(ISNUMBER(SEARCH("min", T3)), VALUE(LEFT(T3, FIND(" ", T3)-1))/60,
IF(ISNUMBER(SEARCH("hour", T3)), VALUE(LEFT(T3, FIND(" ", T3)-1)),
"")))</f>
        <v>45</v>
      </c>
      <c r="V3" s="1">
        <f t="shared" ref="V3:V66" si="8">MIN( (0.7*R3 + 0.3*(U3)), 100 )</f>
        <v>71.599999999999994</v>
      </c>
      <c r="W3" s="10" t="str">
        <f t="shared" ref="W3:W66" si="9">IF(V3&lt;41,"Low",IF(V3&lt;71,"Medium","High"))</f>
        <v>High</v>
      </c>
      <c r="X3" s="1" t="s">
        <v>32</v>
      </c>
      <c r="Y3" s="1" t="str">
        <f t="shared" ref="Y3:Y66" si="10">IF(OR(X3="Yes", X3="Y", X3=1), "Yes", "No")</f>
        <v>Yes</v>
      </c>
      <c r="AA3" s="18" t="str">
        <f t="shared" ref="AA3:AA66" si="11">IF(AND(Z3&gt;=1,Z3&lt;=6),Z3,"Invalid")</f>
        <v>Invalid</v>
      </c>
      <c r="AB3" s="18" t="str">
        <f t="shared" ref="AB3:AB66" si="12">IF(AND(Y3="Yes",AA3&gt;=4),"High Performer","No")</f>
        <v>High Performer</v>
      </c>
      <c r="AC3" s="9" t="s">
        <v>29</v>
      </c>
      <c r="AD3">
        <f>IF(AC3="",0,LEN(AC3)-LEN(SUBSTITUTE(AC3,",",""))+1)</f>
        <v>1</v>
      </c>
    </row>
    <row r="4" spans="1:30" ht="15.75" customHeight="1" x14ac:dyDescent="0.25">
      <c r="A4" s="1" t="s">
        <v>33</v>
      </c>
      <c r="B4" s="1" t="s">
        <v>34</v>
      </c>
      <c r="C4" s="1" t="str">
        <v>Dennis Williams</v>
      </c>
      <c r="D4" s="1" t="s">
        <v>35</v>
      </c>
      <c r="E4" s="1" t="str">
        <v>dudleynicholas@hotmail.com</v>
      </c>
      <c r="F4" t="str">
        <f t="shared" si="1"/>
        <v>Valid</v>
      </c>
      <c r="G4" s="1" t="s">
        <v>27</v>
      </c>
      <c r="H4" s="1" t="str">
        <f t="shared" si="2"/>
        <v>Male</v>
      </c>
      <c r="I4" s="1" t="s">
        <v>28</v>
      </c>
      <c r="J4" t="str">
        <f t="shared" si="3"/>
        <v>INDIA</v>
      </c>
      <c r="L4" s="1">
        <f t="shared" si="4"/>
        <v>19</v>
      </c>
      <c r="M4" s="1" t="str">
        <f t="shared" si="5"/>
        <v>Student</v>
      </c>
      <c r="N4" s="9">
        <v>44802</v>
      </c>
      <c r="O4" s="1" t="s">
        <v>36</v>
      </c>
      <c r="P4" s="1" t="s">
        <v>37</v>
      </c>
      <c r="Q4" s="4">
        <v>0.48</v>
      </c>
      <c r="R4" s="13">
        <f t="shared" si="6"/>
        <v>48</v>
      </c>
      <c r="S4" s="6">
        <f t="shared" si="0"/>
        <v>0.48</v>
      </c>
      <c r="T4" s="1">
        <v>2</v>
      </c>
      <c r="U4" s="1">
        <f t="shared" si="7"/>
        <v>2</v>
      </c>
      <c r="V4" s="1">
        <f t="shared" si="8"/>
        <v>34.199999999999996</v>
      </c>
      <c r="W4" s="10" t="str">
        <f t="shared" si="9"/>
        <v>Low</v>
      </c>
      <c r="X4" s="1" t="s">
        <v>38</v>
      </c>
      <c r="Y4" s="1" t="str">
        <f t="shared" si="10"/>
        <v>No</v>
      </c>
      <c r="Z4" s="14">
        <v>1</v>
      </c>
      <c r="AA4" s="18">
        <f t="shared" si="11"/>
        <v>1</v>
      </c>
      <c r="AB4" s="18" t="str">
        <f t="shared" si="12"/>
        <v>No</v>
      </c>
      <c r="AC4" s="9" t="s">
        <v>39</v>
      </c>
      <c r="AD4">
        <f>IF(AC4="",0,LEN(AC4)-LEN(SUBSTITUTE(AC4,",",""))+1)</f>
        <v>4</v>
      </c>
    </row>
    <row r="5" spans="1:30" ht="15.75" customHeight="1" x14ac:dyDescent="0.25">
      <c r="A5" s="1" t="s">
        <v>40</v>
      </c>
      <c r="B5" s="1" t="s">
        <v>41</v>
      </c>
      <c r="C5" s="1" t="str">
        <v>Laura Bush</v>
      </c>
      <c r="D5" s="1" t="s">
        <v>42</v>
      </c>
      <c r="E5" s="1" t="str">
        <v>kendragalloway@delacruz.com</v>
      </c>
      <c r="F5" t="str">
        <f t="shared" si="1"/>
        <v>Valid</v>
      </c>
      <c r="G5" s="1" t="s">
        <v>43</v>
      </c>
      <c r="H5" s="1" t="str">
        <f t="shared" si="2"/>
        <v>Female</v>
      </c>
      <c r="I5" s="1" t="s">
        <v>44</v>
      </c>
      <c r="J5" t="str">
        <f t="shared" si="3"/>
        <v>CANADA</v>
      </c>
      <c r="K5" s="14"/>
      <c r="L5" s="1">
        <f t="shared" si="4"/>
        <v>19</v>
      </c>
      <c r="M5" s="1" t="str">
        <f t="shared" si="5"/>
        <v>Student</v>
      </c>
      <c r="N5" s="2">
        <v>45084</v>
      </c>
      <c r="O5" s="1" t="s">
        <v>45</v>
      </c>
      <c r="P5" s="1" t="s">
        <v>20</v>
      </c>
      <c r="Q5" s="4">
        <v>0.46</v>
      </c>
      <c r="R5" s="13">
        <f t="shared" si="6"/>
        <v>46</v>
      </c>
      <c r="S5" s="6">
        <f t="shared" si="0"/>
        <v>0.46</v>
      </c>
      <c r="T5" s="1" t="s">
        <v>46</v>
      </c>
      <c r="U5" s="1">
        <f t="shared" si="7"/>
        <v>1</v>
      </c>
      <c r="V5" s="1">
        <f t="shared" si="8"/>
        <v>32.499999999999993</v>
      </c>
      <c r="W5" s="10" t="str">
        <f t="shared" si="9"/>
        <v>Low</v>
      </c>
      <c r="X5" s="1" t="s">
        <v>38</v>
      </c>
      <c r="Y5" s="1" t="str">
        <f t="shared" si="10"/>
        <v>No</v>
      </c>
      <c r="Z5" s="14">
        <v>5</v>
      </c>
      <c r="AA5" s="18">
        <f t="shared" si="11"/>
        <v>5</v>
      </c>
      <c r="AB5" s="18" t="str">
        <f t="shared" si="12"/>
        <v>No</v>
      </c>
      <c r="AC5" s="9" t="s">
        <v>47</v>
      </c>
      <c r="AD5">
        <f>IF(AC5="",0,LEN(AC5)-LEN(SUBSTITUTE(AC5,",",""))+1)</f>
        <v>5</v>
      </c>
    </row>
    <row r="6" spans="1:30" ht="15.75" customHeight="1" x14ac:dyDescent="0.25">
      <c r="A6" s="1" t="s">
        <v>48</v>
      </c>
      <c r="B6" s="1" t="s">
        <v>49</v>
      </c>
      <c r="C6" s="1" t="str">
        <v>Daniel Adams</v>
      </c>
      <c r="D6" s="1" t="s">
        <v>50</v>
      </c>
      <c r="E6" s="1" t="str">
        <v>amandasanchez@gray-mayo.net</v>
      </c>
      <c r="F6" t="str">
        <f t="shared" si="1"/>
        <v>Valid</v>
      </c>
      <c r="G6" s="1" t="s">
        <v>17</v>
      </c>
      <c r="H6" s="1" t="str">
        <f t="shared" si="2"/>
        <v>Female</v>
      </c>
      <c r="I6" s="1" t="s">
        <v>51</v>
      </c>
      <c r="J6" t="str">
        <f t="shared" si="3"/>
        <v>UK</v>
      </c>
      <c r="K6" s="14">
        <v>0</v>
      </c>
      <c r="L6" s="1">
        <f t="shared" si="4"/>
        <v>19</v>
      </c>
      <c r="M6" s="1" t="str">
        <f t="shared" si="5"/>
        <v>Student</v>
      </c>
      <c r="N6" s="2">
        <v>45599</v>
      </c>
      <c r="O6" s="1" t="s">
        <v>52</v>
      </c>
      <c r="P6" s="1" t="s">
        <v>37</v>
      </c>
      <c r="Q6" s="4">
        <v>0.26</v>
      </c>
      <c r="R6" s="13">
        <f t="shared" si="6"/>
        <v>26</v>
      </c>
      <c r="S6" s="6">
        <f t="shared" si="0"/>
        <v>0.26</v>
      </c>
      <c r="T6" s="1" t="s">
        <v>21</v>
      </c>
      <c r="U6" s="1">
        <f t="shared" si="7"/>
        <v>1.5</v>
      </c>
      <c r="V6" s="1">
        <f t="shared" si="8"/>
        <v>18.649999999999999</v>
      </c>
      <c r="W6" s="10" t="str">
        <f t="shared" si="9"/>
        <v>Low</v>
      </c>
      <c r="X6" s="1" t="s">
        <v>38</v>
      </c>
      <c r="Y6" s="1" t="str">
        <f t="shared" si="10"/>
        <v>No</v>
      </c>
      <c r="AA6" s="18" t="str">
        <f t="shared" si="11"/>
        <v>Invalid</v>
      </c>
      <c r="AB6" s="18" t="str">
        <f t="shared" si="12"/>
        <v>No</v>
      </c>
      <c r="AC6" s="9" t="s">
        <v>53</v>
      </c>
      <c r="AD6">
        <f>IF(AC6="",0,LEN(AC6)-LEN(SUBSTITUTE(AC6,",",""))+1)</f>
        <v>6</v>
      </c>
    </row>
    <row r="7" spans="1:30" ht="15.75" customHeight="1" x14ac:dyDescent="0.25">
      <c r="A7" s="1" t="s">
        <v>54</v>
      </c>
      <c r="B7" s="1" t="s">
        <v>55</v>
      </c>
      <c r="C7" s="1" t="str">
        <v>Crystal Johnson</v>
      </c>
      <c r="D7" s="1" t="s">
        <v>56</v>
      </c>
      <c r="E7" s="1" t="str">
        <v>nadams@hotmail.com</v>
      </c>
      <c r="F7" t="str">
        <f t="shared" si="1"/>
        <v>Valid</v>
      </c>
      <c r="G7" s="1" t="s">
        <v>57</v>
      </c>
      <c r="H7" s="1" t="str">
        <f t="shared" si="2"/>
        <v>Female</v>
      </c>
      <c r="I7" s="1" t="s">
        <v>18</v>
      </c>
      <c r="J7" t="str">
        <f t="shared" si="3"/>
        <v>US</v>
      </c>
      <c r="K7" s="14">
        <v>26</v>
      </c>
      <c r="L7" s="1">
        <f t="shared" si="4"/>
        <v>26</v>
      </c>
      <c r="M7" s="1" t="str">
        <f t="shared" si="5"/>
        <v>Early Career</v>
      </c>
      <c r="N7" s="9">
        <v>44999</v>
      </c>
      <c r="O7" s="1" t="s">
        <v>58</v>
      </c>
      <c r="P7" s="1" t="s">
        <v>59</v>
      </c>
      <c r="Q7" s="4">
        <v>0.98</v>
      </c>
      <c r="R7" s="13">
        <f t="shared" si="6"/>
        <v>98</v>
      </c>
      <c r="S7" s="6">
        <f t="shared" si="0"/>
        <v>0.98</v>
      </c>
      <c r="T7" s="1" t="s">
        <v>46</v>
      </c>
      <c r="U7" s="1">
        <f t="shared" si="7"/>
        <v>1</v>
      </c>
      <c r="V7" s="1">
        <f t="shared" si="8"/>
        <v>68.899999999999991</v>
      </c>
      <c r="W7" s="10" t="str">
        <f t="shared" si="9"/>
        <v>Medium</v>
      </c>
      <c r="X7" s="1">
        <v>1</v>
      </c>
      <c r="Y7" s="1" t="str">
        <f t="shared" si="10"/>
        <v>Yes</v>
      </c>
      <c r="Z7" s="14">
        <v>6</v>
      </c>
      <c r="AA7" s="18">
        <f t="shared" si="11"/>
        <v>6</v>
      </c>
      <c r="AB7" s="18" t="str">
        <f t="shared" si="12"/>
        <v>High Performer</v>
      </c>
      <c r="AC7" s="9" t="s">
        <v>60</v>
      </c>
      <c r="AD7">
        <f>IF(AC7="",0,LEN(AC7)-LEN(SUBSTITUTE(AC7,",",""))+1)</f>
        <v>4</v>
      </c>
    </row>
    <row r="8" spans="1:30" ht="15.75" customHeight="1" x14ac:dyDescent="0.25">
      <c r="A8" s="1" t="s">
        <v>61</v>
      </c>
      <c r="B8" s="1" t="s">
        <v>62</v>
      </c>
      <c r="C8" s="1" t="str">
        <v>Maria Thomas</v>
      </c>
      <c r="D8" s="1" t="s">
        <v>63</v>
      </c>
      <c r="E8" s="1" t="str">
        <v>julieryan@richards.com</v>
      </c>
      <c r="F8" t="str">
        <f t="shared" si="1"/>
        <v>Valid</v>
      </c>
      <c r="G8" s="1" t="s">
        <v>27</v>
      </c>
      <c r="H8" s="1" t="str">
        <f t="shared" si="2"/>
        <v>Male</v>
      </c>
      <c r="I8" s="1" t="s">
        <v>18</v>
      </c>
      <c r="J8" t="str">
        <f t="shared" si="3"/>
        <v>US</v>
      </c>
      <c r="L8" s="1">
        <f t="shared" si="4"/>
        <v>19</v>
      </c>
      <c r="M8" s="1" t="str">
        <f t="shared" si="5"/>
        <v>Student</v>
      </c>
      <c r="N8" s="2">
        <v>45146</v>
      </c>
      <c r="O8" s="1" t="s">
        <v>36</v>
      </c>
      <c r="P8" s="1" t="s">
        <v>37</v>
      </c>
      <c r="Q8" s="4">
        <v>82</v>
      </c>
      <c r="R8" s="13">
        <f t="shared" si="6"/>
        <v>82</v>
      </c>
      <c r="S8" s="6">
        <f t="shared" si="0"/>
        <v>0.82</v>
      </c>
      <c r="T8" s="1" t="s">
        <v>64</v>
      </c>
      <c r="U8" s="1">
        <f t="shared" si="7"/>
        <v>2</v>
      </c>
      <c r="V8" s="1">
        <f t="shared" si="8"/>
        <v>58</v>
      </c>
      <c r="W8" s="10" t="str">
        <f t="shared" si="9"/>
        <v>Medium</v>
      </c>
      <c r="X8" s="1" t="s">
        <v>22</v>
      </c>
      <c r="Y8" s="1" t="str">
        <f t="shared" si="10"/>
        <v>No</v>
      </c>
      <c r="Z8" s="14">
        <v>4</v>
      </c>
      <c r="AA8" s="18">
        <f t="shared" si="11"/>
        <v>4</v>
      </c>
      <c r="AB8" s="18" t="str">
        <f t="shared" si="12"/>
        <v>No</v>
      </c>
      <c r="AC8" s="9" t="s">
        <v>65</v>
      </c>
      <c r="AD8">
        <f>IF(AC8="",0,LEN(AC8)-LEN(SUBSTITUTE(AC8,",",""))+1)</f>
        <v>8</v>
      </c>
    </row>
    <row r="9" spans="1:30" ht="15.75" customHeight="1" x14ac:dyDescent="0.25">
      <c r="A9" s="1" t="s">
        <v>66</v>
      </c>
      <c r="B9" s="1" t="s">
        <v>67</v>
      </c>
      <c r="C9" s="1" t="str">
        <v>Brian Burton</v>
      </c>
      <c r="D9" s="1" t="s">
        <v>68</v>
      </c>
      <c r="E9" s="1" t="str">
        <v>cruzcaitlin@yahoo.com</v>
      </c>
      <c r="F9" t="str">
        <f t="shared" si="1"/>
        <v>Valid</v>
      </c>
      <c r="G9" s="1" t="s">
        <v>17</v>
      </c>
      <c r="H9" s="1" t="str">
        <f t="shared" si="2"/>
        <v>Female</v>
      </c>
      <c r="I9" s="1" t="s">
        <v>18</v>
      </c>
      <c r="J9" t="str">
        <f t="shared" si="3"/>
        <v>US</v>
      </c>
      <c r="K9" s="14">
        <v>0</v>
      </c>
      <c r="L9" s="1">
        <f t="shared" si="4"/>
        <v>19</v>
      </c>
      <c r="M9" s="1" t="str">
        <f t="shared" si="5"/>
        <v>Student</v>
      </c>
      <c r="N9" s="2">
        <v>44753</v>
      </c>
      <c r="O9" s="1" t="s">
        <v>69</v>
      </c>
      <c r="P9" s="1" t="s">
        <v>31</v>
      </c>
      <c r="Q9" s="4">
        <v>19</v>
      </c>
      <c r="R9" s="13">
        <f t="shared" si="6"/>
        <v>19</v>
      </c>
      <c r="S9" s="6">
        <f t="shared" si="0"/>
        <v>0.19</v>
      </c>
      <c r="T9" s="1">
        <v>1.5</v>
      </c>
      <c r="U9" s="1">
        <f t="shared" si="7"/>
        <v>1.5</v>
      </c>
      <c r="V9" s="1">
        <f t="shared" si="8"/>
        <v>13.749999999999998</v>
      </c>
      <c r="W9" s="10" t="str">
        <f t="shared" si="9"/>
        <v>Low</v>
      </c>
      <c r="X9" s="1">
        <v>1</v>
      </c>
      <c r="Y9" s="1" t="str">
        <f t="shared" si="10"/>
        <v>Yes</v>
      </c>
      <c r="AA9" s="18" t="str">
        <f t="shared" si="11"/>
        <v>Invalid</v>
      </c>
      <c r="AB9" s="18" t="str">
        <f t="shared" si="12"/>
        <v>High Performer</v>
      </c>
      <c r="AC9" s="9" t="s">
        <v>70</v>
      </c>
      <c r="AD9">
        <f>IF(AC9="",0,LEN(AC9)-LEN(SUBSTITUTE(AC9,",",""))+1)</f>
        <v>2</v>
      </c>
    </row>
    <row r="10" spans="1:30" ht="15.75" customHeight="1" x14ac:dyDescent="0.25">
      <c r="A10" s="1" t="s">
        <v>71</v>
      </c>
      <c r="B10" s="1" t="s">
        <v>72</v>
      </c>
      <c r="C10" s="1" t="str">
        <v>Melanie Wilson</v>
      </c>
      <c r="D10" s="1" t="s">
        <v>73</v>
      </c>
      <c r="E10" s="1" t="str">
        <v>daniel62@yahoo.com</v>
      </c>
      <c r="F10" t="str">
        <f t="shared" si="1"/>
        <v>Valid</v>
      </c>
      <c r="G10" s="1" t="s">
        <v>57</v>
      </c>
      <c r="H10" s="1" t="str">
        <f t="shared" si="2"/>
        <v>Female</v>
      </c>
      <c r="I10" s="1" t="s">
        <v>74</v>
      </c>
      <c r="J10" t="str">
        <f t="shared" si="3"/>
        <v>USA</v>
      </c>
      <c r="L10" s="1">
        <f t="shared" si="4"/>
        <v>19</v>
      </c>
      <c r="M10" s="1" t="str">
        <f t="shared" si="5"/>
        <v>Student</v>
      </c>
      <c r="N10" s="2">
        <v>45450</v>
      </c>
      <c r="O10" s="1" t="s">
        <v>75</v>
      </c>
      <c r="P10" s="1" t="s">
        <v>37</v>
      </c>
      <c r="Q10" s="4">
        <v>87</v>
      </c>
      <c r="R10" s="13">
        <f t="shared" ref="R10:R66" si="13">IF(Q10&lt;=1, Q10*100, Q10)</f>
        <v>87</v>
      </c>
      <c r="S10" s="6">
        <f t="shared" si="0"/>
        <v>0.87</v>
      </c>
      <c r="T10" s="1" t="s">
        <v>46</v>
      </c>
      <c r="U10" s="1">
        <f t="shared" si="7"/>
        <v>1</v>
      </c>
      <c r="V10" s="1">
        <f t="shared" si="8"/>
        <v>61.199999999999996</v>
      </c>
      <c r="W10" s="10" t="str">
        <f t="shared" si="9"/>
        <v>Medium</v>
      </c>
      <c r="X10" s="1" t="s">
        <v>76</v>
      </c>
      <c r="Y10" s="1" t="str">
        <f t="shared" si="10"/>
        <v>Yes</v>
      </c>
      <c r="Z10" s="14">
        <v>5</v>
      </c>
      <c r="AA10" s="18">
        <f t="shared" si="11"/>
        <v>5</v>
      </c>
      <c r="AB10" s="18" t="str">
        <f t="shared" si="12"/>
        <v>High Performer</v>
      </c>
      <c r="AC10" s="9">
        <v>45450</v>
      </c>
      <c r="AD10">
        <f>IF(AC10="",0,LEN(AC10)-LEN(SUBSTITUTE(AC10,",",""))+1)</f>
        <v>1</v>
      </c>
    </row>
    <row r="11" spans="1:30" ht="15.75" customHeight="1" x14ac:dyDescent="0.25">
      <c r="A11" s="1" t="s">
        <v>77</v>
      </c>
      <c r="B11" s="1" t="s">
        <v>78</v>
      </c>
      <c r="C11" s="1" t="str">
        <v>Jonathan White</v>
      </c>
      <c r="D11" s="1" t="s">
        <v>79</v>
      </c>
      <c r="E11" s="1" t="str">
        <v>meagan89@hernandez.net</v>
      </c>
      <c r="F11" t="str">
        <f t="shared" si="1"/>
        <v>Valid</v>
      </c>
      <c r="G11" s="1" t="s">
        <v>43</v>
      </c>
      <c r="H11" s="1" t="str">
        <f t="shared" si="2"/>
        <v>Female</v>
      </c>
      <c r="I11" s="1" t="s">
        <v>51</v>
      </c>
      <c r="J11" t="str">
        <f t="shared" si="3"/>
        <v>UK</v>
      </c>
      <c r="K11" s="14">
        <v>29</v>
      </c>
      <c r="L11" s="1">
        <f t="shared" si="4"/>
        <v>29</v>
      </c>
      <c r="M11" s="1" t="str">
        <f t="shared" si="5"/>
        <v>Early Career</v>
      </c>
      <c r="N11" s="2">
        <v>44899</v>
      </c>
      <c r="O11" s="1" t="s">
        <v>75</v>
      </c>
      <c r="P11" s="1" t="s">
        <v>37</v>
      </c>
      <c r="Q11" s="4">
        <v>80</v>
      </c>
      <c r="R11" s="13">
        <f t="shared" si="13"/>
        <v>80</v>
      </c>
      <c r="S11" s="6">
        <f t="shared" si="0"/>
        <v>0.8</v>
      </c>
      <c r="T11" s="1">
        <v>45</v>
      </c>
      <c r="U11" s="1">
        <f t="shared" si="7"/>
        <v>45</v>
      </c>
      <c r="V11" s="1">
        <f t="shared" si="8"/>
        <v>69.5</v>
      </c>
      <c r="W11" s="10" t="str">
        <f t="shared" si="9"/>
        <v>Medium</v>
      </c>
      <c r="X11" s="1">
        <v>1</v>
      </c>
      <c r="Y11" s="1" t="str">
        <f t="shared" si="10"/>
        <v>Yes</v>
      </c>
      <c r="Z11" s="14">
        <v>3</v>
      </c>
      <c r="AA11" s="18">
        <f t="shared" si="11"/>
        <v>3</v>
      </c>
      <c r="AB11" s="18" t="str">
        <f t="shared" si="12"/>
        <v>No</v>
      </c>
      <c r="AC11" s="9" t="s">
        <v>80</v>
      </c>
      <c r="AD11">
        <f>IF(AC11="",0,LEN(AC11)-LEN(SUBSTITUTE(AC11,",",""))+1)</f>
        <v>3</v>
      </c>
    </row>
    <row r="12" spans="1:30" ht="15.75" customHeight="1" x14ac:dyDescent="0.25">
      <c r="A12" s="1" t="s">
        <v>81</v>
      </c>
      <c r="B12" s="1" t="s">
        <v>82</v>
      </c>
      <c r="C12" s="1" t="str">
        <v>Brian Cox Dvm</v>
      </c>
      <c r="D12" s="1" t="s">
        <v>83</v>
      </c>
      <c r="E12" s="1" t="str">
        <v>brianhumphrey@gmail.com</v>
      </c>
      <c r="F12" t="str">
        <f t="shared" si="1"/>
        <v>Valid</v>
      </c>
      <c r="G12" s="1" t="s">
        <v>43</v>
      </c>
      <c r="H12" s="1" t="str">
        <f t="shared" si="2"/>
        <v>Female</v>
      </c>
      <c r="I12" s="1" t="s">
        <v>74</v>
      </c>
      <c r="J12" t="str">
        <f t="shared" si="3"/>
        <v>USA</v>
      </c>
      <c r="K12" s="14">
        <v>0</v>
      </c>
      <c r="L12" s="1">
        <f t="shared" si="4"/>
        <v>19</v>
      </c>
      <c r="M12" s="1" t="str">
        <f t="shared" si="5"/>
        <v>Student</v>
      </c>
      <c r="N12" s="2">
        <v>45511</v>
      </c>
      <c r="O12" s="1" t="s">
        <v>45</v>
      </c>
      <c r="P12" s="1" t="s">
        <v>20</v>
      </c>
      <c r="Q12" s="4">
        <v>0.46</v>
      </c>
      <c r="R12" s="13">
        <f t="shared" si="13"/>
        <v>46</v>
      </c>
      <c r="S12" s="6">
        <f t="shared" si="0"/>
        <v>0.46</v>
      </c>
      <c r="T12" s="1" t="s">
        <v>64</v>
      </c>
      <c r="U12" s="1">
        <f t="shared" si="7"/>
        <v>2</v>
      </c>
      <c r="V12" s="1">
        <f t="shared" si="8"/>
        <v>32.799999999999997</v>
      </c>
      <c r="W12" s="10" t="str">
        <f t="shared" si="9"/>
        <v>Low</v>
      </c>
      <c r="X12" s="1" t="s">
        <v>76</v>
      </c>
      <c r="Y12" s="1" t="str">
        <f t="shared" si="10"/>
        <v>Yes</v>
      </c>
      <c r="Z12" s="14">
        <v>6</v>
      </c>
      <c r="AA12" s="18">
        <f t="shared" si="11"/>
        <v>6</v>
      </c>
      <c r="AB12" s="18" t="str">
        <f t="shared" si="12"/>
        <v>High Performer</v>
      </c>
      <c r="AC12" s="9" t="s">
        <v>84</v>
      </c>
      <c r="AD12">
        <f>IF(AC12="",0,LEN(AC12)-LEN(SUBSTITUTE(AC12,",",""))+1)</f>
        <v>6</v>
      </c>
    </row>
    <row r="13" spans="1:30" ht="15.75" customHeight="1" x14ac:dyDescent="0.25">
      <c r="A13" s="1" t="s">
        <v>85</v>
      </c>
      <c r="B13" s="1" t="s">
        <v>86</v>
      </c>
      <c r="C13" s="1" t="str">
        <v>Kim Martinez</v>
      </c>
      <c r="D13" s="1" t="s">
        <v>87</v>
      </c>
      <c r="E13" s="1" t="str">
        <v>josephbrennan@yahoo.com</v>
      </c>
      <c r="F13" t="str">
        <f t="shared" si="1"/>
        <v>Valid</v>
      </c>
      <c r="G13" s="1" t="s">
        <v>88</v>
      </c>
      <c r="H13" s="1" t="str">
        <f t="shared" si="2"/>
        <v>Male</v>
      </c>
      <c r="I13" s="1" t="s">
        <v>89</v>
      </c>
      <c r="J13" t="str">
        <f t="shared" si="3"/>
        <v>GERMANY</v>
      </c>
      <c r="K13" s="14">
        <v>0</v>
      </c>
      <c r="L13" s="1">
        <f t="shared" si="4"/>
        <v>19</v>
      </c>
      <c r="M13" s="1" t="str">
        <f t="shared" si="5"/>
        <v>Student</v>
      </c>
      <c r="N13" s="9">
        <v>44791</v>
      </c>
      <c r="O13" s="1" t="s">
        <v>90</v>
      </c>
      <c r="P13" s="1" t="s">
        <v>31</v>
      </c>
      <c r="Q13" s="4">
        <v>0.7</v>
      </c>
      <c r="R13" s="13">
        <f t="shared" si="13"/>
        <v>70</v>
      </c>
      <c r="S13" s="6">
        <f t="shared" si="0"/>
        <v>0.7</v>
      </c>
      <c r="T13" s="1" t="s">
        <v>46</v>
      </c>
      <c r="U13" s="1">
        <f t="shared" si="7"/>
        <v>1</v>
      </c>
      <c r="V13" s="1">
        <f t="shared" si="8"/>
        <v>49.3</v>
      </c>
      <c r="W13" s="10" t="str">
        <f t="shared" si="9"/>
        <v>Medium</v>
      </c>
      <c r="X13" s="1">
        <v>0</v>
      </c>
      <c r="Y13" s="1" t="str">
        <f t="shared" si="10"/>
        <v>No</v>
      </c>
      <c r="Z13" s="14">
        <v>2</v>
      </c>
      <c r="AA13" s="18">
        <f t="shared" si="11"/>
        <v>2</v>
      </c>
      <c r="AB13" s="18" t="str">
        <f t="shared" si="12"/>
        <v>No</v>
      </c>
      <c r="AC13" s="9" t="s">
        <v>91</v>
      </c>
      <c r="AD13">
        <f>IF(AC13="",0,LEN(AC13)-LEN(SUBSTITUTE(AC13,",",""))+1)</f>
        <v>3</v>
      </c>
    </row>
    <row r="14" spans="1:30" ht="15.75" customHeight="1" x14ac:dyDescent="0.25">
      <c r="A14" s="1" t="s">
        <v>92</v>
      </c>
      <c r="B14" s="1" t="s">
        <v>93</v>
      </c>
      <c r="C14" s="1" t="str">
        <v>Michelle Ross</v>
      </c>
      <c r="D14" s="1" t="s">
        <v>94</v>
      </c>
      <c r="E14" s="1" t="str">
        <v>clam@gmail.com</v>
      </c>
      <c r="F14" t="str">
        <f t="shared" si="1"/>
        <v>Valid</v>
      </c>
      <c r="G14" s="1" t="s">
        <v>95</v>
      </c>
      <c r="H14" s="1" t="str">
        <f t="shared" si="2"/>
        <v>Male</v>
      </c>
      <c r="I14" s="1" t="s">
        <v>96</v>
      </c>
      <c r="J14" t="str">
        <f t="shared" si="3"/>
        <v>INDIA</v>
      </c>
      <c r="K14" s="14">
        <v>0</v>
      </c>
      <c r="L14" s="1">
        <f t="shared" si="4"/>
        <v>19</v>
      </c>
      <c r="M14" s="1" t="str">
        <f t="shared" si="5"/>
        <v>Student</v>
      </c>
      <c r="N14" s="2">
        <v>44960</v>
      </c>
      <c r="O14" s="1" t="s">
        <v>52</v>
      </c>
      <c r="P14" s="1" t="s">
        <v>37</v>
      </c>
      <c r="Q14" s="4">
        <v>57</v>
      </c>
      <c r="R14" s="13">
        <f t="shared" si="13"/>
        <v>57</v>
      </c>
      <c r="S14" s="6">
        <f t="shared" si="0"/>
        <v>0.56999999999999995</v>
      </c>
      <c r="T14" s="1" t="s">
        <v>64</v>
      </c>
      <c r="U14" s="1">
        <f t="shared" si="7"/>
        <v>2</v>
      </c>
      <c r="V14" s="1">
        <f t="shared" si="8"/>
        <v>40.5</v>
      </c>
      <c r="W14" s="10" t="str">
        <f t="shared" si="9"/>
        <v>Low</v>
      </c>
      <c r="X14" s="1" t="s">
        <v>76</v>
      </c>
      <c r="Y14" s="1" t="str">
        <f t="shared" si="10"/>
        <v>Yes</v>
      </c>
      <c r="Z14" s="14">
        <v>1</v>
      </c>
      <c r="AA14" s="18">
        <f t="shared" si="11"/>
        <v>1</v>
      </c>
      <c r="AB14" s="18" t="str">
        <f t="shared" si="12"/>
        <v>No</v>
      </c>
      <c r="AC14" s="9" t="s">
        <v>97</v>
      </c>
      <c r="AD14">
        <f>IF(AC14="",0,LEN(AC14)-LEN(SUBSTITUTE(AC14,",",""))+1)</f>
        <v>6</v>
      </c>
    </row>
    <row r="15" spans="1:30" ht="15.75" customHeight="1" x14ac:dyDescent="0.25">
      <c r="A15" s="1" t="s">
        <v>98</v>
      </c>
      <c r="B15" s="1" t="s">
        <v>99</v>
      </c>
      <c r="C15" s="1" t="str">
        <v>Crystal Robinson</v>
      </c>
      <c r="D15" s="1" t="s">
        <v>100</v>
      </c>
      <c r="E15" s="1" t="str">
        <v>perezrebecca@jones-young.info</v>
      </c>
      <c r="F15" t="str">
        <f t="shared" si="1"/>
        <v>Valid</v>
      </c>
      <c r="G15" s="1" t="s">
        <v>43</v>
      </c>
      <c r="H15" s="1" t="str">
        <f t="shared" si="2"/>
        <v>Female</v>
      </c>
      <c r="I15" s="1" t="s">
        <v>96</v>
      </c>
      <c r="J15" t="str">
        <f t="shared" si="3"/>
        <v>INDIA</v>
      </c>
      <c r="K15" s="14">
        <v>0</v>
      </c>
      <c r="L15" s="1">
        <f t="shared" si="4"/>
        <v>19</v>
      </c>
      <c r="M15" s="1" t="str">
        <f t="shared" si="5"/>
        <v>Student</v>
      </c>
      <c r="N15" s="9">
        <v>45043</v>
      </c>
      <c r="O15" s="1" t="s">
        <v>19</v>
      </c>
      <c r="P15" s="1" t="s">
        <v>20</v>
      </c>
      <c r="Q15" s="4">
        <v>9</v>
      </c>
      <c r="R15" s="13">
        <f t="shared" si="13"/>
        <v>9</v>
      </c>
      <c r="S15" s="6">
        <f t="shared" si="0"/>
        <v>0.09</v>
      </c>
      <c r="T15" s="1">
        <v>1.5</v>
      </c>
      <c r="U15" s="1">
        <f t="shared" si="7"/>
        <v>1.5</v>
      </c>
      <c r="V15" s="1">
        <f t="shared" si="8"/>
        <v>6.75</v>
      </c>
      <c r="W15" s="10" t="str">
        <f t="shared" si="9"/>
        <v>Low</v>
      </c>
      <c r="X15" s="1">
        <v>1</v>
      </c>
      <c r="Y15" s="1" t="str">
        <f t="shared" si="10"/>
        <v>Yes</v>
      </c>
      <c r="Z15" s="14">
        <v>5</v>
      </c>
      <c r="AA15" s="18">
        <f t="shared" si="11"/>
        <v>5</v>
      </c>
      <c r="AB15" s="18" t="str">
        <f t="shared" si="12"/>
        <v>High Performer</v>
      </c>
      <c r="AC15" s="9" t="s">
        <v>101</v>
      </c>
      <c r="AD15">
        <f>IF(AC15="",0,LEN(AC15)-LEN(SUBSTITUTE(AC15,",",""))+1)</f>
        <v>2</v>
      </c>
    </row>
    <row r="16" spans="1:30" ht="15.75" customHeight="1" x14ac:dyDescent="0.25">
      <c r="A16" s="1" t="s">
        <v>102</v>
      </c>
      <c r="B16" s="1" t="s">
        <v>103</v>
      </c>
      <c r="C16" s="1" t="str">
        <v>Laura Sanchez</v>
      </c>
      <c r="D16" s="1" t="s">
        <v>104</v>
      </c>
      <c r="E16" s="1" t="str">
        <v>glee@hotmail.com</v>
      </c>
      <c r="F16" t="str">
        <f t="shared" si="1"/>
        <v>Valid</v>
      </c>
      <c r="G16" s="1" t="s">
        <v>88</v>
      </c>
      <c r="H16" s="1" t="str">
        <f t="shared" si="2"/>
        <v>Male</v>
      </c>
      <c r="I16" s="1" t="s">
        <v>18</v>
      </c>
      <c r="J16" t="str">
        <f t="shared" si="3"/>
        <v>US</v>
      </c>
      <c r="K16" s="14">
        <v>0</v>
      </c>
      <c r="L16" s="1">
        <f t="shared" si="4"/>
        <v>19</v>
      </c>
      <c r="M16" s="1" t="str">
        <f t="shared" si="5"/>
        <v>Student</v>
      </c>
      <c r="N16" s="2">
        <v>45049</v>
      </c>
      <c r="O16" s="1" t="s">
        <v>69</v>
      </c>
      <c r="P16" s="1" t="s">
        <v>31</v>
      </c>
      <c r="Q16" s="4">
        <v>24</v>
      </c>
      <c r="R16" s="13">
        <f t="shared" si="13"/>
        <v>24</v>
      </c>
      <c r="S16" s="6">
        <f t="shared" si="0"/>
        <v>0.24</v>
      </c>
      <c r="T16" s="1" t="s">
        <v>64</v>
      </c>
      <c r="U16" s="1">
        <f t="shared" si="7"/>
        <v>2</v>
      </c>
      <c r="V16" s="1">
        <f t="shared" si="8"/>
        <v>17.399999999999999</v>
      </c>
      <c r="W16" s="10" t="str">
        <f t="shared" si="9"/>
        <v>Low</v>
      </c>
      <c r="X16" s="1">
        <v>0</v>
      </c>
      <c r="Y16" s="1" t="str">
        <f t="shared" si="10"/>
        <v>No</v>
      </c>
      <c r="Z16" s="14">
        <v>1</v>
      </c>
      <c r="AA16" s="18">
        <f t="shared" si="11"/>
        <v>1</v>
      </c>
      <c r="AB16" s="18" t="str">
        <f t="shared" si="12"/>
        <v>No</v>
      </c>
      <c r="AC16" s="9" t="s">
        <v>105</v>
      </c>
      <c r="AD16">
        <f>IF(AC16="",0,LEN(AC16)-LEN(SUBSTITUTE(AC16,",",""))+1)</f>
        <v>4</v>
      </c>
    </row>
    <row r="17" spans="1:30" ht="15.75" customHeight="1" x14ac:dyDescent="0.25">
      <c r="A17" s="1" t="s">
        <v>106</v>
      </c>
      <c r="B17" s="1" t="s">
        <v>107</v>
      </c>
      <c r="C17" s="1" t="str">
        <v>Amy Valdez</v>
      </c>
      <c r="D17" s="1" t="s">
        <v>108</v>
      </c>
      <c r="E17" s="1" t="str">
        <v>powellmatthew@wright.net</v>
      </c>
      <c r="F17" t="str">
        <f t="shared" si="1"/>
        <v>Valid</v>
      </c>
      <c r="G17" s="1" t="s">
        <v>109</v>
      </c>
      <c r="H17" s="1" t="str">
        <f t="shared" si="2"/>
        <v>Male</v>
      </c>
      <c r="I17" s="1" t="s">
        <v>18</v>
      </c>
      <c r="J17" t="str">
        <f t="shared" si="3"/>
        <v>US</v>
      </c>
      <c r="L17" s="1">
        <f t="shared" si="4"/>
        <v>19</v>
      </c>
      <c r="M17" s="1" t="str">
        <f t="shared" si="5"/>
        <v>Student</v>
      </c>
      <c r="N17" s="2">
        <v>45414</v>
      </c>
      <c r="O17" s="1" t="s">
        <v>19</v>
      </c>
      <c r="P17" s="1" t="s">
        <v>20</v>
      </c>
      <c r="Q17" s="4">
        <v>0.13</v>
      </c>
      <c r="R17" s="13">
        <f t="shared" si="13"/>
        <v>13</v>
      </c>
      <c r="S17" s="6">
        <f t="shared" si="0"/>
        <v>0.13</v>
      </c>
      <c r="T17" s="1" t="s">
        <v>46</v>
      </c>
      <c r="U17" s="1">
        <f t="shared" si="7"/>
        <v>1</v>
      </c>
      <c r="V17" s="1">
        <f t="shared" si="8"/>
        <v>9.4</v>
      </c>
      <c r="W17" s="10" t="str">
        <f t="shared" si="9"/>
        <v>Low</v>
      </c>
      <c r="X17" s="1" t="s">
        <v>76</v>
      </c>
      <c r="Y17" s="1" t="str">
        <f t="shared" si="10"/>
        <v>Yes</v>
      </c>
      <c r="Z17" s="14">
        <v>2</v>
      </c>
      <c r="AA17" s="18">
        <f t="shared" si="11"/>
        <v>2</v>
      </c>
      <c r="AB17" s="18" t="str">
        <f t="shared" si="12"/>
        <v>No</v>
      </c>
      <c r="AC17" s="9" t="s">
        <v>110</v>
      </c>
      <c r="AD17">
        <f>IF(AC17="",0,LEN(AC17)-LEN(SUBSTITUTE(AC17,",",""))+1)</f>
        <v>7</v>
      </c>
    </row>
    <row r="18" spans="1:30" ht="15.75" customHeight="1" x14ac:dyDescent="0.25">
      <c r="A18" s="1" t="s">
        <v>111</v>
      </c>
      <c r="B18" s="1" t="s">
        <v>112</v>
      </c>
      <c r="C18" s="1" t="str">
        <v>Shannon Jones</v>
      </c>
      <c r="D18" s="1" t="s">
        <v>113</v>
      </c>
      <c r="E18" s="1" t="str">
        <v>pearsonamber@novak.com</v>
      </c>
      <c r="F18" t="str">
        <f t="shared" si="1"/>
        <v>Valid</v>
      </c>
      <c r="G18" s="1" t="s">
        <v>43</v>
      </c>
      <c r="H18" s="1" t="str">
        <f t="shared" si="2"/>
        <v>Female</v>
      </c>
      <c r="I18" s="1" t="s">
        <v>51</v>
      </c>
      <c r="J18" t="str">
        <f t="shared" si="3"/>
        <v>UK</v>
      </c>
      <c r="L18" s="1">
        <f t="shared" si="4"/>
        <v>19</v>
      </c>
      <c r="M18" s="1" t="str">
        <f t="shared" si="5"/>
        <v>Student</v>
      </c>
      <c r="N18" s="2">
        <v>45354</v>
      </c>
      <c r="O18" s="1" t="s">
        <v>114</v>
      </c>
      <c r="P18" s="1" t="s">
        <v>59</v>
      </c>
      <c r="Q18" s="4">
        <v>0.69</v>
      </c>
      <c r="R18" s="13">
        <f t="shared" si="13"/>
        <v>69</v>
      </c>
      <c r="S18" s="6">
        <f t="shared" si="0"/>
        <v>0.69</v>
      </c>
      <c r="T18" s="1">
        <v>1.5</v>
      </c>
      <c r="U18" s="1">
        <f t="shared" si="7"/>
        <v>1.5</v>
      </c>
      <c r="V18" s="1">
        <f t="shared" si="8"/>
        <v>48.75</v>
      </c>
      <c r="W18" s="10" t="str">
        <f t="shared" si="9"/>
        <v>Medium</v>
      </c>
      <c r="X18" s="1" t="s">
        <v>38</v>
      </c>
      <c r="Y18" s="1" t="str">
        <f t="shared" si="10"/>
        <v>No</v>
      </c>
      <c r="Z18" s="14">
        <v>6</v>
      </c>
      <c r="AA18" s="18">
        <f t="shared" si="11"/>
        <v>6</v>
      </c>
      <c r="AB18" s="18" t="str">
        <f t="shared" si="12"/>
        <v>No</v>
      </c>
      <c r="AC18" s="9" t="s">
        <v>115</v>
      </c>
      <c r="AD18">
        <f>IF(AC18="",0,LEN(AC18)-LEN(SUBSTITUTE(AC18,",",""))+1)</f>
        <v>2</v>
      </c>
    </row>
    <row r="19" spans="1:30" ht="15.75" customHeight="1" x14ac:dyDescent="0.25">
      <c r="A19" s="1" t="s">
        <v>116</v>
      </c>
      <c r="B19" s="1" t="s">
        <v>117</v>
      </c>
      <c r="C19" s="1" t="str">
        <v>Anthony Gray</v>
      </c>
      <c r="D19" s="1" t="s">
        <v>118</v>
      </c>
      <c r="E19" s="1" t="str">
        <v>sara74@yahoo.com</v>
      </c>
      <c r="F19" t="str">
        <f t="shared" si="1"/>
        <v>Valid</v>
      </c>
      <c r="G19" s="1" t="s">
        <v>119</v>
      </c>
      <c r="H19" s="1" t="str">
        <f t="shared" si="2"/>
        <v>Female</v>
      </c>
      <c r="I19" s="1" t="s">
        <v>51</v>
      </c>
      <c r="J19" t="str">
        <f t="shared" si="3"/>
        <v>UK</v>
      </c>
      <c r="L19" s="1">
        <f t="shared" si="4"/>
        <v>19</v>
      </c>
      <c r="M19" s="1" t="str">
        <f t="shared" si="5"/>
        <v>Student</v>
      </c>
      <c r="N19" s="9">
        <v>45289</v>
      </c>
      <c r="O19" s="1" t="s">
        <v>19</v>
      </c>
      <c r="P19" s="1" t="s">
        <v>20</v>
      </c>
      <c r="Q19" s="4">
        <v>33</v>
      </c>
      <c r="R19" s="13">
        <f t="shared" si="13"/>
        <v>33</v>
      </c>
      <c r="S19" s="6">
        <f t="shared" si="0"/>
        <v>0.33</v>
      </c>
      <c r="T19" s="1">
        <v>1.5</v>
      </c>
      <c r="U19" s="1">
        <f t="shared" si="7"/>
        <v>1.5</v>
      </c>
      <c r="V19" s="1">
        <f t="shared" si="8"/>
        <v>23.549999999999997</v>
      </c>
      <c r="W19" s="10" t="str">
        <f t="shared" si="9"/>
        <v>Low</v>
      </c>
      <c r="X19" s="1" t="s">
        <v>76</v>
      </c>
      <c r="Y19" s="1" t="str">
        <f t="shared" si="10"/>
        <v>Yes</v>
      </c>
      <c r="Z19" s="14">
        <v>6</v>
      </c>
      <c r="AA19" s="18">
        <f t="shared" si="11"/>
        <v>6</v>
      </c>
      <c r="AB19" s="18" t="str">
        <f t="shared" si="12"/>
        <v>High Performer</v>
      </c>
      <c r="AC19" s="9" t="s">
        <v>120</v>
      </c>
      <c r="AD19">
        <f>IF(AC19="",0,LEN(AC19)-LEN(SUBSTITUTE(AC19,",",""))+1)</f>
        <v>7</v>
      </c>
    </row>
    <row r="20" spans="1:30" ht="15.75" customHeight="1" x14ac:dyDescent="0.25">
      <c r="A20" s="1" t="s">
        <v>121</v>
      </c>
      <c r="B20" s="1" t="s">
        <v>122</v>
      </c>
      <c r="C20" s="1" t="str">
        <v>Michelle Moore</v>
      </c>
      <c r="D20" s="1" t="s">
        <v>123</v>
      </c>
      <c r="E20" s="1" t="str">
        <v>tanyariley@hotmail.com</v>
      </c>
      <c r="F20" t="str">
        <f t="shared" si="1"/>
        <v>Valid</v>
      </c>
      <c r="G20" s="1" t="s">
        <v>109</v>
      </c>
      <c r="H20" s="1" t="str">
        <f t="shared" si="2"/>
        <v>Male</v>
      </c>
      <c r="I20" s="1" t="s">
        <v>28</v>
      </c>
      <c r="J20" t="str">
        <f t="shared" si="3"/>
        <v>INDIA</v>
      </c>
      <c r="K20" s="14">
        <v>34</v>
      </c>
      <c r="L20" s="1">
        <f t="shared" si="4"/>
        <v>34</v>
      </c>
      <c r="M20" s="1" t="str">
        <f t="shared" si="5"/>
        <v>Mid Career</v>
      </c>
      <c r="N20" s="9">
        <v>45740</v>
      </c>
      <c r="O20" s="1" t="s">
        <v>30</v>
      </c>
      <c r="P20" s="1" t="s">
        <v>31</v>
      </c>
      <c r="Q20" s="4">
        <v>0.06</v>
      </c>
      <c r="R20" s="13">
        <f t="shared" si="13"/>
        <v>6</v>
      </c>
      <c r="S20" s="6">
        <f t="shared" si="0"/>
        <v>0.06</v>
      </c>
      <c r="T20" s="1" t="s">
        <v>46</v>
      </c>
      <c r="U20" s="1">
        <f t="shared" si="7"/>
        <v>1</v>
      </c>
      <c r="V20" s="1">
        <f t="shared" si="8"/>
        <v>4.4999999999999991</v>
      </c>
      <c r="W20" s="10" t="str">
        <f t="shared" si="9"/>
        <v>Low</v>
      </c>
      <c r="X20" s="1" t="s">
        <v>76</v>
      </c>
      <c r="Y20" s="1" t="str">
        <f t="shared" si="10"/>
        <v>Yes</v>
      </c>
      <c r="Z20" s="14">
        <v>5</v>
      </c>
      <c r="AA20" s="18">
        <f t="shared" si="11"/>
        <v>5</v>
      </c>
      <c r="AB20" s="18" t="str">
        <f t="shared" si="12"/>
        <v>High Performer</v>
      </c>
      <c r="AC20" s="9" t="s">
        <v>124</v>
      </c>
      <c r="AD20">
        <f>IF(AC20="",0,LEN(AC20)-LEN(SUBSTITUTE(AC20,",",""))+1)</f>
        <v>1</v>
      </c>
    </row>
    <row r="21" spans="1:30" ht="15.75" customHeight="1" x14ac:dyDescent="0.25">
      <c r="A21" s="1" t="s">
        <v>125</v>
      </c>
      <c r="B21" s="1" t="s">
        <v>126</v>
      </c>
      <c r="C21" s="1" t="str">
        <v>Kathryn Farrell</v>
      </c>
      <c r="D21" s="1" t="s">
        <v>127</v>
      </c>
      <c r="E21" s="1" t="str">
        <v>invalid-email</v>
      </c>
      <c r="F21" t="str">
        <f t="shared" si="1"/>
        <v>Invalid</v>
      </c>
      <c r="G21" s="1" t="s">
        <v>17</v>
      </c>
      <c r="H21" s="1" t="str">
        <f t="shared" si="2"/>
        <v>Female</v>
      </c>
      <c r="I21" s="1" t="s">
        <v>18</v>
      </c>
      <c r="J21" t="str">
        <f t="shared" si="3"/>
        <v>US</v>
      </c>
      <c r="K21" s="14">
        <v>0</v>
      </c>
      <c r="L21" s="1">
        <f t="shared" si="4"/>
        <v>19</v>
      </c>
      <c r="M21" s="1" t="str">
        <f t="shared" si="5"/>
        <v>Student</v>
      </c>
      <c r="N21" s="2">
        <v>44841</v>
      </c>
      <c r="O21" s="1" t="s">
        <v>90</v>
      </c>
      <c r="P21" s="1" t="s">
        <v>31</v>
      </c>
      <c r="Q21" s="4">
        <v>0.72</v>
      </c>
      <c r="R21" s="13">
        <f t="shared" si="13"/>
        <v>72</v>
      </c>
      <c r="S21" s="6">
        <f t="shared" si="0"/>
        <v>0.72</v>
      </c>
      <c r="T21" s="1" t="s">
        <v>64</v>
      </c>
      <c r="U21" s="1">
        <f t="shared" si="7"/>
        <v>2</v>
      </c>
      <c r="V21" s="1">
        <f t="shared" si="8"/>
        <v>51</v>
      </c>
      <c r="W21" s="10" t="str">
        <f t="shared" si="9"/>
        <v>Medium</v>
      </c>
      <c r="X21" s="1" t="s">
        <v>32</v>
      </c>
      <c r="Y21" s="1" t="str">
        <f t="shared" si="10"/>
        <v>Yes</v>
      </c>
      <c r="Z21" s="14">
        <v>2</v>
      </c>
      <c r="AA21" s="18">
        <f t="shared" si="11"/>
        <v>2</v>
      </c>
      <c r="AB21" s="18" t="str">
        <f t="shared" si="12"/>
        <v>No</v>
      </c>
      <c r="AC21" s="9" t="s">
        <v>128</v>
      </c>
      <c r="AD21">
        <f>IF(AC21="",0,LEN(AC21)-LEN(SUBSTITUTE(AC21,",",""))+1)</f>
        <v>4</v>
      </c>
    </row>
    <row r="22" spans="1:30" ht="15.75" customHeight="1" x14ac:dyDescent="0.25">
      <c r="A22" s="1" t="s">
        <v>129</v>
      </c>
      <c r="B22" s="1" t="s">
        <v>130</v>
      </c>
      <c r="C22" s="1" t="str">
        <v>Andrea Jones</v>
      </c>
      <c r="D22" s="1" t="s">
        <v>131</v>
      </c>
      <c r="E22" s="1" t="str">
        <v>kwilson@riley.org</v>
      </c>
      <c r="F22" t="str">
        <f t="shared" si="1"/>
        <v>Valid</v>
      </c>
      <c r="G22" s="1" t="s">
        <v>17</v>
      </c>
      <c r="H22" s="1" t="str">
        <f t="shared" si="2"/>
        <v>Female</v>
      </c>
      <c r="I22" s="1" t="s">
        <v>28</v>
      </c>
      <c r="J22" t="str">
        <f t="shared" si="3"/>
        <v>INDIA</v>
      </c>
      <c r="K22" s="14">
        <v>0</v>
      </c>
      <c r="L22" s="1">
        <f t="shared" si="4"/>
        <v>19</v>
      </c>
      <c r="M22" s="1" t="str">
        <f t="shared" si="5"/>
        <v>Student</v>
      </c>
      <c r="N22" s="2">
        <v>44754</v>
      </c>
      <c r="O22" s="1" t="s">
        <v>36</v>
      </c>
      <c r="P22" s="1" t="s">
        <v>37</v>
      </c>
      <c r="Q22" s="4">
        <v>0.16</v>
      </c>
      <c r="R22" s="13">
        <f t="shared" si="13"/>
        <v>16</v>
      </c>
      <c r="S22" s="6">
        <f t="shared" si="0"/>
        <v>0.16</v>
      </c>
      <c r="T22" s="1" t="s">
        <v>21</v>
      </c>
      <c r="U22" s="1">
        <f t="shared" si="7"/>
        <v>1.5</v>
      </c>
      <c r="V22" s="1">
        <f t="shared" si="8"/>
        <v>11.649999999999999</v>
      </c>
      <c r="W22" s="10" t="str">
        <f t="shared" si="9"/>
        <v>Low</v>
      </c>
      <c r="X22" s="1" t="s">
        <v>76</v>
      </c>
      <c r="Y22" s="1" t="str">
        <f t="shared" si="10"/>
        <v>Yes</v>
      </c>
      <c r="AA22" s="18" t="str">
        <f t="shared" si="11"/>
        <v>Invalid</v>
      </c>
      <c r="AB22" s="18" t="str">
        <f t="shared" si="12"/>
        <v>High Performer</v>
      </c>
      <c r="AC22" s="9" t="s">
        <v>132</v>
      </c>
      <c r="AD22">
        <f>IF(AC22="",0,LEN(AC22)-LEN(SUBSTITUTE(AC22,",",""))+1)</f>
        <v>6</v>
      </c>
    </row>
    <row r="23" spans="1:30" ht="15.75" customHeight="1" x14ac:dyDescent="0.25">
      <c r="A23" s="1" t="s">
        <v>133</v>
      </c>
      <c r="B23" s="1" t="s">
        <v>134</v>
      </c>
      <c r="C23" s="1" t="str">
        <v>Taylor Harris</v>
      </c>
      <c r="D23" s="1" t="s">
        <v>135</v>
      </c>
      <c r="E23" s="1" t="str">
        <v>josephanderson@hotmail.com</v>
      </c>
      <c r="F23" t="str">
        <f t="shared" si="1"/>
        <v>Valid</v>
      </c>
      <c r="G23" s="1" t="s">
        <v>109</v>
      </c>
      <c r="H23" s="1" t="str">
        <f t="shared" si="2"/>
        <v>Male</v>
      </c>
      <c r="I23" s="1" t="s">
        <v>136</v>
      </c>
      <c r="J23" t="str">
        <f t="shared" si="3"/>
        <v>UK</v>
      </c>
      <c r="K23" s="14">
        <v>0</v>
      </c>
      <c r="L23" s="1">
        <f t="shared" si="4"/>
        <v>19</v>
      </c>
      <c r="M23" s="1" t="str">
        <f t="shared" si="5"/>
        <v>Student</v>
      </c>
      <c r="N23" s="2">
        <v>44903</v>
      </c>
      <c r="O23" s="1" t="s">
        <v>45</v>
      </c>
      <c r="P23" s="1" t="s">
        <v>20</v>
      </c>
      <c r="Q23" s="4">
        <v>0.44</v>
      </c>
      <c r="R23" s="13">
        <f t="shared" si="13"/>
        <v>44</v>
      </c>
      <c r="S23" s="6">
        <f t="shared" si="0"/>
        <v>0.44</v>
      </c>
      <c r="T23" s="1">
        <v>45</v>
      </c>
      <c r="U23" s="1">
        <f t="shared" si="7"/>
        <v>45</v>
      </c>
      <c r="V23" s="1">
        <f t="shared" si="8"/>
        <v>44.3</v>
      </c>
      <c r="W23" s="10" t="str">
        <f t="shared" si="9"/>
        <v>Medium</v>
      </c>
      <c r="X23" s="1">
        <v>1</v>
      </c>
      <c r="Y23" s="1" t="str">
        <f t="shared" si="10"/>
        <v>Yes</v>
      </c>
      <c r="Z23" s="14">
        <v>1</v>
      </c>
      <c r="AA23" s="18">
        <f t="shared" si="11"/>
        <v>1</v>
      </c>
      <c r="AB23" s="18" t="str">
        <f t="shared" si="12"/>
        <v>No</v>
      </c>
      <c r="AC23" s="9" t="s">
        <v>137</v>
      </c>
      <c r="AD23">
        <f>IF(AC23="",0,LEN(AC23)-LEN(SUBSTITUTE(AC23,",",""))+1)</f>
        <v>4</v>
      </c>
    </row>
    <row r="24" spans="1:30" ht="12.5" x14ac:dyDescent="0.25">
      <c r="A24" s="1" t="s">
        <v>138</v>
      </c>
      <c r="B24" s="1" t="s">
        <v>139</v>
      </c>
      <c r="C24" s="1" t="str">
        <v>Alexandra Howell</v>
      </c>
      <c r="D24" s="1" t="s">
        <v>140</v>
      </c>
      <c r="E24" s="1" t="str">
        <v>medinawilliam@mahoney.com</v>
      </c>
      <c r="F24" t="str">
        <f t="shared" si="1"/>
        <v>Valid</v>
      </c>
      <c r="G24" s="1" t="s">
        <v>109</v>
      </c>
      <c r="H24" s="1" t="str">
        <f t="shared" si="2"/>
        <v>Male</v>
      </c>
      <c r="I24" s="1" t="s">
        <v>44</v>
      </c>
      <c r="J24" t="str">
        <f t="shared" si="3"/>
        <v>CANADA</v>
      </c>
      <c r="K24" s="14">
        <v>0</v>
      </c>
      <c r="L24" s="1">
        <f t="shared" si="4"/>
        <v>19</v>
      </c>
      <c r="M24" s="1" t="str">
        <f t="shared" si="5"/>
        <v>Student</v>
      </c>
      <c r="N24" s="9">
        <v>45124</v>
      </c>
      <c r="O24" s="1" t="s">
        <v>90</v>
      </c>
      <c r="P24" s="1" t="s">
        <v>31</v>
      </c>
      <c r="Q24" s="4">
        <v>0.17</v>
      </c>
      <c r="R24" s="13">
        <f t="shared" si="13"/>
        <v>17</v>
      </c>
      <c r="S24" s="6">
        <f t="shared" si="0"/>
        <v>0.17</v>
      </c>
      <c r="T24" s="1" t="s">
        <v>46</v>
      </c>
      <c r="U24" s="1">
        <f t="shared" si="7"/>
        <v>1</v>
      </c>
      <c r="V24" s="1">
        <f t="shared" si="8"/>
        <v>12.2</v>
      </c>
      <c r="W24" s="10" t="str">
        <f t="shared" si="9"/>
        <v>Low</v>
      </c>
      <c r="X24" s="1" t="s">
        <v>32</v>
      </c>
      <c r="Y24" s="1" t="str">
        <f t="shared" si="10"/>
        <v>Yes</v>
      </c>
      <c r="Z24" s="14">
        <v>3</v>
      </c>
      <c r="AA24" s="18">
        <f t="shared" si="11"/>
        <v>3</v>
      </c>
      <c r="AB24" s="18" t="str">
        <f t="shared" si="12"/>
        <v>No</v>
      </c>
      <c r="AC24" s="9" t="s">
        <v>142</v>
      </c>
      <c r="AD24">
        <f>IF(AC24="",0,LEN(AC24)-LEN(SUBSTITUTE(AC24,",",""))+1)</f>
        <v>5</v>
      </c>
    </row>
    <row r="25" spans="1:30" ht="12.5" x14ac:dyDescent="0.25">
      <c r="A25" s="1" t="s">
        <v>143</v>
      </c>
      <c r="B25" s="1" t="s">
        <v>144</v>
      </c>
      <c r="C25" s="1" t="str">
        <v>Elizabeth Riggs</v>
      </c>
      <c r="D25" s="1" t="s">
        <v>145</v>
      </c>
      <c r="E25" s="1" t="str">
        <v>sarah12@wilson-rodriguez.net</v>
      </c>
      <c r="F25" t="str">
        <f t="shared" si="1"/>
        <v>Valid</v>
      </c>
      <c r="G25" s="1" t="s">
        <v>95</v>
      </c>
      <c r="H25" s="1" t="str">
        <f t="shared" si="2"/>
        <v>Male</v>
      </c>
      <c r="I25" s="1" t="s">
        <v>28</v>
      </c>
      <c r="J25" t="str">
        <f t="shared" si="3"/>
        <v>INDIA</v>
      </c>
      <c r="K25" s="14">
        <v>28</v>
      </c>
      <c r="L25" s="1">
        <f t="shared" si="4"/>
        <v>28</v>
      </c>
      <c r="M25" s="1" t="str">
        <f t="shared" si="5"/>
        <v>Early Career</v>
      </c>
      <c r="N25" s="2">
        <v>44968</v>
      </c>
      <c r="O25" s="1" t="s">
        <v>146</v>
      </c>
      <c r="P25" s="1" t="s">
        <v>147</v>
      </c>
      <c r="Q25" s="4">
        <v>0.06</v>
      </c>
      <c r="R25" s="13">
        <f t="shared" si="13"/>
        <v>6</v>
      </c>
      <c r="S25" s="6">
        <f t="shared" si="0"/>
        <v>0.06</v>
      </c>
      <c r="T25" s="1">
        <v>45</v>
      </c>
      <c r="U25" s="1">
        <f t="shared" si="7"/>
        <v>45</v>
      </c>
      <c r="V25" s="1">
        <f t="shared" si="8"/>
        <v>17.7</v>
      </c>
      <c r="W25" s="10" t="str">
        <f t="shared" si="9"/>
        <v>Low</v>
      </c>
      <c r="X25" s="1" t="s">
        <v>32</v>
      </c>
      <c r="Y25" s="1" t="str">
        <f t="shared" si="10"/>
        <v>Yes</v>
      </c>
      <c r="Z25" s="14">
        <v>1</v>
      </c>
      <c r="AA25" s="18">
        <f t="shared" si="11"/>
        <v>1</v>
      </c>
      <c r="AB25" s="18" t="str">
        <f t="shared" si="12"/>
        <v>No</v>
      </c>
      <c r="AC25" s="9" t="s">
        <v>148</v>
      </c>
      <c r="AD25">
        <f>IF(AC25="",0,LEN(AC25)-LEN(SUBSTITUTE(AC25,",",""))+1)</f>
        <v>5</v>
      </c>
    </row>
    <row r="26" spans="1:30" ht="12.5" x14ac:dyDescent="0.25">
      <c r="A26" s="1" t="s">
        <v>149</v>
      </c>
      <c r="B26" s="1" t="s">
        <v>150</v>
      </c>
      <c r="C26" s="1" t="str">
        <v>Christina Walters</v>
      </c>
      <c r="D26" s="1" t="s">
        <v>151</v>
      </c>
      <c r="E26" s="1" t="str">
        <v>dking@gmail.com</v>
      </c>
      <c r="F26" t="str">
        <f t="shared" si="1"/>
        <v>Valid</v>
      </c>
      <c r="G26" s="1" t="s">
        <v>109</v>
      </c>
      <c r="H26" s="1" t="str">
        <f t="shared" si="2"/>
        <v>Male</v>
      </c>
      <c r="I26" s="1" t="s">
        <v>96</v>
      </c>
      <c r="J26" t="str">
        <f t="shared" si="3"/>
        <v>INDIA</v>
      </c>
      <c r="L26" s="1">
        <f t="shared" si="4"/>
        <v>19</v>
      </c>
      <c r="M26" s="1" t="str">
        <f t="shared" si="5"/>
        <v>Student</v>
      </c>
      <c r="N26" s="2">
        <v>44663</v>
      </c>
      <c r="O26" s="1" t="s">
        <v>146</v>
      </c>
      <c r="P26" s="1" t="s">
        <v>147</v>
      </c>
      <c r="Q26" s="4">
        <v>71</v>
      </c>
      <c r="R26" s="13">
        <f t="shared" si="13"/>
        <v>71</v>
      </c>
      <c r="S26" s="6">
        <f t="shared" si="0"/>
        <v>0.71</v>
      </c>
      <c r="T26" s="1">
        <v>45</v>
      </c>
      <c r="U26" s="1">
        <f t="shared" si="7"/>
        <v>45</v>
      </c>
      <c r="V26" s="1">
        <f t="shared" si="8"/>
        <v>63.199999999999996</v>
      </c>
      <c r="W26" s="10" t="str">
        <f t="shared" si="9"/>
        <v>Medium</v>
      </c>
      <c r="X26" s="1" t="s">
        <v>22</v>
      </c>
      <c r="Y26" s="1" t="str">
        <f t="shared" si="10"/>
        <v>No</v>
      </c>
      <c r="Z26" s="14">
        <v>1</v>
      </c>
      <c r="AA26" s="18">
        <f t="shared" si="11"/>
        <v>1</v>
      </c>
      <c r="AB26" s="18" t="str">
        <f t="shared" si="12"/>
        <v>No</v>
      </c>
      <c r="AC26" s="9" t="s">
        <v>152</v>
      </c>
      <c r="AD26">
        <f>IF(AC26="",0,LEN(AC26)-LEN(SUBSTITUTE(AC26,",",""))+1)</f>
        <v>8</v>
      </c>
    </row>
    <row r="27" spans="1:30" ht="12.5" x14ac:dyDescent="0.25">
      <c r="A27" s="1" t="s">
        <v>153</v>
      </c>
      <c r="B27" s="1" t="s">
        <v>154</v>
      </c>
      <c r="C27" s="1" t="str">
        <v>Ray Walsh</v>
      </c>
      <c r="D27" s="1" t="s">
        <v>155</v>
      </c>
      <c r="E27" s="1" t="str">
        <v>joycearnold@yahoo.com</v>
      </c>
      <c r="F27" t="str">
        <f t="shared" si="1"/>
        <v>Valid</v>
      </c>
      <c r="G27" s="1" t="s">
        <v>17</v>
      </c>
      <c r="H27" s="1" t="str">
        <f t="shared" si="2"/>
        <v>Female</v>
      </c>
      <c r="I27" s="1" t="s">
        <v>156</v>
      </c>
      <c r="J27" t="str">
        <f t="shared" si="3"/>
        <v>IN</v>
      </c>
      <c r="K27" s="14">
        <v>0</v>
      </c>
      <c r="L27" s="1">
        <f t="shared" si="4"/>
        <v>19</v>
      </c>
      <c r="M27" s="1" t="str">
        <f t="shared" si="5"/>
        <v>Student</v>
      </c>
      <c r="N27" s="9">
        <v>45643</v>
      </c>
      <c r="O27" s="1" t="s">
        <v>158</v>
      </c>
      <c r="P27" s="1" t="s">
        <v>59</v>
      </c>
      <c r="Q27" s="4">
        <v>0.05</v>
      </c>
      <c r="R27" s="13">
        <f t="shared" si="13"/>
        <v>5</v>
      </c>
      <c r="S27" s="6">
        <f t="shared" si="0"/>
        <v>0.05</v>
      </c>
      <c r="T27" s="1">
        <v>2</v>
      </c>
      <c r="U27" s="1">
        <f t="shared" si="7"/>
        <v>2</v>
      </c>
      <c r="V27" s="1">
        <f t="shared" si="8"/>
        <v>4.0999999999999996</v>
      </c>
      <c r="W27" s="10" t="str">
        <f t="shared" si="9"/>
        <v>Low</v>
      </c>
      <c r="X27" s="1" t="s">
        <v>38</v>
      </c>
      <c r="Y27" s="1" t="str">
        <f t="shared" si="10"/>
        <v>No</v>
      </c>
      <c r="Z27" s="14">
        <v>3</v>
      </c>
      <c r="AA27" s="18">
        <f t="shared" si="11"/>
        <v>3</v>
      </c>
      <c r="AB27" s="18" t="str">
        <f t="shared" si="12"/>
        <v>No</v>
      </c>
      <c r="AC27" s="9" t="s">
        <v>157</v>
      </c>
      <c r="AD27">
        <f>IF(AC27="",0,LEN(AC27)-LEN(SUBSTITUTE(AC27,",",""))+1)</f>
        <v>1</v>
      </c>
    </row>
    <row r="28" spans="1:30" ht="12.5" x14ac:dyDescent="0.25">
      <c r="A28" s="1" t="s">
        <v>159</v>
      </c>
      <c r="B28" s="1" t="s">
        <v>160</v>
      </c>
      <c r="C28" s="1" t="str">
        <v>Stephanie Gardner</v>
      </c>
      <c r="D28" s="1" t="s">
        <v>161</v>
      </c>
      <c r="E28" s="1" t="str">
        <v>russellwilliams@yahoo.com</v>
      </c>
      <c r="F28" t="str">
        <f t="shared" si="1"/>
        <v>Valid</v>
      </c>
      <c r="G28" s="1" t="s">
        <v>57</v>
      </c>
      <c r="H28" s="1" t="str">
        <f t="shared" si="2"/>
        <v>Female</v>
      </c>
      <c r="I28" s="1" t="s">
        <v>18</v>
      </c>
      <c r="J28" t="str">
        <f t="shared" si="3"/>
        <v>US</v>
      </c>
      <c r="K28" s="14">
        <v>0</v>
      </c>
      <c r="L28" s="1">
        <f t="shared" si="4"/>
        <v>19</v>
      </c>
      <c r="M28" s="1" t="str">
        <f t="shared" si="5"/>
        <v>Student</v>
      </c>
      <c r="N28" s="9">
        <v>45529</v>
      </c>
      <c r="O28" s="1" t="s">
        <v>30</v>
      </c>
      <c r="P28" s="1" t="s">
        <v>31</v>
      </c>
      <c r="Q28" s="4">
        <v>22</v>
      </c>
      <c r="R28" s="13">
        <f t="shared" si="13"/>
        <v>22</v>
      </c>
      <c r="S28" s="6">
        <f t="shared" si="0"/>
        <v>0.22</v>
      </c>
      <c r="T28" s="1" t="s">
        <v>21</v>
      </c>
      <c r="U28" s="1">
        <f t="shared" si="7"/>
        <v>1.5</v>
      </c>
      <c r="V28" s="1">
        <f t="shared" si="8"/>
        <v>15.849999999999998</v>
      </c>
      <c r="W28" s="10" t="str">
        <f t="shared" si="9"/>
        <v>Low</v>
      </c>
      <c r="X28" s="1" t="s">
        <v>22</v>
      </c>
      <c r="Y28" s="1" t="str">
        <f t="shared" si="10"/>
        <v>No</v>
      </c>
      <c r="Z28" s="14">
        <v>4</v>
      </c>
      <c r="AA28" s="18">
        <f t="shared" si="11"/>
        <v>4</v>
      </c>
      <c r="AB28" s="18" t="str">
        <f t="shared" si="12"/>
        <v>No</v>
      </c>
      <c r="AC28" s="9" t="s">
        <v>162</v>
      </c>
      <c r="AD28">
        <f>IF(AC28="",0,LEN(AC28)-LEN(SUBSTITUTE(AC28,",",""))+1)</f>
        <v>3</v>
      </c>
    </row>
    <row r="29" spans="1:30" ht="12.5" x14ac:dyDescent="0.25">
      <c r="A29" s="1" t="s">
        <v>163</v>
      </c>
      <c r="B29" s="1" t="s">
        <v>164</v>
      </c>
      <c r="C29" s="1" t="str">
        <v>Brian Deleon</v>
      </c>
      <c r="D29" s="1" t="s">
        <v>165</v>
      </c>
      <c r="E29" s="1" t="str">
        <v>sarayoung@gmail.com</v>
      </c>
      <c r="F29" t="str">
        <f t="shared" si="1"/>
        <v>Valid</v>
      </c>
      <c r="G29" s="1" t="s">
        <v>57</v>
      </c>
      <c r="H29" s="1" t="str">
        <f t="shared" si="2"/>
        <v>Female</v>
      </c>
      <c r="I29" s="1" t="s">
        <v>44</v>
      </c>
      <c r="J29" t="str">
        <f t="shared" si="3"/>
        <v>CANADA</v>
      </c>
      <c r="K29" s="14">
        <v>44</v>
      </c>
      <c r="L29" s="1">
        <f t="shared" si="4"/>
        <v>44</v>
      </c>
      <c r="M29" s="1" t="str">
        <f t="shared" si="5"/>
        <v>Senior</v>
      </c>
      <c r="N29" s="2">
        <v>44748</v>
      </c>
      <c r="O29" s="1" t="s">
        <v>36</v>
      </c>
      <c r="P29" s="1" t="s">
        <v>37</v>
      </c>
      <c r="Q29" s="4">
        <v>60</v>
      </c>
      <c r="R29" s="13">
        <f t="shared" si="13"/>
        <v>60</v>
      </c>
      <c r="S29" s="6">
        <f t="shared" si="0"/>
        <v>0.6</v>
      </c>
      <c r="T29" s="1" t="s">
        <v>64</v>
      </c>
      <c r="U29" s="1">
        <f t="shared" si="7"/>
        <v>2</v>
      </c>
      <c r="V29" s="1">
        <f t="shared" si="8"/>
        <v>42.6</v>
      </c>
      <c r="W29" s="10" t="str">
        <f t="shared" si="9"/>
        <v>Medium</v>
      </c>
      <c r="X29" s="1">
        <v>0</v>
      </c>
      <c r="Y29" s="1" t="str">
        <f t="shared" si="10"/>
        <v>No</v>
      </c>
      <c r="Z29" s="14">
        <v>2</v>
      </c>
      <c r="AA29" s="18">
        <f t="shared" si="11"/>
        <v>2</v>
      </c>
      <c r="AB29" s="18" t="str">
        <f t="shared" si="12"/>
        <v>No</v>
      </c>
      <c r="AC29" s="9" t="s">
        <v>166</v>
      </c>
      <c r="AD29">
        <f>IF(AC29="",0,LEN(AC29)-LEN(SUBSTITUTE(AC29,",",""))+1)</f>
        <v>2</v>
      </c>
    </row>
    <row r="30" spans="1:30" ht="12.5" x14ac:dyDescent="0.25">
      <c r="A30" s="1" t="s">
        <v>167</v>
      </c>
      <c r="B30" s="1" t="s">
        <v>168</v>
      </c>
      <c r="C30" s="1" t="str">
        <v>Evelyn Galvan</v>
      </c>
      <c r="D30" s="1" t="s">
        <v>169</v>
      </c>
      <c r="E30" s="1" t="str">
        <v>erik16@garrison.com</v>
      </c>
      <c r="F30" t="str">
        <f t="shared" si="1"/>
        <v>Valid</v>
      </c>
      <c r="G30" s="1" t="s">
        <v>57</v>
      </c>
      <c r="H30" s="1" t="str">
        <f t="shared" si="2"/>
        <v>Female</v>
      </c>
      <c r="I30" s="1" t="s">
        <v>28</v>
      </c>
      <c r="J30" t="str">
        <f t="shared" si="3"/>
        <v>INDIA</v>
      </c>
      <c r="L30" s="1">
        <f t="shared" si="4"/>
        <v>19</v>
      </c>
      <c r="M30" s="1" t="str">
        <f t="shared" si="5"/>
        <v>Student</v>
      </c>
      <c r="N30" s="2">
        <v>45108</v>
      </c>
      <c r="O30" s="1" t="s">
        <v>170</v>
      </c>
      <c r="P30" s="1" t="s">
        <v>147</v>
      </c>
      <c r="Q30" s="4">
        <v>98</v>
      </c>
      <c r="R30" s="13">
        <f t="shared" si="13"/>
        <v>98</v>
      </c>
      <c r="S30" s="6">
        <f t="shared" si="0"/>
        <v>0.98</v>
      </c>
      <c r="T30" s="1">
        <v>2</v>
      </c>
      <c r="U30" s="1">
        <f t="shared" si="7"/>
        <v>2</v>
      </c>
      <c r="V30" s="1">
        <f t="shared" si="8"/>
        <v>69.199999999999989</v>
      </c>
      <c r="W30" s="10" t="str">
        <f t="shared" si="9"/>
        <v>Medium</v>
      </c>
      <c r="X30" s="1" t="s">
        <v>32</v>
      </c>
      <c r="Y30" s="1" t="str">
        <f t="shared" si="10"/>
        <v>Yes</v>
      </c>
      <c r="Z30" s="14">
        <v>3</v>
      </c>
      <c r="AA30" s="18">
        <f t="shared" si="11"/>
        <v>3</v>
      </c>
      <c r="AB30" s="18" t="str">
        <f t="shared" si="12"/>
        <v>No</v>
      </c>
      <c r="AC30" s="9" t="s">
        <v>171</v>
      </c>
      <c r="AD30">
        <f>IF(AC30="",0,LEN(AC30)-LEN(SUBSTITUTE(AC30,",",""))+1)</f>
        <v>6</v>
      </c>
    </row>
    <row r="31" spans="1:30" ht="12.5" x14ac:dyDescent="0.25">
      <c r="A31" s="1" t="s">
        <v>172</v>
      </c>
      <c r="B31" s="1" t="s">
        <v>173</v>
      </c>
      <c r="C31" s="1" t="str">
        <v>Courtney Keller</v>
      </c>
      <c r="D31" s="1" t="s">
        <v>174</v>
      </c>
      <c r="E31" s="1" t="str">
        <v>joshua14@yahoo.com</v>
      </c>
      <c r="F31" t="str">
        <f t="shared" si="1"/>
        <v>Valid</v>
      </c>
      <c r="G31" s="1" t="s">
        <v>88</v>
      </c>
      <c r="H31" s="1" t="str">
        <f t="shared" si="2"/>
        <v>Male</v>
      </c>
      <c r="I31" s="1" t="s">
        <v>89</v>
      </c>
      <c r="J31" t="str">
        <f t="shared" si="3"/>
        <v>GERMANY</v>
      </c>
      <c r="K31" s="14">
        <v>26</v>
      </c>
      <c r="L31" s="1">
        <f t="shared" si="4"/>
        <v>26</v>
      </c>
      <c r="M31" s="1" t="str">
        <f t="shared" si="5"/>
        <v>Early Career</v>
      </c>
      <c r="N31" s="9">
        <v>45373</v>
      </c>
      <c r="O31" s="1" t="s">
        <v>19</v>
      </c>
      <c r="P31" s="1" t="s">
        <v>20</v>
      </c>
      <c r="Q31" s="4">
        <v>40</v>
      </c>
      <c r="R31" s="13">
        <f t="shared" si="13"/>
        <v>40</v>
      </c>
      <c r="S31" s="6">
        <f t="shared" si="0"/>
        <v>0.4</v>
      </c>
      <c r="T31" s="1">
        <v>2</v>
      </c>
      <c r="U31" s="1">
        <f t="shared" si="7"/>
        <v>2</v>
      </c>
      <c r="V31" s="1">
        <f t="shared" si="8"/>
        <v>28.6</v>
      </c>
      <c r="W31" s="10" t="str">
        <f t="shared" si="9"/>
        <v>Low</v>
      </c>
      <c r="X31" s="1" t="s">
        <v>76</v>
      </c>
      <c r="Y31" s="1" t="str">
        <f t="shared" si="10"/>
        <v>Yes</v>
      </c>
      <c r="Z31" s="14">
        <v>4</v>
      </c>
      <c r="AA31" s="18">
        <f t="shared" si="11"/>
        <v>4</v>
      </c>
      <c r="AB31" s="18" t="str">
        <f t="shared" si="12"/>
        <v>High Performer</v>
      </c>
      <c r="AC31" s="9" t="s">
        <v>175</v>
      </c>
      <c r="AD31">
        <f>IF(AC31="",0,LEN(AC31)-LEN(SUBSTITUTE(AC31,",",""))+1)</f>
        <v>7</v>
      </c>
    </row>
    <row r="32" spans="1:30" ht="12.5" x14ac:dyDescent="0.25">
      <c r="A32" s="1" t="s">
        <v>176</v>
      </c>
      <c r="B32" s="1" t="s">
        <v>177</v>
      </c>
      <c r="C32" s="1" t="str">
        <v>Erin Johnson</v>
      </c>
      <c r="D32" s="1" t="s">
        <v>178</v>
      </c>
      <c r="E32" s="1" t="str">
        <v>beverlyterrell@gmail.com</v>
      </c>
      <c r="F32" t="str">
        <f t="shared" si="1"/>
        <v>Valid</v>
      </c>
      <c r="G32" s="1" t="s">
        <v>17</v>
      </c>
      <c r="H32" s="1" t="str">
        <f t="shared" si="2"/>
        <v>Female</v>
      </c>
      <c r="I32" s="1" t="s">
        <v>44</v>
      </c>
      <c r="J32" t="str">
        <f t="shared" si="3"/>
        <v>CANADA</v>
      </c>
      <c r="L32" s="1">
        <f t="shared" si="4"/>
        <v>19</v>
      </c>
      <c r="M32" s="1" t="str">
        <f t="shared" si="5"/>
        <v>Student</v>
      </c>
      <c r="N32" s="9">
        <v>45654</v>
      </c>
      <c r="O32" s="1" t="s">
        <v>30</v>
      </c>
      <c r="P32" s="1" t="s">
        <v>31</v>
      </c>
      <c r="Q32" s="4">
        <v>0.85</v>
      </c>
      <c r="R32" s="13">
        <f t="shared" si="13"/>
        <v>85</v>
      </c>
      <c r="S32" s="6">
        <f t="shared" si="0"/>
        <v>0.85</v>
      </c>
      <c r="T32" s="1">
        <v>2</v>
      </c>
      <c r="U32" s="1">
        <f t="shared" si="7"/>
        <v>2</v>
      </c>
      <c r="V32" s="1">
        <f t="shared" si="8"/>
        <v>60.099999999999994</v>
      </c>
      <c r="W32" s="10" t="str">
        <f t="shared" si="9"/>
        <v>Medium</v>
      </c>
      <c r="X32" s="1" t="s">
        <v>32</v>
      </c>
      <c r="Y32" s="1" t="str">
        <f t="shared" si="10"/>
        <v>Yes</v>
      </c>
      <c r="Z32" s="14">
        <v>3</v>
      </c>
      <c r="AA32" s="18">
        <f t="shared" si="11"/>
        <v>3</v>
      </c>
      <c r="AB32" s="18" t="str">
        <f t="shared" si="12"/>
        <v>No</v>
      </c>
      <c r="AC32" s="9" t="s">
        <v>179</v>
      </c>
      <c r="AD32">
        <f>IF(AC32="",0,LEN(AC32)-LEN(SUBSTITUTE(AC32,",",""))+1)</f>
        <v>4</v>
      </c>
    </row>
    <row r="33" spans="1:30" ht="12.5" x14ac:dyDescent="0.25">
      <c r="A33" s="1" t="s">
        <v>180</v>
      </c>
      <c r="B33" s="1" t="s">
        <v>181</v>
      </c>
      <c r="C33" s="1" t="str">
        <v>Jessica Joyce</v>
      </c>
      <c r="D33" s="1" t="s">
        <v>182</v>
      </c>
      <c r="E33" s="1" t="str">
        <v>mlam@williams-graham.net</v>
      </c>
      <c r="F33" t="str">
        <f t="shared" si="1"/>
        <v>Valid</v>
      </c>
      <c r="G33" s="1" t="s">
        <v>109</v>
      </c>
      <c r="H33" s="1" t="str">
        <f t="shared" si="2"/>
        <v>Male</v>
      </c>
      <c r="I33" s="1" t="s">
        <v>44</v>
      </c>
      <c r="J33" t="str">
        <f t="shared" si="3"/>
        <v>CANADA</v>
      </c>
      <c r="K33" s="14">
        <v>0</v>
      </c>
      <c r="L33" s="1">
        <f t="shared" si="4"/>
        <v>19</v>
      </c>
      <c r="M33" s="1" t="str">
        <f t="shared" si="5"/>
        <v>Student</v>
      </c>
      <c r="N33" s="9">
        <v>44826</v>
      </c>
      <c r="O33" s="1" t="s">
        <v>114</v>
      </c>
      <c r="P33" s="1" t="s">
        <v>59</v>
      </c>
      <c r="Q33" s="4">
        <v>0.53</v>
      </c>
      <c r="R33" s="13">
        <f t="shared" si="13"/>
        <v>53</v>
      </c>
      <c r="S33" s="6">
        <f t="shared" si="0"/>
        <v>0.53</v>
      </c>
      <c r="T33" s="1">
        <v>45</v>
      </c>
      <c r="U33" s="1">
        <f t="shared" si="7"/>
        <v>45</v>
      </c>
      <c r="V33" s="1">
        <f t="shared" si="8"/>
        <v>50.599999999999994</v>
      </c>
      <c r="W33" s="10" t="str">
        <f t="shared" si="9"/>
        <v>Medium</v>
      </c>
      <c r="X33" s="1" t="s">
        <v>32</v>
      </c>
      <c r="Y33" s="1" t="str">
        <f t="shared" si="10"/>
        <v>Yes</v>
      </c>
      <c r="AA33" s="18" t="str">
        <f t="shared" si="11"/>
        <v>Invalid</v>
      </c>
      <c r="AB33" s="18" t="str">
        <f t="shared" si="12"/>
        <v>High Performer</v>
      </c>
      <c r="AC33" s="9" t="s">
        <v>183</v>
      </c>
      <c r="AD33">
        <f>IF(AC33="",0,LEN(AC33)-LEN(SUBSTITUTE(AC33,",",""))+1)</f>
        <v>5</v>
      </c>
    </row>
    <row r="34" spans="1:30" ht="12.5" x14ac:dyDescent="0.25">
      <c r="A34" s="1" t="s">
        <v>184</v>
      </c>
      <c r="B34" s="1" t="s">
        <v>185</v>
      </c>
      <c r="C34" s="1" t="str">
        <v>Christina Reynolds</v>
      </c>
      <c r="D34" s="1" t="s">
        <v>186</v>
      </c>
      <c r="E34" s="1" t="str">
        <v>elizabeth14@hotmail.com</v>
      </c>
      <c r="F34" t="str">
        <f t="shared" si="1"/>
        <v>Valid</v>
      </c>
      <c r="G34" s="1" t="s">
        <v>119</v>
      </c>
      <c r="H34" s="1" t="str">
        <f t="shared" si="2"/>
        <v>Female</v>
      </c>
      <c r="I34" s="1" t="s">
        <v>51</v>
      </c>
      <c r="J34" t="str">
        <f t="shared" si="3"/>
        <v>UK</v>
      </c>
      <c r="K34" s="14">
        <v>39</v>
      </c>
      <c r="L34" s="1">
        <f t="shared" si="4"/>
        <v>39</v>
      </c>
      <c r="M34" s="1" t="str">
        <f t="shared" si="5"/>
        <v>Mid Career</v>
      </c>
      <c r="N34" s="9">
        <v>45494</v>
      </c>
      <c r="O34" s="1" t="s">
        <v>36</v>
      </c>
      <c r="P34" s="1" t="s">
        <v>37</v>
      </c>
      <c r="Q34" s="4">
        <v>0.41</v>
      </c>
      <c r="R34" s="13">
        <f t="shared" si="13"/>
        <v>41</v>
      </c>
      <c r="S34" s="6">
        <f t="shared" si="0"/>
        <v>0.41</v>
      </c>
      <c r="T34" s="1">
        <v>45</v>
      </c>
      <c r="U34" s="1">
        <f t="shared" si="7"/>
        <v>45</v>
      </c>
      <c r="V34" s="1">
        <f t="shared" si="8"/>
        <v>42.2</v>
      </c>
      <c r="W34" s="10" t="str">
        <f t="shared" si="9"/>
        <v>Medium</v>
      </c>
      <c r="X34" s="1">
        <v>0</v>
      </c>
      <c r="Y34" s="1" t="str">
        <f t="shared" si="10"/>
        <v>No</v>
      </c>
      <c r="Z34" s="14">
        <v>4</v>
      </c>
      <c r="AA34" s="18">
        <f t="shared" si="11"/>
        <v>4</v>
      </c>
      <c r="AB34" s="18" t="str">
        <f t="shared" si="12"/>
        <v>No</v>
      </c>
      <c r="AC34" s="9" t="s">
        <v>187</v>
      </c>
      <c r="AD34">
        <f>IF(AC34="",0,LEN(AC34)-LEN(SUBSTITUTE(AC34,",",""))+1)</f>
        <v>7</v>
      </c>
    </row>
    <row r="35" spans="1:30" ht="12.5" x14ac:dyDescent="0.25">
      <c r="A35" s="1" t="s">
        <v>188</v>
      </c>
      <c r="B35" s="1" t="s">
        <v>189</v>
      </c>
      <c r="C35" s="1" t="str">
        <v>Kristen Lee</v>
      </c>
      <c r="D35" s="1" t="s">
        <v>127</v>
      </c>
      <c r="E35" s="1" t="str">
        <v>invalid-email</v>
      </c>
      <c r="F35" t="str">
        <f t="shared" si="1"/>
        <v>Invalid</v>
      </c>
      <c r="G35" s="1" t="s">
        <v>43</v>
      </c>
      <c r="H35" s="1" t="str">
        <f t="shared" si="2"/>
        <v>Female</v>
      </c>
      <c r="I35" s="1" t="s">
        <v>136</v>
      </c>
      <c r="J35" t="str">
        <f t="shared" si="3"/>
        <v>UK</v>
      </c>
      <c r="K35" s="14">
        <v>37</v>
      </c>
      <c r="L35" s="1">
        <f t="shared" si="4"/>
        <v>37</v>
      </c>
      <c r="M35" s="1" t="str">
        <f t="shared" si="5"/>
        <v>Mid Career</v>
      </c>
      <c r="N35" s="9">
        <v>45138</v>
      </c>
      <c r="O35" s="1" t="s">
        <v>69</v>
      </c>
      <c r="P35" s="1" t="s">
        <v>31</v>
      </c>
      <c r="Q35" s="4">
        <v>0.28000000000000003</v>
      </c>
      <c r="R35" s="13">
        <f t="shared" si="13"/>
        <v>28.000000000000004</v>
      </c>
      <c r="S35" s="6">
        <f t="shared" si="0"/>
        <v>0.28000000000000003</v>
      </c>
      <c r="T35" s="1" t="s">
        <v>21</v>
      </c>
      <c r="U35" s="1">
        <f t="shared" si="7"/>
        <v>1.5</v>
      </c>
      <c r="V35" s="1">
        <f t="shared" si="8"/>
        <v>20.05</v>
      </c>
      <c r="W35" s="10" t="str">
        <f t="shared" si="9"/>
        <v>Low</v>
      </c>
      <c r="X35" s="1">
        <v>0</v>
      </c>
      <c r="Y35" s="1" t="str">
        <f t="shared" si="10"/>
        <v>No</v>
      </c>
      <c r="Z35" s="14">
        <v>6</v>
      </c>
      <c r="AA35" s="18">
        <f t="shared" si="11"/>
        <v>6</v>
      </c>
      <c r="AB35" s="18" t="str">
        <f t="shared" si="12"/>
        <v>No</v>
      </c>
      <c r="AC35" s="9" t="s">
        <v>190</v>
      </c>
      <c r="AD35">
        <f>IF(AC35="",0,LEN(AC35)-LEN(SUBSTITUTE(AC35,",",""))+1)</f>
        <v>2</v>
      </c>
    </row>
    <row r="36" spans="1:30" ht="12.5" x14ac:dyDescent="0.25">
      <c r="A36" s="1" t="s">
        <v>191</v>
      </c>
      <c r="B36" s="1" t="s">
        <v>192</v>
      </c>
      <c r="C36" s="1" t="str">
        <v>Lisa Turner</v>
      </c>
      <c r="D36" s="1" t="s">
        <v>193</v>
      </c>
      <c r="E36" s="1" t="str">
        <v>justin69@pena.com</v>
      </c>
      <c r="F36" t="str">
        <f t="shared" si="1"/>
        <v>Valid</v>
      </c>
      <c r="G36" s="1" t="s">
        <v>17</v>
      </c>
      <c r="H36" s="1" t="str">
        <f t="shared" si="2"/>
        <v>Female</v>
      </c>
      <c r="I36" s="1" t="s">
        <v>18</v>
      </c>
      <c r="J36" t="str">
        <f t="shared" si="3"/>
        <v>US</v>
      </c>
      <c r="K36" s="14">
        <v>25</v>
      </c>
      <c r="L36" s="1">
        <f t="shared" si="4"/>
        <v>25</v>
      </c>
      <c r="M36" s="1" t="str">
        <f t="shared" si="5"/>
        <v>Early Career</v>
      </c>
      <c r="N36" s="2">
        <v>45690</v>
      </c>
      <c r="O36" s="1" t="s">
        <v>90</v>
      </c>
      <c r="P36" s="1" t="s">
        <v>31</v>
      </c>
      <c r="Q36" s="4">
        <v>0.18</v>
      </c>
      <c r="R36" s="13">
        <f t="shared" si="13"/>
        <v>18</v>
      </c>
      <c r="S36" s="6">
        <f t="shared" si="0"/>
        <v>0.18</v>
      </c>
      <c r="T36" s="1" t="s">
        <v>64</v>
      </c>
      <c r="U36" s="1">
        <f t="shared" si="7"/>
        <v>2</v>
      </c>
      <c r="V36" s="1">
        <f t="shared" si="8"/>
        <v>13.2</v>
      </c>
      <c r="W36" s="10" t="str">
        <f t="shared" si="9"/>
        <v>Low</v>
      </c>
      <c r="X36" s="1">
        <v>0</v>
      </c>
      <c r="Y36" s="1" t="str">
        <f t="shared" si="10"/>
        <v>No</v>
      </c>
      <c r="AA36" s="18" t="str">
        <f t="shared" si="11"/>
        <v>Invalid</v>
      </c>
      <c r="AB36" s="18" t="str">
        <f t="shared" si="12"/>
        <v>No</v>
      </c>
      <c r="AC36" s="9" t="s">
        <v>194</v>
      </c>
      <c r="AD36">
        <f>IF(AC36="",0,LEN(AC36)-LEN(SUBSTITUTE(AC36,",",""))+1)</f>
        <v>7</v>
      </c>
    </row>
    <row r="37" spans="1:30" ht="12.5" x14ac:dyDescent="0.25">
      <c r="A37" s="1" t="s">
        <v>195</v>
      </c>
      <c r="B37" s="1" t="s">
        <v>196</v>
      </c>
      <c r="C37" s="1" t="str">
        <v>Carolyn Miller</v>
      </c>
      <c r="D37" s="1" t="s">
        <v>197</v>
      </c>
      <c r="E37" s="1" t="str">
        <v>cardenaskaren@hotmail.com</v>
      </c>
      <c r="F37" t="str">
        <f t="shared" si="1"/>
        <v>Valid</v>
      </c>
      <c r="G37" s="1" t="s">
        <v>57</v>
      </c>
      <c r="H37" s="1" t="str">
        <f t="shared" si="2"/>
        <v>Female</v>
      </c>
      <c r="I37" s="1" t="s">
        <v>136</v>
      </c>
      <c r="J37" t="str">
        <f t="shared" si="3"/>
        <v>UK</v>
      </c>
      <c r="K37" s="14">
        <v>0</v>
      </c>
      <c r="L37" s="1">
        <f t="shared" si="4"/>
        <v>19</v>
      </c>
      <c r="M37" s="1" t="str">
        <f t="shared" si="5"/>
        <v>Student</v>
      </c>
      <c r="N37" s="2">
        <v>45541</v>
      </c>
      <c r="O37" s="1" t="s">
        <v>69</v>
      </c>
      <c r="P37" s="1" t="s">
        <v>31</v>
      </c>
      <c r="Q37" s="4">
        <v>0.15</v>
      </c>
      <c r="R37" s="13">
        <f t="shared" si="13"/>
        <v>15</v>
      </c>
      <c r="S37" s="6">
        <f t="shared" si="0"/>
        <v>0.15</v>
      </c>
      <c r="T37" s="1">
        <v>45</v>
      </c>
      <c r="U37" s="1">
        <f t="shared" si="7"/>
        <v>45</v>
      </c>
      <c r="V37" s="1">
        <f t="shared" si="8"/>
        <v>24</v>
      </c>
      <c r="W37" s="10" t="str">
        <f t="shared" si="9"/>
        <v>Low</v>
      </c>
      <c r="X37" s="1" t="s">
        <v>38</v>
      </c>
      <c r="Y37" s="1" t="str">
        <f t="shared" si="10"/>
        <v>No</v>
      </c>
      <c r="Z37" s="14">
        <v>4</v>
      </c>
      <c r="AA37" s="18">
        <f t="shared" si="11"/>
        <v>4</v>
      </c>
      <c r="AB37" s="18" t="str">
        <f t="shared" si="12"/>
        <v>No</v>
      </c>
      <c r="AC37" s="9">
        <v>45541</v>
      </c>
      <c r="AD37">
        <f>IF(AC37="",0,LEN(AC37)-LEN(SUBSTITUTE(AC37,",",""))+1)</f>
        <v>1</v>
      </c>
    </row>
    <row r="38" spans="1:30" ht="12.5" x14ac:dyDescent="0.25">
      <c r="A38" s="1" t="s">
        <v>198</v>
      </c>
      <c r="B38" s="1" t="s">
        <v>199</v>
      </c>
      <c r="C38" s="1" t="str">
        <v>David Alvarez</v>
      </c>
      <c r="D38" s="1" t="s">
        <v>200</v>
      </c>
      <c r="E38" s="1" t="str">
        <v>operry@lee.com</v>
      </c>
      <c r="F38" t="str">
        <f t="shared" si="1"/>
        <v>Valid</v>
      </c>
      <c r="G38" s="1" t="s">
        <v>27</v>
      </c>
      <c r="H38" s="1" t="str">
        <f t="shared" si="2"/>
        <v>Male</v>
      </c>
      <c r="I38" s="1" t="s">
        <v>96</v>
      </c>
      <c r="J38" t="str">
        <f t="shared" si="3"/>
        <v>INDIA</v>
      </c>
      <c r="K38" s="14">
        <v>0</v>
      </c>
      <c r="L38" s="1">
        <f t="shared" si="4"/>
        <v>19</v>
      </c>
      <c r="M38" s="1" t="str">
        <f t="shared" si="5"/>
        <v>Student</v>
      </c>
      <c r="N38" s="2">
        <v>44965</v>
      </c>
      <c r="O38" s="1" t="s">
        <v>69</v>
      </c>
      <c r="P38" s="1" t="s">
        <v>31</v>
      </c>
      <c r="Q38" s="4">
        <v>57</v>
      </c>
      <c r="R38" s="13">
        <f t="shared" si="13"/>
        <v>57</v>
      </c>
      <c r="S38" s="6">
        <f t="shared" si="0"/>
        <v>0.56999999999999995</v>
      </c>
      <c r="T38" s="1" t="s">
        <v>46</v>
      </c>
      <c r="U38" s="1">
        <f t="shared" si="7"/>
        <v>1</v>
      </c>
      <c r="V38" s="1">
        <f t="shared" si="8"/>
        <v>40.199999999999996</v>
      </c>
      <c r="W38" s="10" t="str">
        <f t="shared" si="9"/>
        <v>Low</v>
      </c>
      <c r="X38" s="1" t="s">
        <v>38</v>
      </c>
      <c r="Y38" s="1" t="str">
        <f t="shared" si="10"/>
        <v>No</v>
      </c>
      <c r="Z38" s="14">
        <v>3</v>
      </c>
      <c r="AA38" s="18">
        <f t="shared" si="11"/>
        <v>3</v>
      </c>
      <c r="AB38" s="18" t="str">
        <f t="shared" si="12"/>
        <v>No</v>
      </c>
      <c r="AC38" s="9" t="s">
        <v>201</v>
      </c>
      <c r="AD38">
        <f>IF(AC38="",0,LEN(AC38)-LEN(SUBSTITUTE(AC38,",",""))+1)</f>
        <v>3</v>
      </c>
    </row>
    <row r="39" spans="1:30" ht="12.5" x14ac:dyDescent="0.25">
      <c r="A39" s="1" t="s">
        <v>202</v>
      </c>
      <c r="B39" s="1" t="s">
        <v>203</v>
      </c>
      <c r="C39" s="1" t="str">
        <v>Patricia Rodriguez</v>
      </c>
      <c r="D39" s="1" t="s">
        <v>204</v>
      </c>
      <c r="E39" s="1" t="str">
        <v>gregoryrubio@hotmail.com</v>
      </c>
      <c r="F39" t="str">
        <f t="shared" si="1"/>
        <v>Valid</v>
      </c>
      <c r="G39" s="1" t="s">
        <v>88</v>
      </c>
      <c r="H39" s="1" t="str">
        <f t="shared" si="2"/>
        <v>Male</v>
      </c>
      <c r="I39" s="1" t="s">
        <v>51</v>
      </c>
      <c r="J39" t="str">
        <f t="shared" si="3"/>
        <v>UK</v>
      </c>
      <c r="K39" s="14">
        <v>40</v>
      </c>
      <c r="L39" s="1">
        <f t="shared" si="4"/>
        <v>40</v>
      </c>
      <c r="M39" s="1" t="str">
        <f t="shared" si="5"/>
        <v>Mid Career</v>
      </c>
      <c r="N39" s="9">
        <v>44887</v>
      </c>
      <c r="O39" s="1" t="s">
        <v>45</v>
      </c>
      <c r="P39" s="1" t="s">
        <v>20</v>
      </c>
      <c r="Q39" s="4">
        <v>0.4</v>
      </c>
      <c r="R39" s="13">
        <f t="shared" si="13"/>
        <v>40</v>
      </c>
      <c r="S39" s="6">
        <f t="shared" si="0"/>
        <v>0.4</v>
      </c>
      <c r="T39" s="1" t="s">
        <v>21</v>
      </c>
      <c r="U39" s="1">
        <f t="shared" si="7"/>
        <v>1.5</v>
      </c>
      <c r="V39" s="1">
        <f t="shared" si="8"/>
        <v>28.45</v>
      </c>
      <c r="W39" s="10" t="str">
        <f t="shared" si="9"/>
        <v>Low</v>
      </c>
      <c r="X39" s="1" t="s">
        <v>38</v>
      </c>
      <c r="Y39" s="1" t="str">
        <f t="shared" si="10"/>
        <v>No</v>
      </c>
      <c r="Z39" s="14">
        <v>5</v>
      </c>
      <c r="AA39" s="18">
        <f t="shared" si="11"/>
        <v>5</v>
      </c>
      <c r="AB39" s="18" t="str">
        <f t="shared" si="12"/>
        <v>No</v>
      </c>
      <c r="AC39" s="9" t="s">
        <v>205</v>
      </c>
      <c r="AD39">
        <f>IF(AC39="",0,LEN(AC39)-LEN(SUBSTITUTE(AC39,",",""))+1)</f>
        <v>5</v>
      </c>
    </row>
    <row r="40" spans="1:30" ht="12.5" x14ac:dyDescent="0.25">
      <c r="A40" s="1" t="s">
        <v>206</v>
      </c>
      <c r="B40" s="1" t="s">
        <v>207</v>
      </c>
      <c r="C40" s="1" t="str">
        <v>Joyce Solis</v>
      </c>
      <c r="D40" s="1" t="s">
        <v>208</v>
      </c>
      <c r="E40" s="1" t="str">
        <v>usalazar@hotmail.com</v>
      </c>
      <c r="F40" t="str">
        <f t="shared" si="1"/>
        <v>Valid</v>
      </c>
      <c r="G40" s="1" t="s">
        <v>95</v>
      </c>
      <c r="H40" s="1" t="str">
        <f t="shared" si="2"/>
        <v>Male</v>
      </c>
      <c r="I40" s="1" t="s">
        <v>18</v>
      </c>
      <c r="J40" t="str">
        <f t="shared" si="3"/>
        <v>US</v>
      </c>
      <c r="K40" s="14">
        <v>33</v>
      </c>
      <c r="L40" s="1">
        <f t="shared" si="4"/>
        <v>33</v>
      </c>
      <c r="M40" s="1" t="str">
        <f t="shared" si="5"/>
        <v>Mid Career</v>
      </c>
      <c r="N40" s="9">
        <v>45379</v>
      </c>
      <c r="O40" s="1" t="s">
        <v>75</v>
      </c>
      <c r="P40" s="1" t="s">
        <v>37</v>
      </c>
      <c r="Q40" s="4">
        <v>0.53</v>
      </c>
      <c r="R40" s="13">
        <f t="shared" si="13"/>
        <v>53</v>
      </c>
      <c r="S40" s="6">
        <f t="shared" si="0"/>
        <v>0.53</v>
      </c>
      <c r="T40" s="1" t="s">
        <v>64</v>
      </c>
      <c r="U40" s="1">
        <f t="shared" si="7"/>
        <v>2</v>
      </c>
      <c r="V40" s="1">
        <f t="shared" si="8"/>
        <v>37.699999999999996</v>
      </c>
      <c r="W40" s="10" t="str">
        <f t="shared" si="9"/>
        <v>Low</v>
      </c>
      <c r="X40" s="1" t="s">
        <v>32</v>
      </c>
      <c r="Y40" s="1" t="str">
        <f t="shared" si="10"/>
        <v>Yes</v>
      </c>
      <c r="Z40" s="14">
        <v>4</v>
      </c>
      <c r="AA40" s="18">
        <f t="shared" si="11"/>
        <v>4</v>
      </c>
      <c r="AB40" s="18" t="str">
        <f t="shared" si="12"/>
        <v>High Performer</v>
      </c>
      <c r="AC40" s="9" t="s">
        <v>209</v>
      </c>
      <c r="AD40">
        <f>IF(AC40="",0,LEN(AC40)-LEN(SUBSTITUTE(AC40,",",""))+1)</f>
        <v>8</v>
      </c>
    </row>
    <row r="41" spans="1:30" ht="12.5" x14ac:dyDescent="0.25">
      <c r="A41" s="1" t="s">
        <v>210</v>
      </c>
      <c r="B41" s="1" t="s">
        <v>211</v>
      </c>
      <c r="C41" s="1" t="str">
        <v>Natasha Wells</v>
      </c>
      <c r="D41" s="1" t="s">
        <v>212</v>
      </c>
      <c r="E41" s="1" t="str">
        <v>maryramirez@hotmail.com</v>
      </c>
      <c r="F41" t="str">
        <f t="shared" si="1"/>
        <v>Valid</v>
      </c>
      <c r="G41" s="1" t="s">
        <v>88</v>
      </c>
      <c r="H41" s="1" t="str">
        <f t="shared" si="2"/>
        <v>Male</v>
      </c>
      <c r="I41" s="1" t="s">
        <v>51</v>
      </c>
      <c r="J41" t="str">
        <f t="shared" si="3"/>
        <v>UK</v>
      </c>
      <c r="L41" s="1">
        <f t="shared" si="4"/>
        <v>19</v>
      </c>
      <c r="M41" s="1" t="str">
        <f t="shared" si="5"/>
        <v>Student</v>
      </c>
      <c r="N41" s="9">
        <v>45320</v>
      </c>
      <c r="O41" s="1" t="s">
        <v>58</v>
      </c>
      <c r="P41" s="1" t="s">
        <v>59</v>
      </c>
      <c r="Q41" s="4">
        <v>0.55000000000000004</v>
      </c>
      <c r="R41" s="13">
        <f t="shared" si="13"/>
        <v>55.000000000000007</v>
      </c>
      <c r="S41" s="6">
        <f t="shared" si="0"/>
        <v>0.55000000000000004</v>
      </c>
      <c r="T41" s="1" t="s">
        <v>64</v>
      </c>
      <c r="U41" s="1">
        <f t="shared" si="7"/>
        <v>2</v>
      </c>
      <c r="V41" s="1">
        <f t="shared" si="8"/>
        <v>39.1</v>
      </c>
      <c r="W41" s="10" t="str">
        <f t="shared" si="9"/>
        <v>Low</v>
      </c>
      <c r="X41" s="1">
        <v>1</v>
      </c>
      <c r="Y41" s="1" t="str">
        <f t="shared" si="10"/>
        <v>Yes</v>
      </c>
      <c r="Z41" s="14">
        <v>4</v>
      </c>
      <c r="AA41" s="18">
        <f t="shared" si="11"/>
        <v>4</v>
      </c>
      <c r="AB41" s="18" t="str">
        <f t="shared" si="12"/>
        <v>High Performer</v>
      </c>
      <c r="AC41" s="9" t="s">
        <v>214</v>
      </c>
      <c r="AD41">
        <f>IF(AC41="",0,LEN(AC41)-LEN(SUBSTITUTE(AC41,",",""))+1)</f>
        <v>4</v>
      </c>
    </row>
    <row r="42" spans="1:30" ht="12.5" x14ac:dyDescent="0.25">
      <c r="A42" s="1" t="s">
        <v>215</v>
      </c>
      <c r="B42" s="1" t="s">
        <v>216</v>
      </c>
      <c r="C42" s="1" t="str">
        <v>Dustin Nelson</v>
      </c>
      <c r="D42" s="1" t="s">
        <v>217</v>
      </c>
      <c r="E42" s="1" t="str">
        <v>taylorjesse@hotmail.com</v>
      </c>
      <c r="F42" t="str">
        <f t="shared" si="1"/>
        <v>Valid</v>
      </c>
      <c r="G42" s="1" t="s">
        <v>119</v>
      </c>
      <c r="H42" s="1" t="str">
        <f t="shared" si="2"/>
        <v>Female</v>
      </c>
      <c r="I42" s="1" t="s">
        <v>51</v>
      </c>
      <c r="J42" t="str">
        <f t="shared" si="3"/>
        <v>UK</v>
      </c>
      <c r="L42" s="1">
        <f t="shared" si="4"/>
        <v>19</v>
      </c>
      <c r="M42" s="1" t="str">
        <f t="shared" si="5"/>
        <v>Student</v>
      </c>
      <c r="N42" s="9">
        <v>45410</v>
      </c>
      <c r="O42" s="1" t="s">
        <v>90</v>
      </c>
      <c r="P42" s="1" t="s">
        <v>31</v>
      </c>
      <c r="Q42" s="4">
        <v>0.03</v>
      </c>
      <c r="R42" s="13">
        <f t="shared" si="13"/>
        <v>3</v>
      </c>
      <c r="S42" s="6">
        <f t="shared" si="0"/>
        <v>0.03</v>
      </c>
      <c r="T42" s="1">
        <v>45</v>
      </c>
      <c r="U42" s="1">
        <f t="shared" si="7"/>
        <v>45</v>
      </c>
      <c r="V42" s="1">
        <f t="shared" si="8"/>
        <v>15.6</v>
      </c>
      <c r="W42" s="10" t="str">
        <f t="shared" si="9"/>
        <v>Low</v>
      </c>
      <c r="X42" s="1" t="s">
        <v>22</v>
      </c>
      <c r="Y42" s="1" t="str">
        <f t="shared" si="10"/>
        <v>No</v>
      </c>
      <c r="Z42" s="14">
        <v>1</v>
      </c>
      <c r="AA42" s="18">
        <f t="shared" si="11"/>
        <v>1</v>
      </c>
      <c r="AB42" s="18" t="str">
        <f t="shared" si="12"/>
        <v>No</v>
      </c>
      <c r="AC42" s="9" t="s">
        <v>218</v>
      </c>
      <c r="AD42">
        <f>IF(AC42="",0,LEN(AC42)-LEN(SUBSTITUTE(AC42,",",""))+1)</f>
        <v>7</v>
      </c>
    </row>
    <row r="43" spans="1:30" ht="12.5" x14ac:dyDescent="0.25">
      <c r="A43" s="1" t="s">
        <v>219</v>
      </c>
      <c r="B43" s="1" t="s">
        <v>220</v>
      </c>
      <c r="C43" s="1" t="str">
        <v>Joshua Perry</v>
      </c>
      <c r="D43" s="1" t="s">
        <v>221</v>
      </c>
      <c r="E43" s="1" t="str">
        <v>xprice@shah.org</v>
      </c>
      <c r="F43" t="str">
        <f t="shared" si="1"/>
        <v>Valid</v>
      </c>
      <c r="G43" s="1" t="s">
        <v>95</v>
      </c>
      <c r="H43" s="1" t="str">
        <f t="shared" si="2"/>
        <v>Male</v>
      </c>
      <c r="I43" s="1" t="s">
        <v>156</v>
      </c>
      <c r="J43" t="str">
        <f t="shared" si="3"/>
        <v>IN</v>
      </c>
      <c r="K43" s="14">
        <v>0</v>
      </c>
      <c r="L43" s="1">
        <f t="shared" si="4"/>
        <v>19</v>
      </c>
      <c r="M43" s="1" t="str">
        <f t="shared" si="5"/>
        <v>Student</v>
      </c>
      <c r="N43" s="9">
        <v>44895</v>
      </c>
      <c r="O43" s="1" t="s">
        <v>58</v>
      </c>
      <c r="P43" s="1" t="s">
        <v>59</v>
      </c>
      <c r="Q43" s="4">
        <v>0.53</v>
      </c>
      <c r="R43" s="13">
        <f t="shared" si="13"/>
        <v>53</v>
      </c>
      <c r="S43" s="6">
        <f t="shared" si="0"/>
        <v>0.53</v>
      </c>
      <c r="T43" s="1" t="s">
        <v>64</v>
      </c>
      <c r="U43" s="1">
        <f t="shared" si="7"/>
        <v>2</v>
      </c>
      <c r="V43" s="1">
        <f t="shared" si="8"/>
        <v>37.699999999999996</v>
      </c>
      <c r="W43" s="10" t="str">
        <f t="shared" si="9"/>
        <v>Low</v>
      </c>
      <c r="X43" s="1">
        <v>0</v>
      </c>
      <c r="Y43" s="1" t="str">
        <f t="shared" si="10"/>
        <v>No</v>
      </c>
      <c r="Z43" s="14">
        <v>3</v>
      </c>
      <c r="AA43" s="18">
        <f t="shared" si="11"/>
        <v>3</v>
      </c>
      <c r="AB43" s="18" t="str">
        <f t="shared" si="12"/>
        <v>No</v>
      </c>
      <c r="AC43" s="9" t="s">
        <v>222</v>
      </c>
      <c r="AD43">
        <f>IF(AC43="",0,LEN(AC43)-LEN(SUBSTITUTE(AC43,",",""))+1)</f>
        <v>6</v>
      </c>
    </row>
    <row r="44" spans="1:30" ht="12.5" x14ac:dyDescent="0.25">
      <c r="A44" s="1" t="s">
        <v>223</v>
      </c>
      <c r="B44" s="1" t="s">
        <v>224</v>
      </c>
      <c r="C44" s="1" t="str">
        <v>James Snow</v>
      </c>
      <c r="D44" s="1" t="s">
        <v>225</v>
      </c>
      <c r="E44" s="1" t="str">
        <v>tracynelson@yahoo.com</v>
      </c>
      <c r="F44" t="str">
        <f t="shared" si="1"/>
        <v>Valid</v>
      </c>
      <c r="G44" s="1" t="s">
        <v>17</v>
      </c>
      <c r="H44" s="1" t="str">
        <f t="shared" si="2"/>
        <v>Female</v>
      </c>
      <c r="I44" s="1" t="s">
        <v>89</v>
      </c>
      <c r="J44" t="str">
        <f t="shared" si="3"/>
        <v>GERMANY</v>
      </c>
      <c r="K44" s="14">
        <v>0</v>
      </c>
      <c r="L44" s="1">
        <f t="shared" si="4"/>
        <v>19</v>
      </c>
      <c r="M44" s="1" t="str">
        <f t="shared" si="5"/>
        <v>Student</v>
      </c>
      <c r="N44" s="9">
        <v>45248</v>
      </c>
      <c r="O44" s="1" t="s">
        <v>19</v>
      </c>
      <c r="P44" s="1" t="s">
        <v>20</v>
      </c>
      <c r="Q44" s="4">
        <v>79</v>
      </c>
      <c r="R44" s="13">
        <f t="shared" si="13"/>
        <v>79</v>
      </c>
      <c r="S44" s="6">
        <f t="shared" si="0"/>
        <v>0.79</v>
      </c>
      <c r="T44" s="1" t="s">
        <v>21</v>
      </c>
      <c r="U44" s="1">
        <f t="shared" si="7"/>
        <v>1.5</v>
      </c>
      <c r="V44" s="1">
        <f t="shared" si="8"/>
        <v>55.75</v>
      </c>
      <c r="W44" s="10" t="str">
        <f t="shared" si="9"/>
        <v>Medium</v>
      </c>
      <c r="X44" s="1" t="s">
        <v>32</v>
      </c>
      <c r="Y44" s="1" t="str">
        <f t="shared" si="10"/>
        <v>Yes</v>
      </c>
      <c r="Z44" s="14">
        <v>2</v>
      </c>
      <c r="AA44" s="18">
        <f t="shared" si="11"/>
        <v>2</v>
      </c>
      <c r="AB44" s="18" t="str">
        <f t="shared" si="12"/>
        <v>No</v>
      </c>
      <c r="AC44" s="9" t="s">
        <v>227</v>
      </c>
      <c r="AD44">
        <f>IF(AC44="",0,LEN(AC44)-LEN(SUBSTITUTE(AC44,",",""))+1)</f>
        <v>4</v>
      </c>
    </row>
    <row r="45" spans="1:30" ht="12.5" x14ac:dyDescent="0.25">
      <c r="A45" s="1" t="s">
        <v>228</v>
      </c>
      <c r="B45" s="1" t="s">
        <v>229</v>
      </c>
      <c r="C45" s="1" t="str">
        <v>Misty Pittman</v>
      </c>
      <c r="D45" s="1" t="s">
        <v>230</v>
      </c>
      <c r="E45" s="1" t="str">
        <v>meadowsbrittany@johnson.info</v>
      </c>
      <c r="F45" t="str">
        <f t="shared" si="1"/>
        <v>Valid</v>
      </c>
      <c r="G45" s="1" t="s">
        <v>88</v>
      </c>
      <c r="H45" s="1" t="str">
        <f t="shared" si="2"/>
        <v>Male</v>
      </c>
      <c r="I45" s="1" t="s">
        <v>18</v>
      </c>
      <c r="J45" t="str">
        <f t="shared" si="3"/>
        <v>US</v>
      </c>
      <c r="K45" s="14">
        <v>40</v>
      </c>
      <c r="L45" s="1">
        <f t="shared" si="4"/>
        <v>40</v>
      </c>
      <c r="M45" s="1" t="str">
        <f t="shared" si="5"/>
        <v>Mid Career</v>
      </c>
      <c r="N45" s="9">
        <v>44703</v>
      </c>
      <c r="O45" s="1" t="s">
        <v>146</v>
      </c>
      <c r="P45" s="1" t="s">
        <v>147</v>
      </c>
      <c r="Q45" s="4">
        <v>13</v>
      </c>
      <c r="R45" s="13">
        <f t="shared" si="13"/>
        <v>13</v>
      </c>
      <c r="S45" s="6">
        <f t="shared" si="0"/>
        <v>0.13</v>
      </c>
      <c r="T45" s="1" t="s">
        <v>21</v>
      </c>
      <c r="U45" s="1">
        <f t="shared" si="7"/>
        <v>1.5</v>
      </c>
      <c r="V45" s="1">
        <f t="shared" si="8"/>
        <v>9.5499999999999989</v>
      </c>
      <c r="W45" s="10" t="str">
        <f t="shared" si="9"/>
        <v>Low</v>
      </c>
      <c r="X45" s="1">
        <v>0</v>
      </c>
      <c r="Y45" s="1" t="str">
        <f t="shared" si="10"/>
        <v>No</v>
      </c>
      <c r="Z45" s="14">
        <v>5</v>
      </c>
      <c r="AA45" s="18">
        <f t="shared" si="11"/>
        <v>5</v>
      </c>
      <c r="AB45" s="18" t="str">
        <f t="shared" si="12"/>
        <v>No</v>
      </c>
      <c r="AC45" s="9" t="s">
        <v>231</v>
      </c>
      <c r="AD45">
        <f>IF(AC45="",0,LEN(AC45)-LEN(SUBSTITUTE(AC45,",",""))+1)</f>
        <v>2</v>
      </c>
    </row>
    <row r="46" spans="1:30" ht="12.5" x14ac:dyDescent="0.25">
      <c r="A46" s="1" t="s">
        <v>232</v>
      </c>
      <c r="B46" s="1" t="s">
        <v>233</v>
      </c>
      <c r="C46" s="1" t="str">
        <v>Gabriel Juarez</v>
      </c>
      <c r="D46" s="1" t="s">
        <v>234</v>
      </c>
      <c r="E46" s="1" t="str">
        <v>karen64@gmail.com</v>
      </c>
      <c r="F46" t="str">
        <f t="shared" si="1"/>
        <v>Valid</v>
      </c>
      <c r="G46" s="1" t="s">
        <v>57</v>
      </c>
      <c r="H46" s="1" t="str">
        <f t="shared" si="2"/>
        <v>Female</v>
      </c>
      <c r="I46" s="1" t="s">
        <v>96</v>
      </c>
      <c r="J46" t="str">
        <f t="shared" si="3"/>
        <v>INDIA</v>
      </c>
      <c r="K46" s="14">
        <v>0</v>
      </c>
      <c r="L46" s="1">
        <f t="shared" si="4"/>
        <v>19</v>
      </c>
      <c r="M46" s="1" t="str">
        <f t="shared" si="5"/>
        <v>Student</v>
      </c>
      <c r="N46" s="9">
        <v>44940</v>
      </c>
      <c r="O46" s="1" t="s">
        <v>235</v>
      </c>
      <c r="P46" s="1" t="s">
        <v>147</v>
      </c>
      <c r="Q46" s="4">
        <v>0.15</v>
      </c>
      <c r="R46" s="13">
        <f t="shared" si="13"/>
        <v>15</v>
      </c>
      <c r="S46" s="6">
        <f t="shared" si="0"/>
        <v>0.15</v>
      </c>
      <c r="T46" s="1" t="s">
        <v>46</v>
      </c>
      <c r="U46" s="1">
        <f t="shared" si="7"/>
        <v>1</v>
      </c>
      <c r="V46" s="1">
        <f t="shared" si="8"/>
        <v>10.8</v>
      </c>
      <c r="W46" s="10" t="str">
        <f t="shared" si="9"/>
        <v>Low</v>
      </c>
      <c r="X46" s="1">
        <v>1</v>
      </c>
      <c r="Y46" s="1" t="str">
        <f t="shared" si="10"/>
        <v>Yes</v>
      </c>
      <c r="Z46" s="14">
        <v>6</v>
      </c>
      <c r="AA46" s="18">
        <f t="shared" si="11"/>
        <v>6</v>
      </c>
      <c r="AB46" s="18" t="str">
        <f t="shared" si="12"/>
        <v>High Performer</v>
      </c>
      <c r="AC46" s="9" t="s">
        <v>236</v>
      </c>
      <c r="AD46">
        <f>IF(AC46="",0,LEN(AC46)-LEN(SUBSTITUTE(AC46,",",""))+1)</f>
        <v>5</v>
      </c>
    </row>
    <row r="47" spans="1:30" ht="12.5" x14ac:dyDescent="0.25">
      <c r="A47" s="1" t="s">
        <v>237</v>
      </c>
      <c r="B47" s="1" t="s">
        <v>238</v>
      </c>
      <c r="C47" s="1" t="str">
        <v>Mrs. Marie Harrington Dds</v>
      </c>
      <c r="D47" s="1" t="s">
        <v>239</v>
      </c>
      <c r="E47" s="1" t="str">
        <v>jamessmith@allen.com</v>
      </c>
      <c r="F47" t="str">
        <f t="shared" si="1"/>
        <v>Valid</v>
      </c>
      <c r="G47" s="1" t="s">
        <v>109</v>
      </c>
      <c r="H47" s="1" t="str">
        <f t="shared" si="2"/>
        <v>Male</v>
      </c>
      <c r="I47" s="1" t="s">
        <v>18</v>
      </c>
      <c r="J47" t="str">
        <f t="shared" si="3"/>
        <v>US</v>
      </c>
      <c r="K47" s="14">
        <v>0</v>
      </c>
      <c r="L47" s="1">
        <f t="shared" si="4"/>
        <v>19</v>
      </c>
      <c r="M47" s="1" t="str">
        <f t="shared" si="5"/>
        <v>Student</v>
      </c>
      <c r="N47" s="2">
        <v>45447</v>
      </c>
      <c r="O47" s="1" t="s">
        <v>36</v>
      </c>
      <c r="P47" s="1" t="s">
        <v>37</v>
      </c>
      <c r="Q47" s="4">
        <v>0.46</v>
      </c>
      <c r="R47" s="13">
        <f t="shared" si="13"/>
        <v>46</v>
      </c>
      <c r="S47" s="6">
        <f t="shared" si="0"/>
        <v>0.46</v>
      </c>
      <c r="T47" s="1" t="s">
        <v>64</v>
      </c>
      <c r="U47" s="1">
        <f t="shared" si="7"/>
        <v>2</v>
      </c>
      <c r="V47" s="1">
        <f t="shared" si="8"/>
        <v>32.799999999999997</v>
      </c>
      <c r="W47" s="10" t="str">
        <f t="shared" si="9"/>
        <v>Low</v>
      </c>
      <c r="X47" s="1">
        <v>0</v>
      </c>
      <c r="Y47" s="1" t="str">
        <f t="shared" si="10"/>
        <v>No</v>
      </c>
      <c r="AA47" s="18" t="str">
        <f t="shared" si="11"/>
        <v>Invalid</v>
      </c>
      <c r="AB47" s="18" t="str">
        <f t="shared" si="12"/>
        <v>No</v>
      </c>
      <c r="AC47" s="9" t="s">
        <v>240</v>
      </c>
      <c r="AD47">
        <f>IF(AC47="",0,LEN(AC47)-LEN(SUBSTITUTE(AC47,",",""))+1)</f>
        <v>7</v>
      </c>
    </row>
    <row r="48" spans="1:30" ht="12.5" x14ac:dyDescent="0.25">
      <c r="A48" s="1" t="s">
        <v>241</v>
      </c>
      <c r="B48" s="1" t="s">
        <v>242</v>
      </c>
      <c r="C48" s="1" t="str">
        <v>Jacob Obrien</v>
      </c>
      <c r="D48" s="1" t="s">
        <v>243</v>
      </c>
      <c r="E48" s="1" t="str">
        <v>tamirodriguez@hickman.biz</v>
      </c>
      <c r="F48" t="str">
        <f t="shared" si="1"/>
        <v>Valid</v>
      </c>
      <c r="G48" s="1" t="s">
        <v>17</v>
      </c>
      <c r="H48" s="1" t="str">
        <f t="shared" si="2"/>
        <v>Female</v>
      </c>
      <c r="I48" s="1" t="s">
        <v>44</v>
      </c>
      <c r="J48" t="str">
        <f t="shared" si="3"/>
        <v>CANADA</v>
      </c>
      <c r="K48" s="14">
        <v>32</v>
      </c>
      <c r="L48" s="1">
        <f t="shared" si="4"/>
        <v>32</v>
      </c>
      <c r="M48" s="1" t="str">
        <f t="shared" si="5"/>
        <v>Mid Career</v>
      </c>
      <c r="N48" s="9">
        <v>45534</v>
      </c>
      <c r="O48" s="1" t="s">
        <v>75</v>
      </c>
      <c r="P48" s="1" t="s">
        <v>37</v>
      </c>
      <c r="Q48" s="4">
        <v>0.93</v>
      </c>
      <c r="R48" s="13">
        <f t="shared" si="13"/>
        <v>93</v>
      </c>
      <c r="S48" s="6">
        <f t="shared" si="0"/>
        <v>0.93</v>
      </c>
      <c r="T48" s="1" t="s">
        <v>64</v>
      </c>
      <c r="U48" s="1">
        <f t="shared" si="7"/>
        <v>2</v>
      </c>
      <c r="V48" s="1">
        <f t="shared" si="8"/>
        <v>65.699999999999989</v>
      </c>
      <c r="W48" s="10" t="str">
        <f t="shared" si="9"/>
        <v>Medium</v>
      </c>
      <c r="X48" s="1">
        <v>1</v>
      </c>
      <c r="Y48" s="1" t="str">
        <f t="shared" si="10"/>
        <v>Yes</v>
      </c>
      <c r="Z48" s="14">
        <v>5</v>
      </c>
      <c r="AA48" s="18">
        <f t="shared" si="11"/>
        <v>5</v>
      </c>
      <c r="AB48" s="18" t="str">
        <f t="shared" si="12"/>
        <v>High Performer</v>
      </c>
      <c r="AC48" s="9" t="s">
        <v>244</v>
      </c>
      <c r="AD48">
        <f>IF(AC48="",0,LEN(AC48)-LEN(SUBSTITUTE(AC48,",",""))+1)</f>
        <v>8</v>
      </c>
    </row>
    <row r="49" spans="1:30" ht="12.5" x14ac:dyDescent="0.25">
      <c r="A49" s="1" t="s">
        <v>245</v>
      </c>
      <c r="B49" s="1" t="s">
        <v>246</v>
      </c>
      <c r="C49" s="1" t="str">
        <v>Sandra Sanchez</v>
      </c>
      <c r="D49" s="1" t="s">
        <v>247</v>
      </c>
      <c r="E49" s="1" t="str">
        <v>hoganashlee@gmail.com</v>
      </c>
      <c r="F49" t="str">
        <f t="shared" si="1"/>
        <v>Valid</v>
      </c>
      <c r="G49" s="1" t="s">
        <v>27</v>
      </c>
      <c r="H49" s="1" t="str">
        <f t="shared" si="2"/>
        <v>Male</v>
      </c>
      <c r="I49" s="1" t="s">
        <v>156</v>
      </c>
      <c r="J49" t="str">
        <f t="shared" si="3"/>
        <v>IN</v>
      </c>
      <c r="K49" s="14">
        <v>0</v>
      </c>
      <c r="L49" s="1">
        <f t="shared" si="4"/>
        <v>19</v>
      </c>
      <c r="M49" s="1" t="str">
        <f t="shared" si="5"/>
        <v>Student</v>
      </c>
      <c r="N49" s="9">
        <v>45274</v>
      </c>
      <c r="O49" s="1" t="s">
        <v>30</v>
      </c>
      <c r="P49" s="1" t="s">
        <v>31</v>
      </c>
      <c r="Q49" s="4">
        <v>0.41</v>
      </c>
      <c r="R49" s="13">
        <f t="shared" si="13"/>
        <v>41</v>
      </c>
      <c r="S49" s="6">
        <f t="shared" si="0"/>
        <v>0.41</v>
      </c>
      <c r="T49" s="1">
        <v>2</v>
      </c>
      <c r="U49" s="1">
        <f t="shared" si="7"/>
        <v>2</v>
      </c>
      <c r="V49" s="1">
        <f t="shared" si="8"/>
        <v>29.3</v>
      </c>
      <c r="W49" s="10" t="str">
        <f t="shared" si="9"/>
        <v>Low</v>
      </c>
      <c r="X49" s="1" t="s">
        <v>32</v>
      </c>
      <c r="Y49" s="1" t="str">
        <f t="shared" si="10"/>
        <v>Yes</v>
      </c>
      <c r="Z49" s="14">
        <v>2</v>
      </c>
      <c r="AA49" s="18">
        <f t="shared" si="11"/>
        <v>2</v>
      </c>
      <c r="AB49" s="18" t="str">
        <f t="shared" si="12"/>
        <v>No</v>
      </c>
      <c r="AC49" s="9" t="s">
        <v>248</v>
      </c>
      <c r="AD49">
        <f>IF(AC49="",0,LEN(AC49)-LEN(SUBSTITUTE(AC49,",",""))+1)</f>
        <v>7</v>
      </c>
    </row>
    <row r="50" spans="1:30" ht="12.5" x14ac:dyDescent="0.25">
      <c r="A50" s="1" t="s">
        <v>249</v>
      </c>
      <c r="B50" s="1" t="s">
        <v>250</v>
      </c>
      <c r="C50" s="1" t="str">
        <v>Matthew Smith</v>
      </c>
      <c r="D50" s="1" t="s">
        <v>251</v>
      </c>
      <c r="E50" s="1" t="str">
        <v>xgarcia@hotmail.com</v>
      </c>
      <c r="F50" t="str">
        <f t="shared" si="1"/>
        <v>Valid</v>
      </c>
      <c r="G50" s="1" t="s">
        <v>119</v>
      </c>
      <c r="H50" s="1" t="str">
        <f t="shared" si="2"/>
        <v>Female</v>
      </c>
      <c r="I50" s="1" t="s">
        <v>136</v>
      </c>
      <c r="J50" t="str">
        <f t="shared" si="3"/>
        <v>UK</v>
      </c>
      <c r="K50" s="14">
        <v>32</v>
      </c>
      <c r="L50" s="1">
        <f t="shared" si="4"/>
        <v>32</v>
      </c>
      <c r="M50" s="1" t="str">
        <f t="shared" si="5"/>
        <v>Mid Career</v>
      </c>
      <c r="N50" s="9">
        <v>45197</v>
      </c>
      <c r="O50" s="1" t="s">
        <v>90</v>
      </c>
      <c r="P50" s="1" t="s">
        <v>31</v>
      </c>
      <c r="Q50" s="4">
        <v>0.52</v>
      </c>
      <c r="R50" s="13">
        <f t="shared" si="13"/>
        <v>52</v>
      </c>
      <c r="S50" s="6">
        <f t="shared" si="0"/>
        <v>0.52</v>
      </c>
      <c r="T50" s="1">
        <v>1.5</v>
      </c>
      <c r="U50" s="1">
        <f t="shared" si="7"/>
        <v>1.5</v>
      </c>
      <c r="V50" s="1">
        <f t="shared" si="8"/>
        <v>36.85</v>
      </c>
      <c r="W50" s="10" t="str">
        <f t="shared" si="9"/>
        <v>Low</v>
      </c>
      <c r="X50" s="1" t="s">
        <v>22</v>
      </c>
      <c r="Y50" s="1" t="str">
        <f t="shared" si="10"/>
        <v>No</v>
      </c>
      <c r="Z50" s="14">
        <v>4</v>
      </c>
      <c r="AA50" s="18">
        <f t="shared" si="11"/>
        <v>4</v>
      </c>
      <c r="AB50" s="18" t="str">
        <f t="shared" si="12"/>
        <v>No</v>
      </c>
      <c r="AC50" s="9" t="s">
        <v>252</v>
      </c>
      <c r="AD50">
        <f>IF(AC50="",0,LEN(AC50)-LEN(SUBSTITUTE(AC50,",",""))+1)</f>
        <v>4</v>
      </c>
    </row>
    <row r="51" spans="1:30" ht="12.5" x14ac:dyDescent="0.25">
      <c r="A51" s="1" t="s">
        <v>253</v>
      </c>
      <c r="B51" s="1" t="s">
        <v>254</v>
      </c>
      <c r="C51" s="1" t="str">
        <v>Tracie Nelson</v>
      </c>
      <c r="D51" s="1" t="s">
        <v>255</v>
      </c>
      <c r="E51" s="1" t="str">
        <v>ugraham@hotmail.com</v>
      </c>
      <c r="F51" t="str">
        <f t="shared" si="1"/>
        <v>Valid</v>
      </c>
      <c r="G51" s="1" t="s">
        <v>57</v>
      </c>
      <c r="H51" s="1" t="str">
        <f t="shared" si="2"/>
        <v>Female</v>
      </c>
      <c r="I51" s="1" t="s">
        <v>156</v>
      </c>
      <c r="J51" t="str">
        <f t="shared" si="3"/>
        <v>IN</v>
      </c>
      <c r="L51" s="1">
        <f t="shared" si="4"/>
        <v>19</v>
      </c>
      <c r="M51" s="1" t="str">
        <f t="shared" si="5"/>
        <v>Student</v>
      </c>
      <c r="N51" s="9">
        <v>45372</v>
      </c>
      <c r="O51" s="1" t="s">
        <v>114</v>
      </c>
      <c r="P51" s="1" t="s">
        <v>59</v>
      </c>
      <c r="Q51" s="4">
        <v>0.47</v>
      </c>
      <c r="R51" s="13">
        <f t="shared" si="13"/>
        <v>47</v>
      </c>
      <c r="S51" s="6">
        <f t="shared" si="0"/>
        <v>0.47</v>
      </c>
      <c r="T51" s="1">
        <v>2</v>
      </c>
      <c r="U51" s="1">
        <f t="shared" si="7"/>
        <v>2</v>
      </c>
      <c r="V51" s="1">
        <f t="shared" si="8"/>
        <v>33.5</v>
      </c>
      <c r="W51" s="10" t="str">
        <f t="shared" si="9"/>
        <v>Low</v>
      </c>
      <c r="X51" s="1" t="s">
        <v>32</v>
      </c>
      <c r="Y51" s="1" t="str">
        <f t="shared" si="10"/>
        <v>Yes</v>
      </c>
      <c r="Z51" s="14">
        <v>4</v>
      </c>
      <c r="AA51" s="18">
        <f t="shared" si="11"/>
        <v>4</v>
      </c>
      <c r="AB51" s="18" t="str">
        <f t="shared" si="12"/>
        <v>High Performer</v>
      </c>
      <c r="AC51" s="9" t="s">
        <v>256</v>
      </c>
      <c r="AD51">
        <f>IF(AC51="",0,LEN(AC51)-LEN(SUBSTITUTE(AC51,",",""))+1)</f>
        <v>4</v>
      </c>
    </row>
    <row r="52" spans="1:30" ht="12.5" x14ac:dyDescent="0.25">
      <c r="A52" s="1" t="s">
        <v>257</v>
      </c>
      <c r="B52" s="1" t="s">
        <v>258</v>
      </c>
      <c r="C52" s="1" t="str">
        <v>Diana Hayes</v>
      </c>
      <c r="D52" s="1" t="s">
        <v>259</v>
      </c>
      <c r="E52" s="1" t="str">
        <v>frogers@yahoo.com</v>
      </c>
      <c r="F52" t="str">
        <f t="shared" si="1"/>
        <v>Valid</v>
      </c>
      <c r="G52" s="1" t="s">
        <v>119</v>
      </c>
      <c r="H52" s="1" t="str">
        <f t="shared" si="2"/>
        <v>Female</v>
      </c>
      <c r="I52" s="1" t="s">
        <v>44</v>
      </c>
      <c r="J52" t="str">
        <f t="shared" si="3"/>
        <v>CANADA</v>
      </c>
      <c r="K52" s="14">
        <v>0</v>
      </c>
      <c r="L52" s="1">
        <f t="shared" si="4"/>
        <v>19</v>
      </c>
      <c r="M52" s="1" t="str">
        <f t="shared" si="5"/>
        <v>Student</v>
      </c>
      <c r="N52" s="9">
        <v>45074</v>
      </c>
      <c r="O52" s="1" t="s">
        <v>235</v>
      </c>
      <c r="P52" s="1" t="s">
        <v>147</v>
      </c>
      <c r="Q52" s="4">
        <v>0.68</v>
      </c>
      <c r="R52" s="13">
        <f t="shared" si="13"/>
        <v>68</v>
      </c>
      <c r="S52" s="6">
        <f t="shared" si="0"/>
        <v>0.68</v>
      </c>
      <c r="T52" s="1">
        <v>2</v>
      </c>
      <c r="U52" s="1">
        <f t="shared" si="7"/>
        <v>2</v>
      </c>
      <c r="V52" s="1">
        <f t="shared" si="8"/>
        <v>48.199999999999996</v>
      </c>
      <c r="W52" s="10" t="str">
        <f t="shared" si="9"/>
        <v>Medium</v>
      </c>
      <c r="X52" s="1">
        <v>1</v>
      </c>
      <c r="Y52" s="1" t="str">
        <f t="shared" si="10"/>
        <v>Yes</v>
      </c>
      <c r="Z52" s="14">
        <v>6</v>
      </c>
      <c r="AA52" s="18">
        <f t="shared" si="11"/>
        <v>6</v>
      </c>
      <c r="AB52" s="18" t="str">
        <f t="shared" si="12"/>
        <v>High Performer</v>
      </c>
      <c r="AC52" s="9" t="s">
        <v>261</v>
      </c>
      <c r="AD52">
        <f>IF(AC52="",0,LEN(AC52)-LEN(SUBSTITUTE(AC52,",",""))+1)</f>
        <v>4</v>
      </c>
    </row>
    <row r="53" spans="1:30" ht="12.5" x14ac:dyDescent="0.25">
      <c r="A53" s="1" t="s">
        <v>262</v>
      </c>
      <c r="B53" s="1" t="s">
        <v>263</v>
      </c>
      <c r="C53" s="1" t="str">
        <v>Douglas Carlson</v>
      </c>
      <c r="D53" s="1" t="s">
        <v>264</v>
      </c>
      <c r="E53" s="1" t="str">
        <v>blackjames@gmail.com</v>
      </c>
      <c r="F53" t="str">
        <f t="shared" si="1"/>
        <v>Valid</v>
      </c>
      <c r="G53" s="1" t="s">
        <v>109</v>
      </c>
      <c r="H53" s="1" t="str">
        <f t="shared" si="2"/>
        <v>Male</v>
      </c>
      <c r="I53" s="1" t="s">
        <v>44</v>
      </c>
      <c r="J53" t="str">
        <f t="shared" si="3"/>
        <v>CANADA</v>
      </c>
      <c r="K53" s="14">
        <v>19</v>
      </c>
      <c r="L53" s="1">
        <f t="shared" si="4"/>
        <v>19</v>
      </c>
      <c r="M53" s="1" t="str">
        <f t="shared" si="5"/>
        <v>Student</v>
      </c>
      <c r="N53" s="9">
        <v>44940</v>
      </c>
      <c r="O53" s="1" t="s">
        <v>69</v>
      </c>
      <c r="P53" s="1" t="s">
        <v>31</v>
      </c>
      <c r="Q53" s="4">
        <v>0.46</v>
      </c>
      <c r="R53" s="13">
        <f t="shared" si="13"/>
        <v>46</v>
      </c>
      <c r="S53" s="6">
        <f t="shared" si="0"/>
        <v>0.46</v>
      </c>
      <c r="T53" s="1" t="s">
        <v>21</v>
      </c>
      <c r="U53" s="1">
        <f t="shared" si="7"/>
        <v>1.5</v>
      </c>
      <c r="V53" s="1">
        <f t="shared" si="8"/>
        <v>32.65</v>
      </c>
      <c r="W53" s="10" t="str">
        <f t="shared" si="9"/>
        <v>Low</v>
      </c>
      <c r="X53" s="1">
        <v>0</v>
      </c>
      <c r="Y53" s="1" t="str">
        <f t="shared" si="10"/>
        <v>No</v>
      </c>
      <c r="Z53" s="14">
        <v>2</v>
      </c>
      <c r="AA53" s="18">
        <f t="shared" si="11"/>
        <v>2</v>
      </c>
      <c r="AB53" s="18" t="str">
        <f t="shared" si="12"/>
        <v>No</v>
      </c>
      <c r="AC53" s="9" t="s">
        <v>265</v>
      </c>
      <c r="AD53">
        <f>IF(AC53="",0,LEN(AC53)-LEN(SUBSTITUTE(AC53,",",""))+1)</f>
        <v>2</v>
      </c>
    </row>
    <row r="54" spans="1:30" ht="12.5" x14ac:dyDescent="0.25">
      <c r="A54" s="1" t="s">
        <v>266</v>
      </c>
      <c r="B54" s="1" t="s">
        <v>267</v>
      </c>
      <c r="C54" s="1" t="str">
        <v>Maria Henry</v>
      </c>
      <c r="D54" s="1" t="s">
        <v>268</v>
      </c>
      <c r="E54" s="1" t="str">
        <v>phillipsrichard@torres.com</v>
      </c>
      <c r="F54" t="str">
        <f t="shared" si="1"/>
        <v>Valid</v>
      </c>
      <c r="G54" s="1" t="s">
        <v>109</v>
      </c>
      <c r="H54" s="1" t="str">
        <f t="shared" si="2"/>
        <v>Male</v>
      </c>
      <c r="I54" s="1" t="s">
        <v>28</v>
      </c>
      <c r="J54" t="str">
        <f t="shared" si="3"/>
        <v>INDIA</v>
      </c>
      <c r="L54" s="1">
        <f t="shared" si="4"/>
        <v>19</v>
      </c>
      <c r="M54" s="1" t="str">
        <f t="shared" si="5"/>
        <v>Student</v>
      </c>
      <c r="N54" s="9">
        <v>45289</v>
      </c>
      <c r="O54" s="1" t="s">
        <v>146</v>
      </c>
      <c r="P54" s="1" t="s">
        <v>147</v>
      </c>
      <c r="Q54" s="4">
        <v>73</v>
      </c>
      <c r="R54" s="13">
        <f t="shared" si="13"/>
        <v>73</v>
      </c>
      <c r="S54" s="6">
        <f t="shared" si="0"/>
        <v>0.73</v>
      </c>
      <c r="T54" s="1">
        <v>1.5</v>
      </c>
      <c r="U54" s="1">
        <f t="shared" si="7"/>
        <v>1.5</v>
      </c>
      <c r="V54" s="1">
        <f t="shared" si="8"/>
        <v>51.55</v>
      </c>
      <c r="W54" s="10" t="str">
        <f t="shared" si="9"/>
        <v>Medium</v>
      </c>
      <c r="X54" s="1" t="s">
        <v>76</v>
      </c>
      <c r="Y54" s="1" t="str">
        <f t="shared" si="10"/>
        <v>Yes</v>
      </c>
      <c r="Z54" s="14">
        <v>3</v>
      </c>
      <c r="AA54" s="18">
        <f t="shared" si="11"/>
        <v>3</v>
      </c>
      <c r="AB54" s="18" t="str">
        <f t="shared" si="12"/>
        <v>No</v>
      </c>
      <c r="AC54" s="9" t="s">
        <v>269</v>
      </c>
      <c r="AD54">
        <f>IF(AC54="",0,LEN(AC54)-LEN(SUBSTITUTE(AC54,",",""))+1)</f>
        <v>8</v>
      </c>
    </row>
    <row r="55" spans="1:30" ht="12.5" x14ac:dyDescent="0.25">
      <c r="A55" s="1" t="s">
        <v>270</v>
      </c>
      <c r="B55" s="1" t="s">
        <v>271</v>
      </c>
      <c r="C55" s="1" t="str">
        <v>Krista Bell Md</v>
      </c>
      <c r="D55" s="1" t="s">
        <v>272</v>
      </c>
      <c r="E55" s="1" t="str">
        <v>jerry35@gmail.com</v>
      </c>
      <c r="F55" t="str">
        <f t="shared" si="1"/>
        <v>Valid</v>
      </c>
      <c r="G55" s="1" t="s">
        <v>27</v>
      </c>
      <c r="H55" s="1" t="str">
        <f t="shared" si="2"/>
        <v>Male</v>
      </c>
      <c r="I55" s="1" t="s">
        <v>74</v>
      </c>
      <c r="J55" t="str">
        <f t="shared" si="3"/>
        <v>USA</v>
      </c>
      <c r="K55" s="14">
        <v>25</v>
      </c>
      <c r="L55" s="1">
        <f t="shared" si="4"/>
        <v>25</v>
      </c>
      <c r="M55" s="1" t="str">
        <f t="shared" si="5"/>
        <v>Early Career</v>
      </c>
      <c r="N55" s="2">
        <v>45600</v>
      </c>
      <c r="O55" s="1" t="s">
        <v>58</v>
      </c>
      <c r="P55" s="1" t="s">
        <v>59</v>
      </c>
      <c r="Q55" s="4">
        <v>0.06</v>
      </c>
      <c r="R55" s="13">
        <f t="shared" si="13"/>
        <v>6</v>
      </c>
      <c r="S55" s="6">
        <f t="shared" si="0"/>
        <v>0.06</v>
      </c>
      <c r="T55" s="1">
        <v>45</v>
      </c>
      <c r="U55" s="1">
        <f t="shared" si="7"/>
        <v>45</v>
      </c>
      <c r="V55" s="1">
        <f t="shared" si="8"/>
        <v>17.7</v>
      </c>
      <c r="W55" s="10" t="str">
        <f t="shared" si="9"/>
        <v>Low</v>
      </c>
      <c r="X55" s="1" t="s">
        <v>38</v>
      </c>
      <c r="Y55" s="1" t="str">
        <f t="shared" si="10"/>
        <v>No</v>
      </c>
      <c r="Z55" s="14">
        <v>2</v>
      </c>
      <c r="AA55" s="18">
        <f t="shared" si="11"/>
        <v>2</v>
      </c>
      <c r="AB55" s="18" t="str">
        <f t="shared" si="12"/>
        <v>No</v>
      </c>
      <c r="AC55" s="9" t="s">
        <v>273</v>
      </c>
      <c r="AD55">
        <f>IF(AC55="",0,LEN(AC55)-LEN(SUBSTITUTE(AC55,",",""))+1)</f>
        <v>2</v>
      </c>
    </row>
    <row r="56" spans="1:30" ht="12.5" x14ac:dyDescent="0.25">
      <c r="A56" s="1" t="s">
        <v>274</v>
      </c>
      <c r="B56" s="1" t="s">
        <v>275</v>
      </c>
      <c r="C56" s="1" t="str">
        <v>Parker Hill</v>
      </c>
      <c r="D56" s="1" t="s">
        <v>276</v>
      </c>
      <c r="E56" s="1" t="str">
        <v>wallkenneth@yahoo.com</v>
      </c>
      <c r="F56" t="str">
        <f t="shared" si="1"/>
        <v>Valid</v>
      </c>
      <c r="G56" s="1" t="s">
        <v>27</v>
      </c>
      <c r="H56" s="1" t="str">
        <f t="shared" si="2"/>
        <v>Male</v>
      </c>
      <c r="I56" s="1" t="s">
        <v>28</v>
      </c>
      <c r="J56" t="str">
        <f t="shared" si="3"/>
        <v>INDIA</v>
      </c>
      <c r="K56" s="14">
        <v>0</v>
      </c>
      <c r="L56" s="1">
        <f t="shared" si="4"/>
        <v>19</v>
      </c>
      <c r="M56" s="1" t="str">
        <f t="shared" si="5"/>
        <v>Student</v>
      </c>
      <c r="N56" s="9">
        <v>45490</v>
      </c>
      <c r="O56" s="1" t="s">
        <v>30</v>
      </c>
      <c r="P56" s="1" t="s">
        <v>31</v>
      </c>
      <c r="Q56" s="4">
        <v>0.56000000000000005</v>
      </c>
      <c r="R56" s="13">
        <f t="shared" si="13"/>
        <v>56.000000000000007</v>
      </c>
      <c r="S56" s="6">
        <f t="shared" si="0"/>
        <v>0.56000000000000005</v>
      </c>
      <c r="T56" s="1">
        <v>45</v>
      </c>
      <c r="U56" s="1">
        <f t="shared" si="7"/>
        <v>45</v>
      </c>
      <c r="V56" s="1">
        <f t="shared" si="8"/>
        <v>52.7</v>
      </c>
      <c r="W56" s="10" t="str">
        <f t="shared" si="9"/>
        <v>Medium</v>
      </c>
      <c r="X56" s="1" t="s">
        <v>22</v>
      </c>
      <c r="Y56" s="1" t="str">
        <f t="shared" si="10"/>
        <v>No</v>
      </c>
      <c r="Z56" s="14">
        <v>3</v>
      </c>
      <c r="AA56" s="18">
        <f t="shared" si="11"/>
        <v>3</v>
      </c>
      <c r="AB56" s="18" t="str">
        <f t="shared" si="12"/>
        <v>No</v>
      </c>
      <c r="AC56" s="9" t="s">
        <v>277</v>
      </c>
      <c r="AD56">
        <f>IF(AC56="",0,LEN(AC56)-LEN(SUBSTITUTE(AC56,",",""))+1)</f>
        <v>4</v>
      </c>
    </row>
    <row r="57" spans="1:30" ht="12.5" x14ac:dyDescent="0.25">
      <c r="A57" s="1" t="s">
        <v>278</v>
      </c>
      <c r="B57" s="1" t="s">
        <v>279</v>
      </c>
      <c r="C57" s="1" t="str">
        <v>Angel Brown</v>
      </c>
      <c r="D57" s="1" t="s">
        <v>280</v>
      </c>
      <c r="E57" s="1" t="str">
        <v>danamullins@gmail.com</v>
      </c>
      <c r="F57" t="str">
        <f t="shared" si="1"/>
        <v>Valid</v>
      </c>
      <c r="G57" s="1" t="s">
        <v>119</v>
      </c>
      <c r="H57" s="1" t="str">
        <f t="shared" si="2"/>
        <v>Female</v>
      </c>
      <c r="I57" s="1" t="s">
        <v>44</v>
      </c>
      <c r="J57" t="str">
        <f t="shared" si="3"/>
        <v>CANADA</v>
      </c>
      <c r="K57" s="14">
        <v>19</v>
      </c>
      <c r="L57" s="1">
        <f t="shared" si="4"/>
        <v>19</v>
      </c>
      <c r="M57" s="1" t="str">
        <f t="shared" si="5"/>
        <v>Student</v>
      </c>
      <c r="N57" s="2">
        <v>45200</v>
      </c>
      <c r="O57" s="1" t="s">
        <v>170</v>
      </c>
      <c r="P57" s="1" t="s">
        <v>147</v>
      </c>
      <c r="Q57" s="4">
        <v>0.7</v>
      </c>
      <c r="R57" s="13">
        <f t="shared" si="13"/>
        <v>70</v>
      </c>
      <c r="S57" s="6">
        <f t="shared" si="0"/>
        <v>0.7</v>
      </c>
      <c r="T57" s="1" t="s">
        <v>21</v>
      </c>
      <c r="U57" s="1">
        <f t="shared" si="7"/>
        <v>1.5</v>
      </c>
      <c r="V57" s="1">
        <f t="shared" si="8"/>
        <v>49.45</v>
      </c>
      <c r="W57" s="10" t="str">
        <f t="shared" si="9"/>
        <v>Medium</v>
      </c>
      <c r="X57" s="1" t="s">
        <v>32</v>
      </c>
      <c r="Y57" s="1" t="str">
        <f t="shared" si="10"/>
        <v>Yes</v>
      </c>
      <c r="Z57" s="14">
        <v>1</v>
      </c>
      <c r="AA57" s="18">
        <f t="shared" si="11"/>
        <v>1</v>
      </c>
      <c r="AB57" s="18" t="str">
        <f t="shared" si="12"/>
        <v>No</v>
      </c>
      <c r="AC57" s="9" t="s">
        <v>281</v>
      </c>
      <c r="AD57">
        <f>IF(AC57="",0,LEN(AC57)-LEN(SUBSTITUTE(AC57,",",""))+1)</f>
        <v>2</v>
      </c>
    </row>
    <row r="58" spans="1:30" ht="12.5" x14ac:dyDescent="0.25">
      <c r="A58" s="1" t="s">
        <v>282</v>
      </c>
      <c r="B58" s="1" t="s">
        <v>283</v>
      </c>
      <c r="C58" s="1" t="str">
        <v>Cody Williams</v>
      </c>
      <c r="D58" s="1" t="s">
        <v>284</v>
      </c>
      <c r="E58" s="1" t="str">
        <v>shortrichard@gmail.com</v>
      </c>
      <c r="F58" t="str">
        <f t="shared" si="1"/>
        <v>Valid</v>
      </c>
      <c r="G58" s="1" t="s">
        <v>88</v>
      </c>
      <c r="H58" s="1" t="str">
        <f t="shared" si="2"/>
        <v>Male</v>
      </c>
      <c r="I58" s="1" t="s">
        <v>74</v>
      </c>
      <c r="J58" t="str">
        <f t="shared" si="3"/>
        <v>USA</v>
      </c>
      <c r="K58" s="14">
        <v>35</v>
      </c>
      <c r="L58" s="1">
        <f t="shared" si="4"/>
        <v>35</v>
      </c>
      <c r="M58" s="1" t="str">
        <f t="shared" si="5"/>
        <v>Mid Career</v>
      </c>
      <c r="N58" s="9">
        <v>44677</v>
      </c>
      <c r="O58" s="1" t="s">
        <v>158</v>
      </c>
      <c r="P58" s="1" t="s">
        <v>59</v>
      </c>
      <c r="Q58" s="4">
        <v>80</v>
      </c>
      <c r="R58" s="13">
        <f t="shared" si="13"/>
        <v>80</v>
      </c>
      <c r="S58" s="6">
        <f t="shared" si="0"/>
        <v>0.8</v>
      </c>
      <c r="T58" s="1">
        <v>2</v>
      </c>
      <c r="U58" s="1">
        <f t="shared" si="7"/>
        <v>2</v>
      </c>
      <c r="V58" s="1">
        <f t="shared" si="8"/>
        <v>56.6</v>
      </c>
      <c r="W58" s="10" t="str">
        <f t="shared" si="9"/>
        <v>Medium</v>
      </c>
      <c r="X58" s="1" t="s">
        <v>32</v>
      </c>
      <c r="Y58" s="1" t="str">
        <f t="shared" si="10"/>
        <v>Yes</v>
      </c>
      <c r="Z58" s="14">
        <v>5</v>
      </c>
      <c r="AA58" s="18">
        <f t="shared" si="11"/>
        <v>5</v>
      </c>
      <c r="AB58" s="18" t="str">
        <f t="shared" si="12"/>
        <v>High Performer</v>
      </c>
      <c r="AC58" s="9" t="s">
        <v>285</v>
      </c>
      <c r="AD58">
        <f>IF(AC58="",0,LEN(AC58)-LEN(SUBSTITUTE(AC58,",",""))+1)</f>
        <v>4</v>
      </c>
    </row>
    <row r="59" spans="1:30" ht="12.5" x14ac:dyDescent="0.25">
      <c r="A59" s="1" t="s">
        <v>286</v>
      </c>
      <c r="B59" s="1" t="s">
        <v>287</v>
      </c>
      <c r="C59" s="1" t="str">
        <v>Justin Torres</v>
      </c>
      <c r="D59" s="1" t="s">
        <v>288</v>
      </c>
      <c r="E59" s="1" t="str">
        <v>grantrobert@gibbs.info</v>
      </c>
      <c r="F59" t="str">
        <f t="shared" si="1"/>
        <v>Valid</v>
      </c>
      <c r="G59" s="1" t="s">
        <v>119</v>
      </c>
      <c r="H59" s="1" t="str">
        <f t="shared" si="2"/>
        <v>Female</v>
      </c>
      <c r="I59" s="1" t="s">
        <v>74</v>
      </c>
      <c r="J59" t="str">
        <f t="shared" si="3"/>
        <v>USA</v>
      </c>
      <c r="K59" s="14">
        <v>0</v>
      </c>
      <c r="L59" s="1">
        <f t="shared" si="4"/>
        <v>19</v>
      </c>
      <c r="M59" s="1" t="str">
        <f t="shared" si="5"/>
        <v>Student</v>
      </c>
      <c r="N59" s="9">
        <v>45554</v>
      </c>
      <c r="O59" s="1" t="s">
        <v>235</v>
      </c>
      <c r="P59" s="1" t="s">
        <v>147</v>
      </c>
      <c r="Q59" s="4">
        <v>76</v>
      </c>
      <c r="R59" s="13">
        <f t="shared" si="13"/>
        <v>76</v>
      </c>
      <c r="S59" s="6">
        <f t="shared" si="0"/>
        <v>0.76</v>
      </c>
      <c r="T59" s="1" t="s">
        <v>21</v>
      </c>
      <c r="U59" s="1">
        <f t="shared" si="7"/>
        <v>1.5</v>
      </c>
      <c r="V59" s="1">
        <f t="shared" si="8"/>
        <v>53.65</v>
      </c>
      <c r="W59" s="10" t="str">
        <f t="shared" si="9"/>
        <v>Medium</v>
      </c>
      <c r="X59" s="1" t="s">
        <v>38</v>
      </c>
      <c r="Y59" s="1" t="str">
        <f t="shared" si="10"/>
        <v>No</v>
      </c>
      <c r="AA59" s="18" t="str">
        <f t="shared" si="11"/>
        <v>Invalid</v>
      </c>
      <c r="AB59" s="18" t="str">
        <f t="shared" si="12"/>
        <v>No</v>
      </c>
      <c r="AC59" s="9" t="s">
        <v>289</v>
      </c>
      <c r="AD59">
        <f>IF(AC59="",0,LEN(AC59)-LEN(SUBSTITUTE(AC59,",",""))+1)</f>
        <v>1</v>
      </c>
    </row>
    <row r="60" spans="1:30" ht="12.5" x14ac:dyDescent="0.25">
      <c r="A60" s="1" t="s">
        <v>290</v>
      </c>
      <c r="B60" s="1" t="s">
        <v>291</v>
      </c>
      <c r="C60" s="1" t="str">
        <v>Keith Brown</v>
      </c>
      <c r="D60" s="1" t="s">
        <v>292</v>
      </c>
      <c r="E60" s="1" t="str">
        <v>colleenbaker@moore.net</v>
      </c>
      <c r="F60" t="str">
        <f t="shared" si="1"/>
        <v>Valid</v>
      </c>
      <c r="G60" s="1" t="s">
        <v>95</v>
      </c>
      <c r="H60" s="1" t="str">
        <f t="shared" si="2"/>
        <v>Male</v>
      </c>
      <c r="I60" s="1" t="s">
        <v>74</v>
      </c>
      <c r="J60" t="str">
        <f t="shared" si="3"/>
        <v>USA</v>
      </c>
      <c r="K60" s="14">
        <v>0</v>
      </c>
      <c r="L60" s="1">
        <f t="shared" si="4"/>
        <v>19</v>
      </c>
      <c r="M60" s="1" t="str">
        <f t="shared" si="5"/>
        <v>Student</v>
      </c>
      <c r="N60" s="9">
        <v>45345</v>
      </c>
      <c r="O60" s="1" t="s">
        <v>75</v>
      </c>
      <c r="P60" s="1" t="s">
        <v>37</v>
      </c>
      <c r="Q60" s="4">
        <v>0.05</v>
      </c>
      <c r="R60" s="13">
        <f t="shared" si="13"/>
        <v>5</v>
      </c>
      <c r="S60" s="6">
        <f t="shared" si="0"/>
        <v>0.05</v>
      </c>
      <c r="T60" s="1" t="s">
        <v>64</v>
      </c>
      <c r="U60" s="1">
        <f t="shared" si="7"/>
        <v>2</v>
      </c>
      <c r="V60" s="1">
        <f t="shared" si="8"/>
        <v>4.0999999999999996</v>
      </c>
      <c r="W60" s="10" t="str">
        <f t="shared" si="9"/>
        <v>Low</v>
      </c>
      <c r="X60" s="1">
        <v>1</v>
      </c>
      <c r="Y60" s="1" t="str">
        <f t="shared" si="10"/>
        <v>Yes</v>
      </c>
      <c r="Z60" s="14">
        <v>4</v>
      </c>
      <c r="AA60" s="18">
        <f t="shared" si="11"/>
        <v>4</v>
      </c>
      <c r="AB60" s="18" t="str">
        <f t="shared" si="12"/>
        <v>High Performer</v>
      </c>
      <c r="AC60" s="9" t="s">
        <v>293</v>
      </c>
      <c r="AD60">
        <f>IF(AC60="",0,LEN(AC60)-LEN(SUBSTITUTE(AC60,",",""))+1)</f>
        <v>8</v>
      </c>
    </row>
    <row r="61" spans="1:30" ht="12.5" x14ac:dyDescent="0.25">
      <c r="A61" s="1" t="s">
        <v>294</v>
      </c>
      <c r="B61" s="1" t="s">
        <v>295</v>
      </c>
      <c r="C61" s="1" t="str">
        <v>Julie Johnson</v>
      </c>
      <c r="D61" s="1" t="s">
        <v>296</v>
      </c>
      <c r="E61" s="1" t="str">
        <v>jacqueline71@hotmail.com</v>
      </c>
      <c r="F61" t="str">
        <f t="shared" si="1"/>
        <v>Valid</v>
      </c>
      <c r="G61" s="1" t="s">
        <v>27</v>
      </c>
      <c r="H61" s="1" t="str">
        <f t="shared" si="2"/>
        <v>Male</v>
      </c>
      <c r="I61" s="1" t="s">
        <v>51</v>
      </c>
      <c r="J61" t="str">
        <f t="shared" si="3"/>
        <v>UK</v>
      </c>
      <c r="L61" s="1">
        <f t="shared" si="4"/>
        <v>19</v>
      </c>
      <c r="M61" s="1" t="str">
        <f t="shared" si="5"/>
        <v>Student</v>
      </c>
      <c r="N61" s="2">
        <v>44569</v>
      </c>
      <c r="O61" s="1" t="s">
        <v>90</v>
      </c>
      <c r="P61" s="1" t="s">
        <v>31</v>
      </c>
      <c r="Q61" s="4">
        <v>0.96</v>
      </c>
      <c r="R61" s="13">
        <f t="shared" si="13"/>
        <v>96</v>
      </c>
      <c r="S61" s="6">
        <f t="shared" si="0"/>
        <v>0.96</v>
      </c>
      <c r="T61" s="1">
        <v>45</v>
      </c>
      <c r="U61" s="1">
        <f t="shared" si="7"/>
        <v>45</v>
      </c>
      <c r="V61" s="1">
        <f t="shared" si="8"/>
        <v>80.699999999999989</v>
      </c>
      <c r="W61" s="10" t="str">
        <f t="shared" si="9"/>
        <v>High</v>
      </c>
      <c r="X61" s="1" t="s">
        <v>38</v>
      </c>
      <c r="Y61" s="1" t="str">
        <f t="shared" si="10"/>
        <v>No</v>
      </c>
      <c r="Z61" s="14">
        <v>2</v>
      </c>
      <c r="AA61" s="18">
        <f t="shared" si="11"/>
        <v>2</v>
      </c>
      <c r="AB61" s="18" t="str">
        <f t="shared" si="12"/>
        <v>No</v>
      </c>
      <c r="AC61" s="9" t="s">
        <v>297</v>
      </c>
      <c r="AD61">
        <f>IF(AC61="",0,LEN(AC61)-LEN(SUBSTITUTE(AC61,",",""))+1)</f>
        <v>5</v>
      </c>
    </row>
    <row r="62" spans="1:30" ht="12.5" x14ac:dyDescent="0.25">
      <c r="A62" s="1" t="s">
        <v>298</v>
      </c>
      <c r="B62" s="1" t="s">
        <v>299</v>
      </c>
      <c r="C62" s="1" t="str">
        <v>Mary Peck</v>
      </c>
      <c r="D62" s="1" t="s">
        <v>300</v>
      </c>
      <c r="E62" s="1" t="str">
        <v>stephensdeborah@yahoo.com</v>
      </c>
      <c r="F62" t="str">
        <f t="shared" si="1"/>
        <v>Valid</v>
      </c>
      <c r="G62" s="1" t="s">
        <v>119</v>
      </c>
      <c r="H62" s="1" t="str">
        <f t="shared" si="2"/>
        <v>Female</v>
      </c>
      <c r="I62" s="1" t="s">
        <v>44</v>
      </c>
      <c r="J62" t="str">
        <f t="shared" si="3"/>
        <v>CANADA</v>
      </c>
      <c r="L62" s="1">
        <f t="shared" si="4"/>
        <v>19</v>
      </c>
      <c r="M62" s="1" t="str">
        <f t="shared" si="5"/>
        <v>Student</v>
      </c>
      <c r="N62" s="2">
        <v>45020</v>
      </c>
      <c r="O62" s="1" t="s">
        <v>301</v>
      </c>
      <c r="P62" s="1" t="s">
        <v>20</v>
      </c>
      <c r="Q62" s="4">
        <v>0.85</v>
      </c>
      <c r="R62" s="13">
        <f t="shared" si="13"/>
        <v>85</v>
      </c>
      <c r="S62" s="6">
        <f t="shared" si="0"/>
        <v>0.85</v>
      </c>
      <c r="T62" s="1" t="s">
        <v>64</v>
      </c>
      <c r="U62" s="1">
        <f t="shared" si="7"/>
        <v>2</v>
      </c>
      <c r="V62" s="1">
        <f t="shared" si="8"/>
        <v>60.099999999999994</v>
      </c>
      <c r="W62" s="10" t="str">
        <f t="shared" si="9"/>
        <v>Medium</v>
      </c>
      <c r="X62" s="1">
        <v>1</v>
      </c>
      <c r="Y62" s="1" t="str">
        <f t="shared" si="10"/>
        <v>Yes</v>
      </c>
      <c r="Z62" s="14">
        <v>1</v>
      </c>
      <c r="AA62" s="18">
        <f t="shared" si="11"/>
        <v>1</v>
      </c>
      <c r="AB62" s="18" t="str">
        <f t="shared" si="12"/>
        <v>No</v>
      </c>
      <c r="AC62" s="9" t="s">
        <v>302</v>
      </c>
      <c r="AD62">
        <f>IF(AC62="",0,LEN(AC62)-LEN(SUBSTITUTE(AC62,",",""))+1)</f>
        <v>6</v>
      </c>
    </row>
    <row r="63" spans="1:30" ht="12.5" x14ac:dyDescent="0.25">
      <c r="A63" s="1" t="s">
        <v>303</v>
      </c>
      <c r="B63" s="1" t="s">
        <v>304</v>
      </c>
      <c r="C63" s="1" t="str">
        <v>Paul Carroll</v>
      </c>
      <c r="D63" s="1" t="s">
        <v>305</v>
      </c>
      <c r="E63" s="1" t="str">
        <v>smartinez@yahoo.com</v>
      </c>
      <c r="F63" t="str">
        <f t="shared" si="1"/>
        <v>Valid</v>
      </c>
      <c r="G63" s="1" t="s">
        <v>95</v>
      </c>
      <c r="H63" s="1" t="str">
        <f t="shared" si="2"/>
        <v>Male</v>
      </c>
      <c r="I63" s="1" t="s">
        <v>96</v>
      </c>
      <c r="J63" t="str">
        <f t="shared" si="3"/>
        <v>INDIA</v>
      </c>
      <c r="L63" s="1">
        <f t="shared" si="4"/>
        <v>19</v>
      </c>
      <c r="M63" s="1" t="str">
        <f t="shared" si="5"/>
        <v>Student</v>
      </c>
      <c r="N63" s="9">
        <v>44878</v>
      </c>
      <c r="O63" s="1" t="s">
        <v>301</v>
      </c>
      <c r="P63" s="1" t="s">
        <v>20</v>
      </c>
      <c r="Q63" s="4">
        <v>0.14000000000000001</v>
      </c>
      <c r="R63" s="13">
        <f t="shared" si="13"/>
        <v>14.000000000000002</v>
      </c>
      <c r="S63" s="6">
        <f t="shared" si="0"/>
        <v>0.14000000000000001</v>
      </c>
      <c r="T63" s="1">
        <v>2</v>
      </c>
      <c r="U63" s="1">
        <f t="shared" si="7"/>
        <v>2</v>
      </c>
      <c r="V63" s="1">
        <f t="shared" si="8"/>
        <v>10.4</v>
      </c>
      <c r="W63" s="10" t="str">
        <f t="shared" si="9"/>
        <v>Low</v>
      </c>
      <c r="X63" s="1">
        <v>1</v>
      </c>
      <c r="Y63" s="1" t="str">
        <f t="shared" si="10"/>
        <v>Yes</v>
      </c>
      <c r="Z63" s="14">
        <v>6</v>
      </c>
      <c r="AA63" s="18">
        <f t="shared" si="11"/>
        <v>6</v>
      </c>
      <c r="AB63" s="18" t="str">
        <f t="shared" si="12"/>
        <v>High Performer</v>
      </c>
      <c r="AC63" s="9" t="s">
        <v>306</v>
      </c>
      <c r="AD63">
        <f>IF(AC63="",0,LEN(AC63)-LEN(SUBSTITUTE(AC63,",",""))+1)</f>
        <v>2</v>
      </c>
    </row>
    <row r="64" spans="1:30" ht="12.5" x14ac:dyDescent="0.25">
      <c r="A64" s="1" t="s">
        <v>307</v>
      </c>
      <c r="B64" s="1" t="s">
        <v>308</v>
      </c>
      <c r="C64" s="1" t="str">
        <v>Jessica George</v>
      </c>
      <c r="D64" s="1" t="s">
        <v>309</v>
      </c>
      <c r="E64" s="1" t="str">
        <v>cassandra01@gmail.com</v>
      </c>
      <c r="F64" t="str">
        <f t="shared" si="1"/>
        <v>Valid</v>
      </c>
      <c r="G64" s="1" t="s">
        <v>27</v>
      </c>
      <c r="H64" s="1" t="str">
        <f t="shared" si="2"/>
        <v>Male</v>
      </c>
      <c r="I64" s="1" t="s">
        <v>136</v>
      </c>
      <c r="J64" t="str">
        <f t="shared" si="3"/>
        <v>UK</v>
      </c>
      <c r="L64" s="1">
        <f t="shared" si="4"/>
        <v>19</v>
      </c>
      <c r="M64" s="1" t="str">
        <f t="shared" si="5"/>
        <v>Student</v>
      </c>
      <c r="N64" s="9">
        <v>45744</v>
      </c>
      <c r="O64" s="1" t="s">
        <v>75</v>
      </c>
      <c r="P64" s="1" t="s">
        <v>37</v>
      </c>
      <c r="Q64" s="4">
        <v>0.06</v>
      </c>
      <c r="R64" s="13">
        <f t="shared" si="13"/>
        <v>6</v>
      </c>
      <c r="S64" s="6">
        <f t="shared" si="0"/>
        <v>0.06</v>
      </c>
      <c r="T64" s="1" t="s">
        <v>46</v>
      </c>
      <c r="U64" s="1">
        <f t="shared" si="7"/>
        <v>1</v>
      </c>
      <c r="V64" s="1">
        <f t="shared" si="8"/>
        <v>4.4999999999999991</v>
      </c>
      <c r="W64" s="10" t="str">
        <f t="shared" si="9"/>
        <v>Low</v>
      </c>
      <c r="X64" s="1">
        <v>0</v>
      </c>
      <c r="Y64" s="1" t="str">
        <f t="shared" si="10"/>
        <v>No</v>
      </c>
      <c r="Z64" s="14">
        <v>2</v>
      </c>
      <c r="AA64" s="18">
        <f t="shared" si="11"/>
        <v>2</v>
      </c>
      <c r="AB64" s="18" t="str">
        <f t="shared" si="12"/>
        <v>No</v>
      </c>
      <c r="AC64" s="9" t="s">
        <v>310</v>
      </c>
      <c r="AD64">
        <f>IF(AC64="",0,LEN(AC64)-LEN(SUBSTITUTE(AC64,",",""))+1)</f>
        <v>8</v>
      </c>
    </row>
    <row r="65" spans="1:30" ht="12.5" x14ac:dyDescent="0.25">
      <c r="A65" s="1" t="s">
        <v>311</v>
      </c>
      <c r="B65" s="1" t="s">
        <v>312</v>
      </c>
      <c r="C65" s="1" t="str">
        <v>Yvonne Chambers</v>
      </c>
      <c r="D65" s="1" t="s">
        <v>313</v>
      </c>
      <c r="E65" s="1" t="str">
        <v>hinesgregory@hotmail.com</v>
      </c>
      <c r="F65" t="str">
        <f t="shared" si="1"/>
        <v>Valid</v>
      </c>
      <c r="G65" s="1" t="s">
        <v>17</v>
      </c>
      <c r="H65" s="1" t="str">
        <f t="shared" si="2"/>
        <v>Female</v>
      </c>
      <c r="I65" s="1" t="s">
        <v>136</v>
      </c>
      <c r="J65" t="str">
        <f t="shared" si="3"/>
        <v>UK</v>
      </c>
      <c r="K65" s="14">
        <v>0</v>
      </c>
      <c r="L65" s="1">
        <f t="shared" si="4"/>
        <v>19</v>
      </c>
      <c r="M65" s="1" t="str">
        <f t="shared" si="5"/>
        <v>Student</v>
      </c>
      <c r="N65" s="9">
        <v>45705</v>
      </c>
      <c r="O65" s="1" t="s">
        <v>90</v>
      </c>
      <c r="P65" s="1" t="s">
        <v>31</v>
      </c>
      <c r="Q65" s="4">
        <v>0.7</v>
      </c>
      <c r="R65" s="13">
        <f t="shared" si="13"/>
        <v>70</v>
      </c>
      <c r="S65" s="6">
        <f t="shared" si="0"/>
        <v>0.7</v>
      </c>
      <c r="T65" s="1">
        <v>2</v>
      </c>
      <c r="U65" s="1">
        <f t="shared" si="7"/>
        <v>2</v>
      </c>
      <c r="V65" s="1">
        <f t="shared" si="8"/>
        <v>49.6</v>
      </c>
      <c r="W65" s="10" t="str">
        <f t="shared" si="9"/>
        <v>Medium</v>
      </c>
      <c r="X65" s="1" t="s">
        <v>38</v>
      </c>
      <c r="Y65" s="1" t="str">
        <f t="shared" si="10"/>
        <v>No</v>
      </c>
      <c r="Z65" s="14">
        <v>4</v>
      </c>
      <c r="AA65" s="18">
        <f t="shared" si="11"/>
        <v>4</v>
      </c>
      <c r="AB65" s="18" t="str">
        <f t="shared" si="12"/>
        <v>No</v>
      </c>
      <c r="AC65" s="9" t="s">
        <v>314</v>
      </c>
      <c r="AD65">
        <f>IF(AC65="",0,LEN(AC65)-LEN(SUBSTITUTE(AC65,",",""))+1)</f>
        <v>3</v>
      </c>
    </row>
    <row r="66" spans="1:30" ht="12.5" x14ac:dyDescent="0.25">
      <c r="A66" s="1" t="s">
        <v>315</v>
      </c>
      <c r="B66" s="1" t="s">
        <v>316</v>
      </c>
      <c r="C66" s="1" t="str">
        <v>Jessica Olsen Dvm</v>
      </c>
      <c r="D66" s="1" t="s">
        <v>317</v>
      </c>
      <c r="E66" s="1" t="str">
        <v>ricky51@gmail.com</v>
      </c>
      <c r="F66" t="str">
        <f t="shared" si="1"/>
        <v>Valid</v>
      </c>
      <c r="G66" s="1" t="s">
        <v>43</v>
      </c>
      <c r="H66" s="1" t="str">
        <f t="shared" si="2"/>
        <v>Female</v>
      </c>
      <c r="I66" s="1" t="s">
        <v>96</v>
      </c>
      <c r="J66" t="str">
        <f t="shared" si="3"/>
        <v>INDIA</v>
      </c>
      <c r="K66" s="14">
        <v>41</v>
      </c>
      <c r="L66" s="1">
        <f t="shared" si="4"/>
        <v>41</v>
      </c>
      <c r="M66" s="1" t="str">
        <f t="shared" si="5"/>
        <v>Senior</v>
      </c>
      <c r="N66" s="9">
        <v>45670</v>
      </c>
      <c r="O66" s="1" t="s">
        <v>75</v>
      </c>
      <c r="P66" s="1" t="s">
        <v>37</v>
      </c>
      <c r="Q66" s="4">
        <v>60</v>
      </c>
      <c r="R66" s="13">
        <f t="shared" si="13"/>
        <v>60</v>
      </c>
      <c r="S66" s="6">
        <f t="shared" ref="S66:S129" si="14">R66/100</f>
        <v>0.6</v>
      </c>
      <c r="T66" s="1" t="s">
        <v>64</v>
      </c>
      <c r="U66" s="1">
        <f t="shared" si="7"/>
        <v>2</v>
      </c>
      <c r="V66" s="1">
        <f t="shared" si="8"/>
        <v>42.6</v>
      </c>
      <c r="W66" s="10" t="str">
        <f t="shared" si="9"/>
        <v>Medium</v>
      </c>
      <c r="X66" s="1" t="s">
        <v>32</v>
      </c>
      <c r="Y66" s="1" t="str">
        <f t="shared" si="10"/>
        <v>Yes</v>
      </c>
      <c r="Z66" s="14">
        <v>2</v>
      </c>
      <c r="AA66" s="18">
        <f t="shared" si="11"/>
        <v>2</v>
      </c>
      <c r="AB66" s="18" t="str">
        <f t="shared" si="12"/>
        <v>No</v>
      </c>
      <c r="AC66" s="9" t="s">
        <v>318</v>
      </c>
      <c r="AD66">
        <f>IF(AC66="",0,LEN(AC66)-LEN(SUBSTITUTE(AC66,",",""))+1)</f>
        <v>5</v>
      </c>
    </row>
    <row r="67" spans="1:30" ht="12.5" x14ac:dyDescent="0.25">
      <c r="A67" s="1" t="s">
        <v>319</v>
      </c>
      <c r="B67" s="1" t="s">
        <v>320</v>
      </c>
      <c r="C67" s="1" t="str">
        <v>Jennifer Hodges</v>
      </c>
      <c r="D67" s="1" t="s">
        <v>321</v>
      </c>
      <c r="E67" s="1" t="str">
        <v>qmiller@wilson-barton.net</v>
      </c>
      <c r="F67" t="str">
        <f t="shared" ref="F67:F130" si="15">IF(ISNUMBER(SEARCH("@", E67)), "Valid", "Invalid")</f>
        <v>Valid</v>
      </c>
      <c r="G67" s="1" t="s">
        <v>119</v>
      </c>
      <c r="H67" s="1" t="str">
        <f t="shared" ref="H67:H130" si="16">IF(OR(LOWER(G67)="m", LOWER(G67)="male"), "Male", IF(OR(LOWER(G67)="f", LOWER(G67)="female"), "Female","Other"))</f>
        <v>Female</v>
      </c>
      <c r="I67" s="1" t="s">
        <v>51</v>
      </c>
      <c r="J67" t="str">
        <f t="shared" ref="J67:J130" si="17">UPPER(TRIM(I67))</f>
        <v>UK</v>
      </c>
      <c r="K67" s="14">
        <v>0</v>
      </c>
      <c r="L67" s="1">
        <f t="shared" ref="L67:L130" si="18">IF(OR(K67=0,K67&lt;10,K67&gt;100), $L$1202, K67)</f>
        <v>19</v>
      </c>
      <c r="M67" s="1" t="str">
        <f t="shared" ref="M67:M130" si="19">IF(K67&lt;22,"Student",
IF(K67&lt;=30,"Early Career",
IF(K67&lt;=40,"Mid Career",
IF(K67&lt;=50,"Senior","Expert"))))</f>
        <v>Student</v>
      </c>
      <c r="N67" s="2">
        <v>44935</v>
      </c>
      <c r="O67" s="1" t="s">
        <v>58</v>
      </c>
      <c r="P67" s="1" t="s">
        <v>59</v>
      </c>
      <c r="Q67" s="4">
        <v>0.38</v>
      </c>
      <c r="R67" s="13">
        <f t="shared" ref="R67:R130" si="20">IF(Q67&lt;=1, Q67*100, Q67)</f>
        <v>38</v>
      </c>
      <c r="S67" s="6">
        <f t="shared" si="14"/>
        <v>0.38</v>
      </c>
      <c r="T67" s="1">
        <v>1.5</v>
      </c>
      <c r="U67" s="1">
        <f t="shared" ref="U67:U130" si="21">IF(ISNUMBER(T67), T67,
IF(ISNUMBER(SEARCH("min", T67)), VALUE(LEFT(T67, FIND(" ", T67)-1))/60,
IF(ISNUMBER(SEARCH("hour", T67)), VALUE(LEFT(T67, FIND(" ", T67)-1)),
"")))</f>
        <v>1.5</v>
      </c>
      <c r="V67" s="1">
        <f t="shared" ref="V67:V130" si="22">MIN( (0.7*R67 + 0.3*(U67)), 100 )</f>
        <v>27.049999999999997</v>
      </c>
      <c r="W67" s="10" t="str">
        <f t="shared" ref="W67:W130" si="23">IF(V67&lt;41,"Low",IF(V67&lt;71,"Medium","High"))</f>
        <v>Low</v>
      </c>
      <c r="X67" s="1" t="s">
        <v>32</v>
      </c>
      <c r="Y67" s="1" t="str">
        <f t="shared" ref="Y67:Y130" si="24">IF(OR(X67="Yes", X67="Y", X67=1), "Yes", "No")</f>
        <v>Yes</v>
      </c>
      <c r="Z67" s="14">
        <v>6</v>
      </c>
      <c r="AA67" s="18">
        <f t="shared" ref="AA67:AA130" si="25">IF(AND(Z67&gt;=1,Z67&lt;=6),Z67,"Invalid")</f>
        <v>6</v>
      </c>
      <c r="AB67" s="18" t="str">
        <f t="shared" ref="AB67:AB130" si="26">IF(AND(Y67="Yes",AA67&gt;=4),"High Performer","No")</f>
        <v>High Performer</v>
      </c>
      <c r="AC67" s="9" t="s">
        <v>322</v>
      </c>
      <c r="AD67">
        <f>IF(AC67="",0,LEN(AC67)-LEN(SUBSTITUTE(AC67,",",""))+1)</f>
        <v>5</v>
      </c>
    </row>
    <row r="68" spans="1:30" ht="12.5" x14ac:dyDescent="0.25">
      <c r="A68" s="1" t="s">
        <v>323</v>
      </c>
      <c r="B68" s="1" t="s">
        <v>324</v>
      </c>
      <c r="C68" s="1" t="str">
        <v>Cody Cox</v>
      </c>
      <c r="D68" s="1" t="s">
        <v>325</v>
      </c>
      <c r="E68" s="1" t="str">
        <v>nwolf@yahoo.com</v>
      </c>
      <c r="F68" t="str">
        <f t="shared" si="15"/>
        <v>Valid</v>
      </c>
      <c r="G68" s="1" t="s">
        <v>88</v>
      </c>
      <c r="H68" s="1" t="str">
        <f t="shared" si="16"/>
        <v>Male</v>
      </c>
      <c r="I68" s="1" t="s">
        <v>28</v>
      </c>
      <c r="J68" t="str">
        <f t="shared" si="17"/>
        <v>INDIA</v>
      </c>
      <c r="K68" s="14">
        <v>0</v>
      </c>
      <c r="L68" s="1">
        <f t="shared" si="18"/>
        <v>19</v>
      </c>
      <c r="M68" s="1" t="str">
        <f t="shared" si="19"/>
        <v>Student</v>
      </c>
      <c r="N68" s="2">
        <v>44777</v>
      </c>
      <c r="O68" s="1" t="s">
        <v>30</v>
      </c>
      <c r="P68" s="1" t="s">
        <v>31</v>
      </c>
      <c r="Q68" s="4">
        <v>24</v>
      </c>
      <c r="R68" s="13">
        <f t="shared" si="20"/>
        <v>24</v>
      </c>
      <c r="S68" s="6">
        <f t="shared" si="14"/>
        <v>0.24</v>
      </c>
      <c r="T68" s="1" t="s">
        <v>64</v>
      </c>
      <c r="U68" s="1">
        <f t="shared" si="21"/>
        <v>2</v>
      </c>
      <c r="V68" s="1">
        <f t="shared" si="22"/>
        <v>17.399999999999999</v>
      </c>
      <c r="W68" s="10" t="str">
        <f t="shared" si="23"/>
        <v>Low</v>
      </c>
      <c r="X68" s="1" t="s">
        <v>38</v>
      </c>
      <c r="Y68" s="1" t="str">
        <f t="shared" si="24"/>
        <v>No</v>
      </c>
      <c r="AA68" s="18" t="str">
        <f t="shared" si="25"/>
        <v>Invalid</v>
      </c>
      <c r="AB68" s="18" t="str">
        <f t="shared" si="26"/>
        <v>No</v>
      </c>
      <c r="AC68" s="9" t="s">
        <v>326</v>
      </c>
      <c r="AD68">
        <f>IF(AC68="",0,LEN(AC68)-LEN(SUBSTITUTE(AC68,",",""))+1)</f>
        <v>7</v>
      </c>
    </row>
    <row r="69" spans="1:30" ht="12.5" x14ac:dyDescent="0.25">
      <c r="A69" s="1" t="s">
        <v>327</v>
      </c>
      <c r="B69" s="1" t="s">
        <v>328</v>
      </c>
      <c r="C69" s="1" t="str">
        <v>Kari Johnson</v>
      </c>
      <c r="D69" s="1" t="s">
        <v>329</v>
      </c>
      <c r="E69" s="1" t="str">
        <v>lancesmith@davis-gay.com</v>
      </c>
      <c r="F69" t="str">
        <f t="shared" si="15"/>
        <v>Valid</v>
      </c>
      <c r="G69" s="1" t="s">
        <v>17</v>
      </c>
      <c r="H69" s="1" t="str">
        <f t="shared" si="16"/>
        <v>Female</v>
      </c>
      <c r="I69" s="1" t="s">
        <v>136</v>
      </c>
      <c r="J69" t="str">
        <f t="shared" si="17"/>
        <v>UK</v>
      </c>
      <c r="K69" s="14">
        <v>0</v>
      </c>
      <c r="L69" s="1">
        <f t="shared" si="18"/>
        <v>19</v>
      </c>
      <c r="M69" s="1" t="str">
        <f t="shared" si="19"/>
        <v>Student</v>
      </c>
      <c r="N69" s="2">
        <v>45481</v>
      </c>
      <c r="O69" s="1" t="s">
        <v>114</v>
      </c>
      <c r="P69" s="1" t="s">
        <v>59</v>
      </c>
      <c r="Q69" s="4">
        <v>16</v>
      </c>
      <c r="R69" s="13">
        <f t="shared" si="20"/>
        <v>16</v>
      </c>
      <c r="S69" s="6">
        <f t="shared" si="14"/>
        <v>0.16</v>
      </c>
      <c r="T69" s="1" t="s">
        <v>64</v>
      </c>
      <c r="U69" s="1">
        <f t="shared" si="21"/>
        <v>2</v>
      </c>
      <c r="V69" s="1">
        <f t="shared" si="22"/>
        <v>11.799999999999999</v>
      </c>
      <c r="W69" s="10" t="str">
        <f t="shared" si="23"/>
        <v>Low</v>
      </c>
      <c r="X69" s="1" t="s">
        <v>76</v>
      </c>
      <c r="Y69" s="1" t="str">
        <f t="shared" si="24"/>
        <v>Yes</v>
      </c>
      <c r="Z69" s="14">
        <v>5</v>
      </c>
      <c r="AA69" s="18">
        <f t="shared" si="25"/>
        <v>5</v>
      </c>
      <c r="AB69" s="18" t="str">
        <f t="shared" si="26"/>
        <v>High Performer</v>
      </c>
      <c r="AC69" s="9" t="s">
        <v>330</v>
      </c>
      <c r="AD69">
        <f>IF(AC69="",0,LEN(AC69)-LEN(SUBSTITUTE(AC69,",",""))+1)</f>
        <v>3</v>
      </c>
    </row>
    <row r="70" spans="1:30" ht="12.5" x14ac:dyDescent="0.25">
      <c r="A70" s="1" t="s">
        <v>331</v>
      </c>
      <c r="B70" s="1" t="s">
        <v>332</v>
      </c>
      <c r="C70" s="1" t="str">
        <v>Timothy Carter</v>
      </c>
      <c r="D70" s="1" t="s">
        <v>333</v>
      </c>
      <c r="E70" s="1" t="str">
        <v>edavenport@gmail.com</v>
      </c>
      <c r="F70" t="str">
        <f t="shared" si="15"/>
        <v>Valid</v>
      </c>
      <c r="G70" s="1" t="s">
        <v>17</v>
      </c>
      <c r="H70" s="1" t="str">
        <f t="shared" si="16"/>
        <v>Female</v>
      </c>
      <c r="I70" s="1" t="s">
        <v>156</v>
      </c>
      <c r="J70" t="str">
        <f t="shared" si="17"/>
        <v>IN</v>
      </c>
      <c r="K70" s="14">
        <v>0</v>
      </c>
      <c r="L70" s="1">
        <f t="shared" si="18"/>
        <v>19</v>
      </c>
      <c r="M70" s="1" t="str">
        <f t="shared" si="19"/>
        <v>Student</v>
      </c>
      <c r="N70" s="9">
        <v>45374</v>
      </c>
      <c r="O70" s="1" t="s">
        <v>170</v>
      </c>
      <c r="P70" s="1" t="s">
        <v>147</v>
      </c>
      <c r="Q70" s="4">
        <v>0.33</v>
      </c>
      <c r="R70" s="13">
        <f t="shared" si="20"/>
        <v>33</v>
      </c>
      <c r="S70" s="6">
        <f t="shared" si="14"/>
        <v>0.33</v>
      </c>
      <c r="T70" s="1">
        <v>1.5</v>
      </c>
      <c r="U70" s="1">
        <f t="shared" si="21"/>
        <v>1.5</v>
      </c>
      <c r="V70" s="1">
        <f t="shared" si="22"/>
        <v>23.549999999999997</v>
      </c>
      <c r="W70" s="10" t="str">
        <f t="shared" si="23"/>
        <v>Low</v>
      </c>
      <c r="X70" s="1" t="s">
        <v>38</v>
      </c>
      <c r="Y70" s="1" t="str">
        <f t="shared" si="24"/>
        <v>No</v>
      </c>
      <c r="Z70" s="14">
        <v>3</v>
      </c>
      <c r="AA70" s="18">
        <f t="shared" si="25"/>
        <v>3</v>
      </c>
      <c r="AB70" s="18" t="str">
        <f t="shared" si="26"/>
        <v>No</v>
      </c>
      <c r="AC70" s="9" t="s">
        <v>334</v>
      </c>
      <c r="AD70">
        <f>IF(AC70="",0,LEN(AC70)-LEN(SUBSTITUTE(AC70,",",""))+1)</f>
        <v>3</v>
      </c>
    </row>
    <row r="71" spans="1:30" ht="12.5" x14ac:dyDescent="0.25">
      <c r="A71" s="1" t="s">
        <v>335</v>
      </c>
      <c r="B71" s="1" t="s">
        <v>336</v>
      </c>
      <c r="C71" s="1" t="str">
        <v>Katie Suarez</v>
      </c>
      <c r="D71" s="1" t="s">
        <v>337</v>
      </c>
      <c r="E71" s="1" t="str">
        <v>kendra65@adams.org</v>
      </c>
      <c r="F71" t="str">
        <f t="shared" si="15"/>
        <v>Valid</v>
      </c>
      <c r="G71" s="1" t="s">
        <v>43</v>
      </c>
      <c r="H71" s="1" t="str">
        <f t="shared" si="16"/>
        <v>Female</v>
      </c>
      <c r="I71" s="1" t="s">
        <v>74</v>
      </c>
      <c r="J71" t="str">
        <f t="shared" si="17"/>
        <v>USA</v>
      </c>
      <c r="K71" s="14">
        <v>31</v>
      </c>
      <c r="L71" s="1">
        <f t="shared" si="18"/>
        <v>31</v>
      </c>
      <c r="M71" s="1" t="str">
        <f t="shared" si="19"/>
        <v>Mid Career</v>
      </c>
      <c r="N71" s="9">
        <v>45367</v>
      </c>
      <c r="O71" s="1" t="s">
        <v>75</v>
      </c>
      <c r="P71" s="1" t="s">
        <v>37</v>
      </c>
      <c r="Q71" s="4">
        <v>0.08</v>
      </c>
      <c r="R71" s="13">
        <f t="shared" si="20"/>
        <v>8</v>
      </c>
      <c r="S71" s="6">
        <f t="shared" si="14"/>
        <v>0.08</v>
      </c>
      <c r="T71" s="1">
        <v>45</v>
      </c>
      <c r="U71" s="1">
        <f t="shared" si="21"/>
        <v>45</v>
      </c>
      <c r="V71" s="1">
        <f t="shared" si="22"/>
        <v>19.100000000000001</v>
      </c>
      <c r="W71" s="10" t="str">
        <f t="shared" si="23"/>
        <v>Low</v>
      </c>
      <c r="X71" s="1">
        <v>0</v>
      </c>
      <c r="Y71" s="1" t="str">
        <f t="shared" si="24"/>
        <v>No</v>
      </c>
      <c r="Z71" s="14">
        <v>2</v>
      </c>
      <c r="AA71" s="18">
        <f t="shared" si="25"/>
        <v>2</v>
      </c>
      <c r="AB71" s="18" t="str">
        <f t="shared" si="26"/>
        <v>No</v>
      </c>
      <c r="AC71" s="9" t="s">
        <v>338</v>
      </c>
      <c r="AD71">
        <f>IF(AC71="",0,LEN(AC71)-LEN(SUBSTITUTE(AC71,",",""))+1)</f>
        <v>8</v>
      </c>
    </row>
    <row r="72" spans="1:30" ht="12.5" x14ac:dyDescent="0.25">
      <c r="A72" s="1" t="s">
        <v>339</v>
      </c>
      <c r="B72" s="1" t="s">
        <v>340</v>
      </c>
      <c r="C72" s="1" t="str">
        <v>Joshua Reed</v>
      </c>
      <c r="D72" s="1" t="s">
        <v>341</v>
      </c>
      <c r="E72" s="1" t="str">
        <v>mcantu@hotmail.com</v>
      </c>
      <c r="F72" t="str">
        <f t="shared" si="15"/>
        <v>Valid</v>
      </c>
      <c r="G72" s="1" t="s">
        <v>57</v>
      </c>
      <c r="H72" s="1" t="str">
        <f t="shared" si="16"/>
        <v>Female</v>
      </c>
      <c r="I72" s="1" t="s">
        <v>156</v>
      </c>
      <c r="J72" t="str">
        <f t="shared" si="17"/>
        <v>IN</v>
      </c>
      <c r="K72" s="14">
        <v>31</v>
      </c>
      <c r="L72" s="1">
        <f t="shared" si="18"/>
        <v>31</v>
      </c>
      <c r="M72" s="1" t="str">
        <f t="shared" si="19"/>
        <v>Mid Career</v>
      </c>
      <c r="N72" s="9">
        <v>45558</v>
      </c>
      <c r="O72" s="1" t="s">
        <v>301</v>
      </c>
      <c r="P72" s="1" t="s">
        <v>20</v>
      </c>
      <c r="Q72" s="4">
        <v>0.03</v>
      </c>
      <c r="R72" s="13">
        <f t="shared" si="20"/>
        <v>3</v>
      </c>
      <c r="S72" s="6">
        <f t="shared" si="14"/>
        <v>0.03</v>
      </c>
      <c r="T72" s="1" t="s">
        <v>46</v>
      </c>
      <c r="U72" s="1">
        <f t="shared" si="21"/>
        <v>1</v>
      </c>
      <c r="V72" s="1">
        <f t="shared" si="22"/>
        <v>2.3999999999999995</v>
      </c>
      <c r="W72" s="10" t="str">
        <f t="shared" si="23"/>
        <v>Low</v>
      </c>
      <c r="X72" s="1" t="s">
        <v>38</v>
      </c>
      <c r="Y72" s="1" t="str">
        <f t="shared" si="24"/>
        <v>No</v>
      </c>
      <c r="Z72" s="14">
        <v>1</v>
      </c>
      <c r="AA72" s="18">
        <f t="shared" si="25"/>
        <v>1</v>
      </c>
      <c r="AB72" s="18" t="str">
        <f t="shared" si="26"/>
        <v>No</v>
      </c>
      <c r="AC72" s="9" t="s">
        <v>342</v>
      </c>
      <c r="AD72">
        <f>IF(AC72="",0,LEN(AC72)-LEN(SUBSTITUTE(AC72,",",""))+1)</f>
        <v>3</v>
      </c>
    </row>
    <row r="73" spans="1:30" ht="12.5" x14ac:dyDescent="0.25">
      <c r="A73" s="1" t="s">
        <v>343</v>
      </c>
      <c r="B73" s="1" t="s">
        <v>344</v>
      </c>
      <c r="C73" s="1" t="str">
        <v>Amanda Garner</v>
      </c>
      <c r="D73" s="1" t="s">
        <v>345</v>
      </c>
      <c r="E73" s="1" t="str">
        <v>ymcneil@hotmail.com</v>
      </c>
      <c r="F73" t="str">
        <f t="shared" si="15"/>
        <v>Valid</v>
      </c>
      <c r="G73" s="1" t="s">
        <v>119</v>
      </c>
      <c r="H73" s="1" t="str">
        <f t="shared" si="16"/>
        <v>Female</v>
      </c>
      <c r="I73" s="1" t="s">
        <v>51</v>
      </c>
      <c r="J73" t="str">
        <f t="shared" si="17"/>
        <v>UK</v>
      </c>
      <c r="L73" s="1">
        <f t="shared" si="18"/>
        <v>19</v>
      </c>
      <c r="M73" s="1" t="str">
        <f t="shared" si="19"/>
        <v>Student</v>
      </c>
      <c r="N73" s="2">
        <v>45264</v>
      </c>
      <c r="O73" s="1" t="s">
        <v>30</v>
      </c>
      <c r="P73" s="1" t="s">
        <v>31</v>
      </c>
      <c r="Q73" s="4">
        <v>0.78</v>
      </c>
      <c r="R73" s="13">
        <f t="shared" si="20"/>
        <v>78</v>
      </c>
      <c r="S73" s="6">
        <f t="shared" si="14"/>
        <v>0.78</v>
      </c>
      <c r="T73" s="1" t="s">
        <v>21</v>
      </c>
      <c r="U73" s="1">
        <f t="shared" si="21"/>
        <v>1.5</v>
      </c>
      <c r="V73" s="1">
        <f t="shared" si="22"/>
        <v>55.05</v>
      </c>
      <c r="W73" s="10" t="str">
        <f t="shared" si="23"/>
        <v>Medium</v>
      </c>
      <c r="X73" s="1" t="s">
        <v>38</v>
      </c>
      <c r="Y73" s="1" t="str">
        <f t="shared" si="24"/>
        <v>No</v>
      </c>
      <c r="Z73" s="14">
        <v>6</v>
      </c>
      <c r="AA73" s="18">
        <f t="shared" si="25"/>
        <v>6</v>
      </c>
      <c r="AB73" s="18" t="str">
        <f t="shared" si="26"/>
        <v>No</v>
      </c>
      <c r="AC73" s="9" t="s">
        <v>346</v>
      </c>
      <c r="AD73">
        <f>IF(AC73="",0,LEN(AC73)-LEN(SUBSTITUTE(AC73,",",""))+1)</f>
        <v>3</v>
      </c>
    </row>
    <row r="74" spans="1:30" ht="12.5" x14ac:dyDescent="0.25">
      <c r="A74" s="1" t="s">
        <v>347</v>
      </c>
      <c r="B74" s="1" t="s">
        <v>348</v>
      </c>
      <c r="C74" s="1" t="str">
        <v>Leslie Kane</v>
      </c>
      <c r="D74" s="1" t="s">
        <v>349</v>
      </c>
      <c r="E74" s="1" t="str">
        <v>foxstephen@hotmail.com</v>
      </c>
      <c r="F74" t="str">
        <f t="shared" si="15"/>
        <v>Valid</v>
      </c>
      <c r="G74" s="1" t="s">
        <v>57</v>
      </c>
      <c r="H74" s="1" t="str">
        <f t="shared" si="16"/>
        <v>Female</v>
      </c>
      <c r="I74" s="1" t="s">
        <v>44</v>
      </c>
      <c r="J74" t="str">
        <f t="shared" si="17"/>
        <v>CANADA</v>
      </c>
      <c r="L74" s="1">
        <f t="shared" si="18"/>
        <v>19</v>
      </c>
      <c r="M74" s="1" t="str">
        <f t="shared" si="19"/>
        <v>Student</v>
      </c>
      <c r="N74" s="9">
        <v>44894</v>
      </c>
      <c r="O74" s="1" t="s">
        <v>75</v>
      </c>
      <c r="P74" s="1" t="s">
        <v>37</v>
      </c>
      <c r="Q74" s="4">
        <v>86</v>
      </c>
      <c r="R74" s="13">
        <f t="shared" si="20"/>
        <v>86</v>
      </c>
      <c r="S74" s="6">
        <f t="shared" si="14"/>
        <v>0.86</v>
      </c>
      <c r="T74" s="1" t="s">
        <v>64</v>
      </c>
      <c r="U74" s="1">
        <f t="shared" si="21"/>
        <v>2</v>
      </c>
      <c r="V74" s="1">
        <f t="shared" si="22"/>
        <v>60.8</v>
      </c>
      <c r="W74" s="10" t="str">
        <f t="shared" si="23"/>
        <v>Medium</v>
      </c>
      <c r="X74" s="1" t="s">
        <v>38</v>
      </c>
      <c r="Y74" s="1" t="str">
        <f t="shared" si="24"/>
        <v>No</v>
      </c>
      <c r="Z74" s="14">
        <v>5</v>
      </c>
      <c r="AA74" s="18">
        <f t="shared" si="25"/>
        <v>5</v>
      </c>
      <c r="AB74" s="18" t="str">
        <f t="shared" si="26"/>
        <v>No</v>
      </c>
      <c r="AC74" s="9" t="s">
        <v>350</v>
      </c>
      <c r="AD74">
        <f>IF(AC74="",0,LEN(AC74)-LEN(SUBSTITUTE(AC74,",",""))+1)</f>
        <v>1</v>
      </c>
    </row>
    <row r="75" spans="1:30" ht="12.5" x14ac:dyDescent="0.25">
      <c r="A75" s="1" t="s">
        <v>351</v>
      </c>
      <c r="B75" s="1" t="s">
        <v>352</v>
      </c>
      <c r="C75" s="1" t="str">
        <v>John Costa</v>
      </c>
      <c r="D75" s="1" t="s">
        <v>353</v>
      </c>
      <c r="E75" s="1" t="str">
        <v>vsantos@hotmail.com</v>
      </c>
      <c r="F75" t="str">
        <f t="shared" si="15"/>
        <v>Valid</v>
      </c>
      <c r="G75" s="1" t="s">
        <v>27</v>
      </c>
      <c r="H75" s="1" t="str">
        <f t="shared" si="16"/>
        <v>Male</v>
      </c>
      <c r="I75" s="1" t="s">
        <v>28</v>
      </c>
      <c r="J75" t="str">
        <f t="shared" si="17"/>
        <v>INDIA</v>
      </c>
      <c r="K75" s="14">
        <v>0</v>
      </c>
      <c r="L75" s="1">
        <f t="shared" si="18"/>
        <v>19</v>
      </c>
      <c r="M75" s="1" t="str">
        <f t="shared" si="19"/>
        <v>Student</v>
      </c>
      <c r="N75" s="9">
        <v>44881</v>
      </c>
      <c r="O75" s="1" t="s">
        <v>36</v>
      </c>
      <c r="P75" s="1" t="s">
        <v>37</v>
      </c>
      <c r="Q75" s="4">
        <v>0.48</v>
      </c>
      <c r="R75" s="13">
        <f t="shared" si="20"/>
        <v>48</v>
      </c>
      <c r="S75" s="6">
        <f t="shared" si="14"/>
        <v>0.48</v>
      </c>
      <c r="T75" s="1" t="s">
        <v>64</v>
      </c>
      <c r="U75" s="1">
        <f t="shared" si="21"/>
        <v>2</v>
      </c>
      <c r="V75" s="1">
        <f t="shared" si="22"/>
        <v>34.199999999999996</v>
      </c>
      <c r="W75" s="10" t="str">
        <f t="shared" si="23"/>
        <v>Low</v>
      </c>
      <c r="X75" s="1" t="s">
        <v>76</v>
      </c>
      <c r="Y75" s="1" t="str">
        <f t="shared" si="24"/>
        <v>Yes</v>
      </c>
      <c r="Z75" s="14">
        <v>5</v>
      </c>
      <c r="AA75" s="18">
        <f t="shared" si="25"/>
        <v>5</v>
      </c>
      <c r="AB75" s="18" t="str">
        <f t="shared" si="26"/>
        <v>High Performer</v>
      </c>
      <c r="AC75" s="9" t="s">
        <v>354</v>
      </c>
      <c r="AD75">
        <f>IF(AC75="",0,LEN(AC75)-LEN(SUBSTITUTE(AC75,",",""))+1)</f>
        <v>7</v>
      </c>
    </row>
    <row r="76" spans="1:30" ht="12.5" x14ac:dyDescent="0.25">
      <c r="A76" s="1" t="s">
        <v>355</v>
      </c>
      <c r="B76" s="1" t="s">
        <v>356</v>
      </c>
      <c r="C76" s="1" t="str">
        <v>Olivia Brennan</v>
      </c>
      <c r="D76" s="1" t="s">
        <v>357</v>
      </c>
      <c r="E76" s="1" t="str">
        <v>younggabrielle@bright-francis.biz</v>
      </c>
      <c r="F76" t="str">
        <f t="shared" si="15"/>
        <v>Valid</v>
      </c>
      <c r="G76" s="1" t="s">
        <v>57</v>
      </c>
      <c r="H76" s="1" t="str">
        <f t="shared" si="16"/>
        <v>Female</v>
      </c>
      <c r="I76" s="1" t="s">
        <v>89</v>
      </c>
      <c r="J76" t="str">
        <f t="shared" si="17"/>
        <v>GERMANY</v>
      </c>
      <c r="K76" s="14">
        <v>38</v>
      </c>
      <c r="L76" s="1">
        <f t="shared" si="18"/>
        <v>38</v>
      </c>
      <c r="M76" s="1" t="str">
        <f t="shared" si="19"/>
        <v>Mid Career</v>
      </c>
      <c r="N76" s="9">
        <v>45486</v>
      </c>
      <c r="O76" s="1" t="s">
        <v>30</v>
      </c>
      <c r="P76" s="1" t="s">
        <v>31</v>
      </c>
      <c r="Q76" s="4">
        <v>36</v>
      </c>
      <c r="R76" s="13">
        <f t="shared" si="20"/>
        <v>36</v>
      </c>
      <c r="S76" s="6">
        <f t="shared" si="14"/>
        <v>0.36</v>
      </c>
      <c r="T76" s="1">
        <v>45</v>
      </c>
      <c r="U76" s="1">
        <f t="shared" si="21"/>
        <v>45</v>
      </c>
      <c r="V76" s="1">
        <f t="shared" si="22"/>
        <v>38.700000000000003</v>
      </c>
      <c r="W76" s="10" t="str">
        <f t="shared" si="23"/>
        <v>Low</v>
      </c>
      <c r="X76" s="1">
        <v>0</v>
      </c>
      <c r="Y76" s="1" t="str">
        <f t="shared" si="24"/>
        <v>No</v>
      </c>
      <c r="Z76" s="14">
        <v>6</v>
      </c>
      <c r="AA76" s="18">
        <f t="shared" si="25"/>
        <v>6</v>
      </c>
      <c r="AB76" s="18" t="str">
        <f t="shared" si="26"/>
        <v>No</v>
      </c>
      <c r="AC76" s="9" t="s">
        <v>358</v>
      </c>
      <c r="AD76">
        <f>IF(AC76="",0,LEN(AC76)-LEN(SUBSTITUTE(AC76,",",""))+1)</f>
        <v>1</v>
      </c>
    </row>
    <row r="77" spans="1:30" ht="12.5" x14ac:dyDescent="0.25">
      <c r="A77" s="1" t="s">
        <v>359</v>
      </c>
      <c r="B77" s="1" t="s">
        <v>360</v>
      </c>
      <c r="C77" s="1" t="str">
        <v>Christopher Evans</v>
      </c>
      <c r="D77" s="1" t="s">
        <v>361</v>
      </c>
      <c r="E77" s="1" t="str">
        <v>nguyenbrian@brooks-thomas.net</v>
      </c>
      <c r="F77" t="str">
        <f t="shared" si="15"/>
        <v>Valid</v>
      </c>
      <c r="G77" s="1" t="s">
        <v>109</v>
      </c>
      <c r="H77" s="1" t="str">
        <f t="shared" si="16"/>
        <v>Male</v>
      </c>
      <c r="I77" s="1" t="s">
        <v>74</v>
      </c>
      <c r="J77" t="str">
        <f t="shared" si="17"/>
        <v>USA</v>
      </c>
      <c r="L77" s="1">
        <f t="shared" si="18"/>
        <v>19</v>
      </c>
      <c r="M77" s="1" t="str">
        <f t="shared" si="19"/>
        <v>Student</v>
      </c>
      <c r="N77" s="2">
        <v>44721</v>
      </c>
      <c r="O77" s="1" t="s">
        <v>146</v>
      </c>
      <c r="P77" s="1" t="s">
        <v>147</v>
      </c>
      <c r="Q77" s="4">
        <v>0.39</v>
      </c>
      <c r="R77" s="13">
        <f t="shared" si="20"/>
        <v>39</v>
      </c>
      <c r="S77" s="6">
        <f t="shared" si="14"/>
        <v>0.39</v>
      </c>
      <c r="T77" s="1" t="s">
        <v>46</v>
      </c>
      <c r="U77" s="1">
        <f t="shared" si="21"/>
        <v>1</v>
      </c>
      <c r="V77" s="1">
        <f t="shared" si="22"/>
        <v>27.599999999999998</v>
      </c>
      <c r="W77" s="10" t="str">
        <f t="shared" si="23"/>
        <v>Low</v>
      </c>
      <c r="X77" s="1" t="s">
        <v>22</v>
      </c>
      <c r="Y77" s="1" t="str">
        <f t="shared" si="24"/>
        <v>No</v>
      </c>
      <c r="Z77" s="14">
        <v>6</v>
      </c>
      <c r="AA77" s="18">
        <f t="shared" si="25"/>
        <v>6</v>
      </c>
      <c r="AB77" s="18" t="str">
        <f t="shared" si="26"/>
        <v>No</v>
      </c>
      <c r="AC77" s="9" t="s">
        <v>362</v>
      </c>
      <c r="AD77">
        <f>IF(AC77="",0,LEN(AC77)-LEN(SUBSTITUTE(AC77,",",""))+1)</f>
        <v>2</v>
      </c>
    </row>
    <row r="78" spans="1:30" ht="12.5" x14ac:dyDescent="0.25">
      <c r="A78" s="1" t="s">
        <v>363</v>
      </c>
      <c r="B78" s="1" t="s">
        <v>364</v>
      </c>
      <c r="C78" s="1" t="str">
        <v>Bob Pitts</v>
      </c>
      <c r="D78" s="1" t="s">
        <v>365</v>
      </c>
      <c r="E78" s="1" t="str">
        <v>jdurham@murray.info</v>
      </c>
      <c r="F78" t="str">
        <f t="shared" si="15"/>
        <v>Valid</v>
      </c>
      <c r="G78" s="1" t="s">
        <v>119</v>
      </c>
      <c r="H78" s="1" t="str">
        <f t="shared" si="16"/>
        <v>Female</v>
      </c>
      <c r="I78" s="1" t="s">
        <v>44</v>
      </c>
      <c r="J78" t="str">
        <f t="shared" si="17"/>
        <v>CANADA</v>
      </c>
      <c r="L78" s="1">
        <f t="shared" si="18"/>
        <v>19</v>
      </c>
      <c r="M78" s="1" t="str">
        <f t="shared" si="19"/>
        <v>Student</v>
      </c>
      <c r="N78" s="2">
        <v>45474</v>
      </c>
      <c r="O78" s="1" t="s">
        <v>235</v>
      </c>
      <c r="P78" s="1" t="s">
        <v>147</v>
      </c>
      <c r="Q78" s="4">
        <v>0.34</v>
      </c>
      <c r="R78" s="13">
        <f t="shared" si="20"/>
        <v>34</v>
      </c>
      <c r="S78" s="6">
        <f t="shared" si="14"/>
        <v>0.34</v>
      </c>
      <c r="T78" s="1">
        <v>45</v>
      </c>
      <c r="U78" s="1">
        <f t="shared" si="21"/>
        <v>45</v>
      </c>
      <c r="V78" s="1">
        <f t="shared" si="22"/>
        <v>37.299999999999997</v>
      </c>
      <c r="W78" s="10" t="str">
        <f t="shared" si="23"/>
        <v>Low</v>
      </c>
      <c r="X78" s="1" t="s">
        <v>38</v>
      </c>
      <c r="Y78" s="1" t="str">
        <f t="shared" si="24"/>
        <v>No</v>
      </c>
      <c r="Z78" s="14">
        <v>6</v>
      </c>
      <c r="AA78" s="18">
        <f t="shared" si="25"/>
        <v>6</v>
      </c>
      <c r="AB78" s="18" t="str">
        <f t="shared" si="26"/>
        <v>No</v>
      </c>
      <c r="AC78" s="9" t="s">
        <v>366</v>
      </c>
      <c r="AD78">
        <f>IF(AC78="",0,LEN(AC78)-LEN(SUBSTITUTE(AC78,",",""))+1)</f>
        <v>6</v>
      </c>
    </row>
    <row r="79" spans="1:30" ht="12.5" x14ac:dyDescent="0.25">
      <c r="A79" s="1" t="s">
        <v>367</v>
      </c>
      <c r="B79" s="1" t="s">
        <v>368</v>
      </c>
      <c r="C79" s="1" t="str">
        <v>Dwayne Payne</v>
      </c>
      <c r="D79" s="1" t="s">
        <v>369</v>
      </c>
      <c r="E79" s="1" t="str">
        <v>llandry@fowler-coleman.com</v>
      </c>
      <c r="F79" t="str">
        <f t="shared" si="15"/>
        <v>Valid</v>
      </c>
      <c r="G79" s="1" t="s">
        <v>88</v>
      </c>
      <c r="H79" s="1" t="str">
        <f t="shared" si="16"/>
        <v>Male</v>
      </c>
      <c r="I79" s="1" t="s">
        <v>28</v>
      </c>
      <c r="J79" t="str">
        <f t="shared" si="17"/>
        <v>INDIA</v>
      </c>
      <c r="K79" s="14">
        <v>0</v>
      </c>
      <c r="L79" s="1">
        <f t="shared" si="18"/>
        <v>19</v>
      </c>
      <c r="M79" s="1" t="str">
        <f t="shared" si="19"/>
        <v>Student</v>
      </c>
      <c r="N79" s="2">
        <v>45143</v>
      </c>
      <c r="O79" s="1" t="s">
        <v>19</v>
      </c>
      <c r="P79" s="1" t="s">
        <v>20</v>
      </c>
      <c r="Q79" s="4">
        <v>50</v>
      </c>
      <c r="R79" s="13">
        <f t="shared" si="20"/>
        <v>50</v>
      </c>
      <c r="S79" s="6">
        <f t="shared" si="14"/>
        <v>0.5</v>
      </c>
      <c r="T79" s="1" t="s">
        <v>46</v>
      </c>
      <c r="U79" s="1">
        <f t="shared" si="21"/>
        <v>1</v>
      </c>
      <c r="V79" s="1">
        <f t="shared" si="22"/>
        <v>35.299999999999997</v>
      </c>
      <c r="W79" s="10" t="str">
        <f t="shared" si="23"/>
        <v>Low</v>
      </c>
      <c r="X79" s="1" t="s">
        <v>32</v>
      </c>
      <c r="Y79" s="1" t="str">
        <f t="shared" si="24"/>
        <v>Yes</v>
      </c>
      <c r="Z79" s="14">
        <v>6</v>
      </c>
      <c r="AA79" s="18">
        <f t="shared" si="25"/>
        <v>6</v>
      </c>
      <c r="AB79" s="18" t="str">
        <f t="shared" si="26"/>
        <v>High Performer</v>
      </c>
      <c r="AC79" s="9" t="s">
        <v>370</v>
      </c>
      <c r="AD79">
        <f>IF(AC79="",0,LEN(AC79)-LEN(SUBSTITUTE(AC79,",",""))+1)</f>
        <v>4</v>
      </c>
    </row>
    <row r="80" spans="1:30" ht="12.5" x14ac:dyDescent="0.25">
      <c r="A80" s="1" t="s">
        <v>371</v>
      </c>
      <c r="B80" s="1" t="s">
        <v>372</v>
      </c>
      <c r="C80" s="1" t="str">
        <v>John Young</v>
      </c>
      <c r="D80" s="1" t="s">
        <v>127</v>
      </c>
      <c r="E80" s="1" t="str">
        <v>invalid-email</v>
      </c>
      <c r="F80" t="str">
        <f t="shared" si="15"/>
        <v>Invalid</v>
      </c>
      <c r="G80" s="1" t="s">
        <v>57</v>
      </c>
      <c r="H80" s="1" t="str">
        <f t="shared" si="16"/>
        <v>Female</v>
      </c>
      <c r="I80" s="1" t="s">
        <v>89</v>
      </c>
      <c r="J80" t="str">
        <f t="shared" si="17"/>
        <v>GERMANY</v>
      </c>
      <c r="K80" s="14">
        <v>38</v>
      </c>
      <c r="L80" s="1">
        <f t="shared" si="18"/>
        <v>38</v>
      </c>
      <c r="M80" s="1" t="str">
        <f t="shared" si="19"/>
        <v>Mid Career</v>
      </c>
      <c r="N80" s="9">
        <v>45367</v>
      </c>
      <c r="O80" s="1" t="s">
        <v>75</v>
      </c>
      <c r="P80" s="1" t="s">
        <v>37</v>
      </c>
      <c r="Q80" s="4">
        <v>13</v>
      </c>
      <c r="R80" s="13">
        <f t="shared" si="20"/>
        <v>13</v>
      </c>
      <c r="S80" s="6">
        <f t="shared" si="14"/>
        <v>0.13</v>
      </c>
      <c r="T80" s="1" t="s">
        <v>46</v>
      </c>
      <c r="U80" s="1">
        <f t="shared" si="21"/>
        <v>1</v>
      </c>
      <c r="V80" s="1">
        <f t="shared" si="22"/>
        <v>9.4</v>
      </c>
      <c r="W80" s="10" t="str">
        <f t="shared" si="23"/>
        <v>Low</v>
      </c>
      <c r="X80" s="1" t="s">
        <v>38</v>
      </c>
      <c r="Y80" s="1" t="str">
        <f t="shared" si="24"/>
        <v>No</v>
      </c>
      <c r="AA80" s="18" t="str">
        <f t="shared" si="25"/>
        <v>Invalid</v>
      </c>
      <c r="AB80" s="18" t="str">
        <f t="shared" si="26"/>
        <v>No</v>
      </c>
      <c r="AC80" s="9" t="s">
        <v>373</v>
      </c>
      <c r="AD80">
        <f>IF(AC80="",0,LEN(AC80)-LEN(SUBSTITUTE(AC80,",",""))+1)</f>
        <v>7</v>
      </c>
    </row>
    <row r="81" spans="1:30" ht="12.5" x14ac:dyDescent="0.25">
      <c r="A81" s="1" t="s">
        <v>374</v>
      </c>
      <c r="B81" s="1" t="s">
        <v>375</v>
      </c>
      <c r="C81" s="1" t="str">
        <v>Alison Greer</v>
      </c>
      <c r="D81" s="1" t="s">
        <v>376</v>
      </c>
      <c r="E81" s="1" t="str">
        <v>alan09@hotmail.com</v>
      </c>
      <c r="F81" t="str">
        <f t="shared" si="15"/>
        <v>Valid</v>
      </c>
      <c r="G81" s="1" t="s">
        <v>43</v>
      </c>
      <c r="H81" s="1" t="str">
        <f t="shared" si="16"/>
        <v>Female</v>
      </c>
      <c r="I81" s="1" t="s">
        <v>96</v>
      </c>
      <c r="J81" t="str">
        <f t="shared" si="17"/>
        <v>INDIA</v>
      </c>
      <c r="L81" s="1">
        <f t="shared" si="18"/>
        <v>19</v>
      </c>
      <c r="M81" s="1" t="str">
        <f t="shared" si="19"/>
        <v>Student</v>
      </c>
      <c r="N81" s="2">
        <v>45605</v>
      </c>
      <c r="O81" s="1" t="s">
        <v>75</v>
      </c>
      <c r="P81" s="1" t="s">
        <v>37</v>
      </c>
      <c r="Q81" s="4">
        <v>0.04</v>
      </c>
      <c r="R81" s="13">
        <f t="shared" si="20"/>
        <v>4</v>
      </c>
      <c r="S81" s="6">
        <f t="shared" si="14"/>
        <v>0.04</v>
      </c>
      <c r="T81" s="1">
        <v>1.5</v>
      </c>
      <c r="U81" s="1">
        <f t="shared" si="21"/>
        <v>1.5</v>
      </c>
      <c r="V81" s="1">
        <f t="shared" si="22"/>
        <v>3.25</v>
      </c>
      <c r="W81" s="10" t="str">
        <f t="shared" si="23"/>
        <v>Low</v>
      </c>
      <c r="X81" s="1">
        <v>0</v>
      </c>
      <c r="Y81" s="1" t="str">
        <f t="shared" si="24"/>
        <v>No</v>
      </c>
      <c r="Z81" s="14">
        <v>3</v>
      </c>
      <c r="AA81" s="18">
        <f t="shared" si="25"/>
        <v>3</v>
      </c>
      <c r="AB81" s="18" t="str">
        <f t="shared" si="26"/>
        <v>No</v>
      </c>
      <c r="AC81" s="9" t="s">
        <v>377</v>
      </c>
      <c r="AD81">
        <f>IF(AC81="",0,LEN(AC81)-LEN(SUBSTITUTE(AC81,",",""))+1)</f>
        <v>7</v>
      </c>
    </row>
    <row r="82" spans="1:30" ht="12.5" x14ac:dyDescent="0.25">
      <c r="A82" s="1" t="s">
        <v>378</v>
      </c>
      <c r="B82" s="1" t="s">
        <v>379</v>
      </c>
      <c r="C82" s="1" t="str">
        <v>Crystal Pham</v>
      </c>
      <c r="D82" s="1" t="s">
        <v>380</v>
      </c>
      <c r="E82" s="1" t="str">
        <v>christinebyrd@saunders.com</v>
      </c>
      <c r="F82" t="str">
        <f t="shared" si="15"/>
        <v>Valid</v>
      </c>
      <c r="G82" s="1" t="s">
        <v>95</v>
      </c>
      <c r="H82" s="1" t="str">
        <f t="shared" si="16"/>
        <v>Male</v>
      </c>
      <c r="I82" s="1" t="s">
        <v>156</v>
      </c>
      <c r="J82" t="str">
        <f t="shared" si="17"/>
        <v>IN</v>
      </c>
      <c r="L82" s="1">
        <f t="shared" si="18"/>
        <v>19</v>
      </c>
      <c r="M82" s="1" t="str">
        <f t="shared" si="19"/>
        <v>Student</v>
      </c>
      <c r="N82" s="9">
        <v>45429</v>
      </c>
      <c r="O82" s="1" t="s">
        <v>69</v>
      </c>
      <c r="P82" s="1" t="s">
        <v>31</v>
      </c>
      <c r="Q82" s="4">
        <v>0.62</v>
      </c>
      <c r="R82" s="13">
        <f t="shared" si="20"/>
        <v>62</v>
      </c>
      <c r="S82" s="6">
        <f t="shared" si="14"/>
        <v>0.62</v>
      </c>
      <c r="T82" s="1" t="s">
        <v>64</v>
      </c>
      <c r="U82" s="1">
        <f t="shared" si="21"/>
        <v>2</v>
      </c>
      <c r="V82" s="1">
        <f t="shared" si="22"/>
        <v>44</v>
      </c>
      <c r="W82" s="10" t="str">
        <f t="shared" si="23"/>
        <v>Medium</v>
      </c>
      <c r="X82" s="1" t="s">
        <v>22</v>
      </c>
      <c r="Y82" s="1" t="str">
        <f t="shared" si="24"/>
        <v>No</v>
      </c>
      <c r="Z82" s="14">
        <v>5</v>
      </c>
      <c r="AA82" s="18">
        <f t="shared" si="25"/>
        <v>5</v>
      </c>
      <c r="AB82" s="18" t="str">
        <f t="shared" si="26"/>
        <v>No</v>
      </c>
      <c r="AC82" s="9" t="s">
        <v>381</v>
      </c>
      <c r="AD82">
        <f>IF(AC82="",0,LEN(AC82)-LEN(SUBSTITUTE(AC82,",",""))+1)</f>
        <v>3</v>
      </c>
    </row>
    <row r="83" spans="1:30" ht="12.5" x14ac:dyDescent="0.25">
      <c r="A83" s="1" t="s">
        <v>382</v>
      </c>
      <c r="B83" s="1" t="s">
        <v>383</v>
      </c>
      <c r="C83" s="1" t="str">
        <v>Kevin Oconnor</v>
      </c>
      <c r="D83" s="1" t="s">
        <v>384</v>
      </c>
      <c r="E83" s="1" t="str">
        <v>mark62@anderson.com</v>
      </c>
      <c r="F83" t="str">
        <f t="shared" si="15"/>
        <v>Valid</v>
      </c>
      <c r="G83" s="1" t="s">
        <v>17</v>
      </c>
      <c r="H83" s="1" t="str">
        <f t="shared" si="16"/>
        <v>Female</v>
      </c>
      <c r="I83" s="1" t="s">
        <v>136</v>
      </c>
      <c r="J83" t="str">
        <f t="shared" si="17"/>
        <v>UK</v>
      </c>
      <c r="K83" s="14">
        <v>0</v>
      </c>
      <c r="L83" s="1">
        <f t="shared" si="18"/>
        <v>19</v>
      </c>
      <c r="M83" s="1" t="str">
        <f t="shared" si="19"/>
        <v>Student</v>
      </c>
      <c r="N83" s="2">
        <v>45455</v>
      </c>
      <c r="O83" s="1" t="s">
        <v>36</v>
      </c>
      <c r="P83" s="1" t="s">
        <v>37</v>
      </c>
      <c r="Q83" s="4">
        <v>82</v>
      </c>
      <c r="R83" s="13">
        <f t="shared" si="20"/>
        <v>82</v>
      </c>
      <c r="S83" s="6">
        <f t="shared" si="14"/>
        <v>0.82</v>
      </c>
      <c r="T83" s="1">
        <v>45</v>
      </c>
      <c r="U83" s="1">
        <f t="shared" si="21"/>
        <v>45</v>
      </c>
      <c r="V83" s="1">
        <f t="shared" si="22"/>
        <v>70.900000000000006</v>
      </c>
      <c r="W83" s="10" t="str">
        <f t="shared" si="23"/>
        <v>Medium</v>
      </c>
      <c r="X83" s="1">
        <v>0</v>
      </c>
      <c r="Y83" s="1" t="str">
        <f t="shared" si="24"/>
        <v>No</v>
      </c>
      <c r="Z83" s="14">
        <v>3</v>
      </c>
      <c r="AA83" s="18">
        <f t="shared" si="25"/>
        <v>3</v>
      </c>
      <c r="AB83" s="18" t="str">
        <f t="shared" si="26"/>
        <v>No</v>
      </c>
      <c r="AC83" s="9" t="s">
        <v>385</v>
      </c>
      <c r="AD83">
        <f>IF(AC83="",0,LEN(AC83)-LEN(SUBSTITUTE(AC83,",",""))+1)</f>
        <v>6</v>
      </c>
    </row>
    <row r="84" spans="1:30" ht="12.5" x14ac:dyDescent="0.25">
      <c r="A84" s="1" t="s">
        <v>386</v>
      </c>
      <c r="B84" s="1" t="s">
        <v>387</v>
      </c>
      <c r="C84" s="1" t="str">
        <v>Thomas Raymond</v>
      </c>
      <c r="D84" s="1" t="s">
        <v>388</v>
      </c>
      <c r="E84" s="1" t="str">
        <v>linda71@gmail.com</v>
      </c>
      <c r="F84" t="str">
        <f t="shared" si="15"/>
        <v>Valid</v>
      </c>
      <c r="G84" s="1" t="s">
        <v>43</v>
      </c>
      <c r="H84" s="1" t="str">
        <f t="shared" si="16"/>
        <v>Female</v>
      </c>
      <c r="I84" s="1" t="s">
        <v>89</v>
      </c>
      <c r="J84" t="str">
        <f t="shared" si="17"/>
        <v>GERMANY</v>
      </c>
      <c r="K84" s="14">
        <v>44</v>
      </c>
      <c r="L84" s="1">
        <f t="shared" si="18"/>
        <v>44</v>
      </c>
      <c r="M84" s="1" t="str">
        <f t="shared" si="19"/>
        <v>Senior</v>
      </c>
      <c r="N84" s="2">
        <v>45542</v>
      </c>
      <c r="O84" s="1" t="s">
        <v>90</v>
      </c>
      <c r="P84" s="1" t="s">
        <v>31</v>
      </c>
      <c r="Q84" s="4">
        <v>0.16</v>
      </c>
      <c r="R84" s="13">
        <f t="shared" si="20"/>
        <v>16</v>
      </c>
      <c r="S84" s="6">
        <f t="shared" si="14"/>
        <v>0.16</v>
      </c>
      <c r="T84" s="1">
        <v>2</v>
      </c>
      <c r="U84" s="1">
        <f t="shared" si="21"/>
        <v>2</v>
      </c>
      <c r="V84" s="1">
        <f t="shared" si="22"/>
        <v>11.799999999999999</v>
      </c>
      <c r="W84" s="10" t="str">
        <f t="shared" si="23"/>
        <v>Low</v>
      </c>
      <c r="X84" s="1" t="s">
        <v>22</v>
      </c>
      <c r="Y84" s="1" t="str">
        <f t="shared" si="24"/>
        <v>No</v>
      </c>
      <c r="Z84" s="14">
        <v>6</v>
      </c>
      <c r="AA84" s="18">
        <f t="shared" si="25"/>
        <v>6</v>
      </c>
      <c r="AB84" s="18" t="str">
        <f t="shared" si="26"/>
        <v>No</v>
      </c>
      <c r="AC84" s="9">
        <v>45542</v>
      </c>
      <c r="AD84">
        <f>IF(AC84="",0,LEN(AC84)-LEN(SUBSTITUTE(AC84,",",""))+1)</f>
        <v>1</v>
      </c>
    </row>
    <row r="85" spans="1:30" ht="12.5" x14ac:dyDescent="0.25">
      <c r="A85" s="1" t="s">
        <v>389</v>
      </c>
      <c r="B85" s="1" t="s">
        <v>390</v>
      </c>
      <c r="C85" s="1" t="str">
        <v>Tracy Ballard</v>
      </c>
      <c r="D85" s="1" t="s">
        <v>391</v>
      </c>
      <c r="E85" s="1" t="str">
        <v>gibbsalexander@hotmail.com</v>
      </c>
      <c r="F85" t="str">
        <f t="shared" si="15"/>
        <v>Valid</v>
      </c>
      <c r="G85" s="1" t="s">
        <v>95</v>
      </c>
      <c r="H85" s="1" t="str">
        <f t="shared" si="16"/>
        <v>Male</v>
      </c>
      <c r="I85" s="1" t="s">
        <v>51</v>
      </c>
      <c r="J85" t="str">
        <f t="shared" si="17"/>
        <v>UK</v>
      </c>
      <c r="L85" s="1">
        <f t="shared" si="18"/>
        <v>19</v>
      </c>
      <c r="M85" s="1" t="str">
        <f t="shared" si="19"/>
        <v>Student</v>
      </c>
      <c r="N85" s="9">
        <v>45008</v>
      </c>
      <c r="O85" s="1" t="s">
        <v>90</v>
      </c>
      <c r="P85" s="1" t="s">
        <v>31</v>
      </c>
      <c r="Q85" s="4">
        <v>69</v>
      </c>
      <c r="R85" s="13">
        <f t="shared" si="20"/>
        <v>69</v>
      </c>
      <c r="S85" s="6">
        <f t="shared" si="14"/>
        <v>0.69</v>
      </c>
      <c r="T85" s="1" t="s">
        <v>21</v>
      </c>
      <c r="U85" s="1">
        <f t="shared" si="21"/>
        <v>1.5</v>
      </c>
      <c r="V85" s="1">
        <f t="shared" si="22"/>
        <v>48.75</v>
      </c>
      <c r="W85" s="10" t="str">
        <f t="shared" si="23"/>
        <v>Medium</v>
      </c>
      <c r="X85" s="1" t="s">
        <v>22</v>
      </c>
      <c r="Y85" s="1" t="str">
        <f t="shared" si="24"/>
        <v>No</v>
      </c>
      <c r="Z85" s="14">
        <v>3</v>
      </c>
      <c r="AA85" s="18">
        <f t="shared" si="25"/>
        <v>3</v>
      </c>
      <c r="AB85" s="18" t="str">
        <f t="shared" si="26"/>
        <v>No</v>
      </c>
      <c r="AC85" s="9" t="s">
        <v>392</v>
      </c>
      <c r="AD85">
        <f>IF(AC85="",0,LEN(AC85)-LEN(SUBSTITUTE(AC85,",",""))+1)</f>
        <v>5</v>
      </c>
    </row>
    <row r="86" spans="1:30" ht="12.5" x14ac:dyDescent="0.25">
      <c r="A86" s="1" t="s">
        <v>393</v>
      </c>
      <c r="B86" s="1" t="s">
        <v>394</v>
      </c>
      <c r="C86" s="1" t="str">
        <v>Lauren Carson</v>
      </c>
      <c r="D86" s="1" t="s">
        <v>395</v>
      </c>
      <c r="E86" s="1" t="str">
        <v>leonardthomas@hotmail.com</v>
      </c>
      <c r="F86" t="str">
        <f t="shared" si="15"/>
        <v>Valid</v>
      </c>
      <c r="G86" s="1" t="s">
        <v>17</v>
      </c>
      <c r="H86" s="1" t="str">
        <f t="shared" si="16"/>
        <v>Female</v>
      </c>
      <c r="I86" s="1" t="s">
        <v>136</v>
      </c>
      <c r="J86" t="str">
        <f t="shared" si="17"/>
        <v>UK</v>
      </c>
      <c r="L86" s="1">
        <f t="shared" si="18"/>
        <v>19</v>
      </c>
      <c r="M86" s="1" t="str">
        <f t="shared" si="19"/>
        <v>Student</v>
      </c>
      <c r="N86" s="9">
        <v>44849</v>
      </c>
      <c r="O86" s="1" t="s">
        <v>69</v>
      </c>
      <c r="P86" s="1" t="s">
        <v>31</v>
      </c>
      <c r="Q86" s="4">
        <v>0.16</v>
      </c>
      <c r="R86" s="13">
        <f t="shared" si="20"/>
        <v>16</v>
      </c>
      <c r="S86" s="6">
        <f t="shared" si="14"/>
        <v>0.16</v>
      </c>
      <c r="T86" s="1" t="s">
        <v>21</v>
      </c>
      <c r="U86" s="1">
        <f t="shared" si="21"/>
        <v>1.5</v>
      </c>
      <c r="V86" s="1">
        <f t="shared" si="22"/>
        <v>11.649999999999999</v>
      </c>
      <c r="W86" s="10" t="str">
        <f t="shared" si="23"/>
        <v>Low</v>
      </c>
      <c r="X86" s="1" t="s">
        <v>76</v>
      </c>
      <c r="Y86" s="1" t="str">
        <f t="shared" si="24"/>
        <v>Yes</v>
      </c>
      <c r="AA86" s="18" t="str">
        <f t="shared" si="25"/>
        <v>Invalid</v>
      </c>
      <c r="AB86" s="18" t="str">
        <f t="shared" si="26"/>
        <v>High Performer</v>
      </c>
      <c r="AC86" s="9" t="s">
        <v>396</v>
      </c>
      <c r="AD86">
        <f>IF(AC86="",0,LEN(AC86)-LEN(SUBSTITUTE(AC86,",",""))+1)</f>
        <v>1</v>
      </c>
    </row>
    <row r="87" spans="1:30" ht="12.5" x14ac:dyDescent="0.25">
      <c r="A87" s="1" t="s">
        <v>397</v>
      </c>
      <c r="B87" s="1" t="s">
        <v>398</v>
      </c>
      <c r="C87" s="1" t="str">
        <v>Madison Marshall</v>
      </c>
      <c r="D87" s="1" t="s">
        <v>399</v>
      </c>
      <c r="E87" s="1" t="str">
        <v>cwilson@gmail.com</v>
      </c>
      <c r="F87" t="str">
        <f t="shared" si="15"/>
        <v>Valid</v>
      </c>
      <c r="G87" s="1" t="s">
        <v>95</v>
      </c>
      <c r="H87" s="1" t="str">
        <f t="shared" si="16"/>
        <v>Male</v>
      </c>
      <c r="I87" s="1" t="s">
        <v>28</v>
      </c>
      <c r="J87" t="str">
        <f t="shared" si="17"/>
        <v>INDIA</v>
      </c>
      <c r="L87" s="1">
        <f t="shared" si="18"/>
        <v>19</v>
      </c>
      <c r="M87" s="1" t="str">
        <f t="shared" si="19"/>
        <v>Student</v>
      </c>
      <c r="N87" s="9">
        <v>45530</v>
      </c>
      <c r="O87" s="1" t="s">
        <v>114</v>
      </c>
      <c r="P87" s="1" t="s">
        <v>59</v>
      </c>
      <c r="Q87" s="4">
        <v>1</v>
      </c>
      <c r="R87" s="13">
        <f t="shared" si="20"/>
        <v>100</v>
      </c>
      <c r="S87" s="6">
        <f t="shared" si="14"/>
        <v>1</v>
      </c>
      <c r="T87" s="1">
        <v>45</v>
      </c>
      <c r="U87" s="1">
        <f t="shared" si="21"/>
        <v>45</v>
      </c>
      <c r="V87" s="1">
        <f t="shared" si="22"/>
        <v>83.5</v>
      </c>
      <c r="W87" s="10" t="str">
        <f t="shared" si="23"/>
        <v>High</v>
      </c>
      <c r="X87" s="1" t="s">
        <v>76</v>
      </c>
      <c r="Y87" s="1" t="str">
        <f t="shared" si="24"/>
        <v>Yes</v>
      </c>
      <c r="Z87" s="14">
        <v>6</v>
      </c>
      <c r="AA87" s="18">
        <f t="shared" si="25"/>
        <v>6</v>
      </c>
      <c r="AB87" s="18" t="str">
        <f t="shared" si="26"/>
        <v>High Performer</v>
      </c>
      <c r="AC87" s="9" t="s">
        <v>400</v>
      </c>
      <c r="AD87">
        <f>IF(AC87="",0,LEN(AC87)-LEN(SUBSTITUTE(AC87,",",""))+1)</f>
        <v>4</v>
      </c>
    </row>
    <row r="88" spans="1:30" ht="12.5" x14ac:dyDescent="0.25">
      <c r="A88" s="1" t="s">
        <v>401</v>
      </c>
      <c r="B88" s="1" t="s">
        <v>402</v>
      </c>
      <c r="C88" s="1" t="str">
        <v>Joshua Price</v>
      </c>
      <c r="D88" s="1" t="s">
        <v>403</v>
      </c>
      <c r="E88" s="1" t="str">
        <v>umatthews@gmail.com</v>
      </c>
      <c r="F88" t="str">
        <f t="shared" si="15"/>
        <v>Valid</v>
      </c>
      <c r="G88" s="1" t="s">
        <v>57</v>
      </c>
      <c r="H88" s="1" t="str">
        <f t="shared" si="16"/>
        <v>Female</v>
      </c>
      <c r="I88" s="1" t="s">
        <v>18</v>
      </c>
      <c r="J88" t="str">
        <f t="shared" si="17"/>
        <v>US</v>
      </c>
      <c r="K88" s="14">
        <v>0</v>
      </c>
      <c r="L88" s="1">
        <f t="shared" si="18"/>
        <v>19</v>
      </c>
      <c r="M88" s="1" t="str">
        <f t="shared" si="19"/>
        <v>Student</v>
      </c>
      <c r="N88" s="9">
        <v>45130</v>
      </c>
      <c r="O88" s="1" t="s">
        <v>114</v>
      </c>
      <c r="P88" s="1" t="s">
        <v>59</v>
      </c>
      <c r="Q88" s="4">
        <v>41</v>
      </c>
      <c r="R88" s="13">
        <f t="shared" si="20"/>
        <v>41</v>
      </c>
      <c r="S88" s="6">
        <f t="shared" si="14"/>
        <v>0.41</v>
      </c>
      <c r="T88" s="1">
        <v>1.5</v>
      </c>
      <c r="U88" s="1">
        <f t="shared" si="21"/>
        <v>1.5</v>
      </c>
      <c r="V88" s="1">
        <f t="shared" si="22"/>
        <v>29.15</v>
      </c>
      <c r="W88" s="10" t="str">
        <f t="shared" si="23"/>
        <v>Low</v>
      </c>
      <c r="X88" s="1">
        <v>1</v>
      </c>
      <c r="Y88" s="1" t="str">
        <f t="shared" si="24"/>
        <v>Yes</v>
      </c>
      <c r="Z88" s="14">
        <v>5</v>
      </c>
      <c r="AA88" s="18">
        <f t="shared" si="25"/>
        <v>5</v>
      </c>
      <c r="AB88" s="18" t="str">
        <f t="shared" si="26"/>
        <v>High Performer</v>
      </c>
      <c r="AC88" s="9" t="s">
        <v>405</v>
      </c>
      <c r="AD88">
        <f>IF(AC88="",0,LEN(AC88)-LEN(SUBSTITUTE(AC88,",",""))+1)</f>
        <v>8</v>
      </c>
    </row>
    <row r="89" spans="1:30" ht="12.5" x14ac:dyDescent="0.25">
      <c r="A89" s="1" t="s">
        <v>406</v>
      </c>
      <c r="B89" s="1" t="s">
        <v>407</v>
      </c>
      <c r="C89" s="1" t="str">
        <v>Teresa Ramirez</v>
      </c>
      <c r="D89" s="1" t="s">
        <v>408</v>
      </c>
      <c r="E89" s="1" t="str">
        <v>scottsampson@yahoo.com</v>
      </c>
      <c r="F89" t="str">
        <f t="shared" si="15"/>
        <v>Valid</v>
      </c>
      <c r="G89" s="1" t="s">
        <v>43</v>
      </c>
      <c r="H89" s="1" t="str">
        <f t="shared" si="16"/>
        <v>Female</v>
      </c>
      <c r="I89" s="1" t="s">
        <v>18</v>
      </c>
      <c r="J89" t="str">
        <f t="shared" si="17"/>
        <v>US</v>
      </c>
      <c r="K89" s="14">
        <v>32</v>
      </c>
      <c r="L89" s="1">
        <f t="shared" si="18"/>
        <v>32</v>
      </c>
      <c r="M89" s="1" t="str">
        <f t="shared" si="19"/>
        <v>Mid Career</v>
      </c>
      <c r="N89" s="2">
        <v>45597</v>
      </c>
      <c r="O89" s="1" t="s">
        <v>69</v>
      </c>
      <c r="P89" s="1" t="s">
        <v>31</v>
      </c>
      <c r="Q89" s="4">
        <v>0.83</v>
      </c>
      <c r="R89" s="13">
        <f t="shared" si="20"/>
        <v>83</v>
      </c>
      <c r="S89" s="6">
        <f t="shared" si="14"/>
        <v>0.83</v>
      </c>
      <c r="T89" s="1" t="s">
        <v>46</v>
      </c>
      <c r="U89" s="1">
        <f t="shared" si="21"/>
        <v>1</v>
      </c>
      <c r="V89" s="1">
        <f t="shared" si="22"/>
        <v>58.399999999999991</v>
      </c>
      <c r="W89" s="10" t="str">
        <f t="shared" si="23"/>
        <v>Medium</v>
      </c>
      <c r="X89" s="1" t="s">
        <v>38</v>
      </c>
      <c r="Y89" s="1" t="str">
        <f t="shared" si="24"/>
        <v>No</v>
      </c>
      <c r="AA89" s="18" t="str">
        <f t="shared" si="25"/>
        <v>Invalid</v>
      </c>
      <c r="AB89" s="18" t="str">
        <f t="shared" si="26"/>
        <v>No</v>
      </c>
      <c r="AC89" s="9" t="s">
        <v>409</v>
      </c>
      <c r="AD89">
        <f>IF(AC89="",0,LEN(AC89)-LEN(SUBSTITUTE(AC89,",",""))+1)</f>
        <v>2</v>
      </c>
    </row>
    <row r="90" spans="1:30" ht="12.5" x14ac:dyDescent="0.25">
      <c r="A90" s="1" t="s">
        <v>410</v>
      </c>
      <c r="B90" s="1" t="s">
        <v>411</v>
      </c>
      <c r="C90" s="1" t="str">
        <v>Maria Brown</v>
      </c>
      <c r="D90" s="1" t="s">
        <v>412</v>
      </c>
      <c r="E90" s="1" t="str">
        <v>tammyrush@yahoo.com</v>
      </c>
      <c r="F90" t="str">
        <f t="shared" si="15"/>
        <v>Valid</v>
      </c>
      <c r="G90" s="1" t="s">
        <v>119</v>
      </c>
      <c r="H90" s="1" t="str">
        <f t="shared" si="16"/>
        <v>Female</v>
      </c>
      <c r="I90" s="1" t="s">
        <v>74</v>
      </c>
      <c r="J90" t="str">
        <f t="shared" si="17"/>
        <v>USA</v>
      </c>
      <c r="K90" s="14">
        <v>20</v>
      </c>
      <c r="L90" s="1">
        <f t="shared" si="18"/>
        <v>20</v>
      </c>
      <c r="M90" s="1" t="str">
        <f t="shared" si="19"/>
        <v>Student</v>
      </c>
      <c r="N90" s="2">
        <v>44782</v>
      </c>
      <c r="O90" s="1" t="s">
        <v>58</v>
      </c>
      <c r="P90" s="1" t="s">
        <v>59</v>
      </c>
      <c r="Q90" s="4">
        <v>0.85</v>
      </c>
      <c r="R90" s="13">
        <f t="shared" si="20"/>
        <v>85</v>
      </c>
      <c r="S90" s="6">
        <f t="shared" si="14"/>
        <v>0.85</v>
      </c>
      <c r="T90" s="1">
        <v>2</v>
      </c>
      <c r="U90" s="1">
        <f t="shared" si="21"/>
        <v>2</v>
      </c>
      <c r="V90" s="1">
        <f t="shared" si="22"/>
        <v>60.099999999999994</v>
      </c>
      <c r="W90" s="10" t="str">
        <f t="shared" si="23"/>
        <v>Medium</v>
      </c>
      <c r="X90" s="1" t="s">
        <v>76</v>
      </c>
      <c r="Y90" s="1" t="str">
        <f t="shared" si="24"/>
        <v>Yes</v>
      </c>
      <c r="Z90" s="14">
        <v>3</v>
      </c>
      <c r="AA90" s="18">
        <f t="shared" si="25"/>
        <v>3</v>
      </c>
      <c r="AB90" s="18" t="str">
        <f t="shared" si="26"/>
        <v>No</v>
      </c>
      <c r="AC90" s="9" t="s">
        <v>413</v>
      </c>
      <c r="AD90">
        <f>IF(AC90="",0,LEN(AC90)-LEN(SUBSTITUTE(AC90,",",""))+1)</f>
        <v>2</v>
      </c>
    </row>
    <row r="91" spans="1:30" ht="12.5" x14ac:dyDescent="0.25">
      <c r="A91" s="1" t="s">
        <v>414</v>
      </c>
      <c r="B91" s="1" t="s">
        <v>415</v>
      </c>
      <c r="C91" s="1" t="str">
        <v>Alison Buchanan</v>
      </c>
      <c r="D91" s="1" t="s">
        <v>416</v>
      </c>
      <c r="E91" s="1" t="str">
        <v>kristinharris@clark.com</v>
      </c>
      <c r="F91" t="str">
        <f t="shared" si="15"/>
        <v>Valid</v>
      </c>
      <c r="G91" s="1" t="s">
        <v>88</v>
      </c>
      <c r="H91" s="1" t="str">
        <f t="shared" si="16"/>
        <v>Male</v>
      </c>
      <c r="I91" s="1" t="s">
        <v>28</v>
      </c>
      <c r="J91" t="str">
        <f t="shared" si="17"/>
        <v>INDIA</v>
      </c>
      <c r="K91" s="14">
        <v>0</v>
      </c>
      <c r="L91" s="1">
        <f t="shared" si="18"/>
        <v>19</v>
      </c>
      <c r="M91" s="1" t="str">
        <f t="shared" si="19"/>
        <v>Student</v>
      </c>
      <c r="N91" s="9">
        <v>44800</v>
      </c>
      <c r="O91" s="1" t="s">
        <v>36</v>
      </c>
      <c r="P91" s="1" t="s">
        <v>37</v>
      </c>
      <c r="Q91" s="4">
        <v>71</v>
      </c>
      <c r="R91" s="13">
        <f t="shared" si="20"/>
        <v>71</v>
      </c>
      <c r="S91" s="6">
        <f t="shared" si="14"/>
        <v>0.71</v>
      </c>
      <c r="T91" s="1">
        <v>45</v>
      </c>
      <c r="U91" s="1">
        <f t="shared" si="21"/>
        <v>45</v>
      </c>
      <c r="V91" s="1">
        <f t="shared" si="22"/>
        <v>63.199999999999996</v>
      </c>
      <c r="W91" s="10" t="str">
        <f t="shared" si="23"/>
        <v>Medium</v>
      </c>
      <c r="X91" s="1" t="s">
        <v>76</v>
      </c>
      <c r="Y91" s="1" t="str">
        <f t="shared" si="24"/>
        <v>Yes</v>
      </c>
      <c r="Z91" s="14">
        <v>3</v>
      </c>
      <c r="AA91" s="18">
        <f t="shared" si="25"/>
        <v>3</v>
      </c>
      <c r="AB91" s="18" t="str">
        <f t="shared" si="26"/>
        <v>No</v>
      </c>
      <c r="AC91" s="9" t="s">
        <v>417</v>
      </c>
      <c r="AD91">
        <f>IF(AC91="",0,LEN(AC91)-LEN(SUBSTITUTE(AC91,",",""))+1)</f>
        <v>1</v>
      </c>
    </row>
    <row r="92" spans="1:30" ht="12.5" x14ac:dyDescent="0.25">
      <c r="A92" s="1" t="s">
        <v>418</v>
      </c>
      <c r="B92" s="1" t="s">
        <v>419</v>
      </c>
      <c r="C92" s="1" t="str">
        <v>William Huerta</v>
      </c>
      <c r="D92" s="1" t="s">
        <v>420</v>
      </c>
      <c r="E92" s="1" t="str">
        <v>danieldelacruz@gmail.com</v>
      </c>
      <c r="F92" t="str">
        <f t="shared" si="15"/>
        <v>Valid</v>
      </c>
      <c r="G92" s="1" t="s">
        <v>57</v>
      </c>
      <c r="H92" s="1" t="str">
        <f t="shared" si="16"/>
        <v>Female</v>
      </c>
      <c r="I92" s="1" t="s">
        <v>74</v>
      </c>
      <c r="J92" t="str">
        <f t="shared" si="17"/>
        <v>USA</v>
      </c>
      <c r="L92" s="1">
        <f t="shared" si="18"/>
        <v>19</v>
      </c>
      <c r="M92" s="1" t="str">
        <f t="shared" si="19"/>
        <v>Student</v>
      </c>
      <c r="N92" s="9">
        <v>44887</v>
      </c>
      <c r="O92" s="1" t="s">
        <v>30</v>
      </c>
      <c r="P92" s="1" t="s">
        <v>31</v>
      </c>
      <c r="Q92" s="4">
        <v>0.28000000000000003</v>
      </c>
      <c r="R92" s="13">
        <f t="shared" si="20"/>
        <v>28.000000000000004</v>
      </c>
      <c r="S92" s="6">
        <f t="shared" si="14"/>
        <v>0.28000000000000003</v>
      </c>
      <c r="T92" s="1" t="s">
        <v>21</v>
      </c>
      <c r="U92" s="1">
        <f t="shared" si="21"/>
        <v>1.5</v>
      </c>
      <c r="V92" s="1">
        <f t="shared" si="22"/>
        <v>20.05</v>
      </c>
      <c r="W92" s="10" t="str">
        <f t="shared" si="23"/>
        <v>Low</v>
      </c>
      <c r="X92" s="1" t="s">
        <v>38</v>
      </c>
      <c r="Y92" s="1" t="str">
        <f t="shared" si="24"/>
        <v>No</v>
      </c>
      <c r="Z92" s="14">
        <v>6</v>
      </c>
      <c r="AA92" s="18">
        <f t="shared" si="25"/>
        <v>6</v>
      </c>
      <c r="AB92" s="18" t="str">
        <f t="shared" si="26"/>
        <v>No</v>
      </c>
      <c r="AC92" s="9" t="s">
        <v>421</v>
      </c>
      <c r="AD92">
        <f>IF(AC92="",0,LEN(AC92)-LEN(SUBSTITUTE(AC92,",",""))+1)</f>
        <v>4</v>
      </c>
    </row>
    <row r="93" spans="1:30" ht="12.5" x14ac:dyDescent="0.25">
      <c r="A93" s="1" t="s">
        <v>422</v>
      </c>
      <c r="B93" s="1" t="s">
        <v>423</v>
      </c>
      <c r="C93" s="1" t="str">
        <v>Alexis Baker</v>
      </c>
      <c r="D93" s="1" t="s">
        <v>424</v>
      </c>
      <c r="E93" s="1" t="str">
        <v>vfox@alvarez.net</v>
      </c>
      <c r="F93" t="str">
        <f t="shared" si="15"/>
        <v>Valid</v>
      </c>
      <c r="G93" s="1" t="s">
        <v>27</v>
      </c>
      <c r="H93" s="1" t="str">
        <f t="shared" si="16"/>
        <v>Male</v>
      </c>
      <c r="I93" s="1" t="s">
        <v>156</v>
      </c>
      <c r="J93" t="str">
        <f t="shared" si="17"/>
        <v>IN</v>
      </c>
      <c r="K93" s="14">
        <v>29</v>
      </c>
      <c r="L93" s="1">
        <f t="shared" si="18"/>
        <v>29</v>
      </c>
      <c r="M93" s="1" t="str">
        <f t="shared" si="19"/>
        <v>Early Career</v>
      </c>
      <c r="N93" s="9">
        <v>44681</v>
      </c>
      <c r="O93" s="1" t="s">
        <v>30</v>
      </c>
      <c r="P93" s="1" t="s">
        <v>31</v>
      </c>
      <c r="Q93" s="4">
        <v>88</v>
      </c>
      <c r="R93" s="13">
        <f t="shared" si="20"/>
        <v>88</v>
      </c>
      <c r="S93" s="6">
        <f t="shared" si="14"/>
        <v>0.88</v>
      </c>
      <c r="T93" s="1">
        <v>45</v>
      </c>
      <c r="U93" s="1">
        <f t="shared" si="21"/>
        <v>45</v>
      </c>
      <c r="V93" s="1">
        <f t="shared" si="22"/>
        <v>75.099999999999994</v>
      </c>
      <c r="W93" s="10" t="str">
        <f t="shared" si="23"/>
        <v>High</v>
      </c>
      <c r="X93" s="1" t="s">
        <v>22</v>
      </c>
      <c r="Y93" s="1" t="str">
        <f t="shared" si="24"/>
        <v>No</v>
      </c>
      <c r="Z93" s="14">
        <v>3</v>
      </c>
      <c r="AA93" s="18">
        <f t="shared" si="25"/>
        <v>3</v>
      </c>
      <c r="AB93" s="18" t="str">
        <f t="shared" si="26"/>
        <v>No</v>
      </c>
      <c r="AC93" s="9" t="s">
        <v>425</v>
      </c>
      <c r="AD93">
        <f>IF(AC93="",0,LEN(AC93)-LEN(SUBSTITUTE(AC93,",",""))+1)</f>
        <v>1</v>
      </c>
    </row>
    <row r="94" spans="1:30" ht="12.5" x14ac:dyDescent="0.25">
      <c r="A94" s="1" t="s">
        <v>426</v>
      </c>
      <c r="B94" s="1" t="s">
        <v>427</v>
      </c>
      <c r="C94" s="1" t="str">
        <v>Amanda Logan</v>
      </c>
      <c r="D94" s="1" t="s">
        <v>428</v>
      </c>
      <c r="E94" s="1" t="str">
        <v>bschneider@gmail.com</v>
      </c>
      <c r="F94" t="str">
        <f t="shared" si="15"/>
        <v>Valid</v>
      </c>
      <c r="G94" s="1" t="s">
        <v>88</v>
      </c>
      <c r="H94" s="1" t="str">
        <f t="shared" si="16"/>
        <v>Male</v>
      </c>
      <c r="I94" s="1" t="s">
        <v>18</v>
      </c>
      <c r="J94" t="str">
        <f t="shared" si="17"/>
        <v>US</v>
      </c>
      <c r="L94" s="1">
        <f t="shared" si="18"/>
        <v>19</v>
      </c>
      <c r="M94" s="1" t="str">
        <f t="shared" si="19"/>
        <v>Student</v>
      </c>
      <c r="N94" s="9">
        <v>45580</v>
      </c>
      <c r="O94" s="1" t="s">
        <v>30</v>
      </c>
      <c r="P94" s="1" t="s">
        <v>31</v>
      </c>
      <c r="Q94" s="4">
        <v>0.81</v>
      </c>
      <c r="R94" s="13">
        <f t="shared" si="20"/>
        <v>81</v>
      </c>
      <c r="S94" s="6">
        <f t="shared" si="14"/>
        <v>0.81</v>
      </c>
      <c r="T94" s="1">
        <v>1.5</v>
      </c>
      <c r="U94" s="1">
        <f t="shared" si="21"/>
        <v>1.5</v>
      </c>
      <c r="V94" s="1">
        <f t="shared" si="22"/>
        <v>57.15</v>
      </c>
      <c r="W94" s="10" t="str">
        <f t="shared" si="23"/>
        <v>Medium</v>
      </c>
      <c r="X94" s="1" t="s">
        <v>32</v>
      </c>
      <c r="Y94" s="1" t="str">
        <f t="shared" si="24"/>
        <v>Yes</v>
      </c>
      <c r="Z94" s="14">
        <v>1</v>
      </c>
      <c r="AA94" s="18">
        <f t="shared" si="25"/>
        <v>1</v>
      </c>
      <c r="AB94" s="18" t="str">
        <f t="shared" si="26"/>
        <v>No</v>
      </c>
      <c r="AC94" s="9" t="s">
        <v>429</v>
      </c>
      <c r="AD94">
        <f>IF(AC94="",0,LEN(AC94)-LEN(SUBSTITUTE(AC94,",",""))+1)</f>
        <v>7</v>
      </c>
    </row>
    <row r="95" spans="1:30" ht="12.5" x14ac:dyDescent="0.25">
      <c r="A95" s="1" t="s">
        <v>430</v>
      </c>
      <c r="B95" s="1" t="s">
        <v>431</v>
      </c>
      <c r="C95" s="1" t="str">
        <v>Micheal Wallace</v>
      </c>
      <c r="D95" s="1" t="s">
        <v>432</v>
      </c>
      <c r="E95" s="1" t="str">
        <v>charlene12@weber-richards.com</v>
      </c>
      <c r="F95" t="str">
        <f t="shared" si="15"/>
        <v>Valid</v>
      </c>
      <c r="G95" s="1" t="s">
        <v>119</v>
      </c>
      <c r="H95" s="1" t="str">
        <f t="shared" si="16"/>
        <v>Female</v>
      </c>
      <c r="I95" s="1" t="s">
        <v>18</v>
      </c>
      <c r="J95" t="str">
        <f t="shared" si="17"/>
        <v>US</v>
      </c>
      <c r="K95" s="14">
        <v>0</v>
      </c>
      <c r="L95" s="1">
        <f t="shared" si="18"/>
        <v>19</v>
      </c>
      <c r="M95" s="1" t="str">
        <f t="shared" si="19"/>
        <v>Student</v>
      </c>
      <c r="N95" s="9">
        <v>45402</v>
      </c>
      <c r="O95" s="1" t="s">
        <v>75</v>
      </c>
      <c r="P95" s="1" t="s">
        <v>37</v>
      </c>
      <c r="Q95" s="4">
        <v>0.96</v>
      </c>
      <c r="R95" s="13">
        <f t="shared" si="20"/>
        <v>96</v>
      </c>
      <c r="S95" s="6">
        <f t="shared" si="14"/>
        <v>0.96</v>
      </c>
      <c r="T95" s="1">
        <v>1.5</v>
      </c>
      <c r="U95" s="1">
        <f t="shared" si="21"/>
        <v>1.5</v>
      </c>
      <c r="V95" s="1">
        <f t="shared" si="22"/>
        <v>67.649999999999991</v>
      </c>
      <c r="W95" s="10" t="str">
        <f t="shared" si="23"/>
        <v>Medium</v>
      </c>
      <c r="X95" s="1" t="s">
        <v>32</v>
      </c>
      <c r="Y95" s="1" t="str">
        <f t="shared" si="24"/>
        <v>Yes</v>
      </c>
      <c r="Z95" s="14">
        <v>5</v>
      </c>
      <c r="AA95" s="18">
        <f t="shared" si="25"/>
        <v>5</v>
      </c>
      <c r="AB95" s="18" t="str">
        <f t="shared" si="26"/>
        <v>High Performer</v>
      </c>
      <c r="AC95" s="9" t="s">
        <v>433</v>
      </c>
      <c r="AD95">
        <f>IF(AC95="",0,LEN(AC95)-LEN(SUBSTITUTE(AC95,",",""))+1)</f>
        <v>2</v>
      </c>
    </row>
    <row r="96" spans="1:30" ht="12.5" x14ac:dyDescent="0.25">
      <c r="A96" s="1" t="s">
        <v>434</v>
      </c>
      <c r="B96" s="1" t="s">
        <v>435</v>
      </c>
      <c r="C96" s="1" t="str">
        <v>Larry Garcia</v>
      </c>
      <c r="D96" s="1" t="s">
        <v>436</v>
      </c>
      <c r="E96" s="1" t="str">
        <v>russellbeasley@morgan-chavez.biz</v>
      </c>
      <c r="F96" t="str">
        <f t="shared" si="15"/>
        <v>Valid</v>
      </c>
      <c r="G96" s="1" t="s">
        <v>27</v>
      </c>
      <c r="H96" s="1" t="str">
        <f t="shared" si="16"/>
        <v>Male</v>
      </c>
      <c r="I96" s="1" t="s">
        <v>28</v>
      </c>
      <c r="J96" t="str">
        <f t="shared" si="17"/>
        <v>INDIA</v>
      </c>
      <c r="L96" s="1">
        <f t="shared" si="18"/>
        <v>19</v>
      </c>
      <c r="M96" s="1" t="str">
        <f t="shared" si="19"/>
        <v>Student</v>
      </c>
      <c r="N96" s="9">
        <v>45249</v>
      </c>
      <c r="O96" s="1" t="s">
        <v>146</v>
      </c>
      <c r="P96" s="1" t="s">
        <v>147</v>
      </c>
      <c r="Q96" s="4">
        <v>0.36</v>
      </c>
      <c r="R96" s="13">
        <f t="shared" si="20"/>
        <v>36</v>
      </c>
      <c r="S96" s="6">
        <f t="shared" si="14"/>
        <v>0.36</v>
      </c>
      <c r="T96" s="1">
        <v>2</v>
      </c>
      <c r="U96" s="1">
        <f t="shared" si="21"/>
        <v>2</v>
      </c>
      <c r="V96" s="1">
        <f t="shared" si="22"/>
        <v>25.8</v>
      </c>
      <c r="W96" s="10" t="str">
        <f t="shared" si="23"/>
        <v>Low</v>
      </c>
      <c r="X96" s="1" t="s">
        <v>76</v>
      </c>
      <c r="Y96" s="1" t="str">
        <f t="shared" si="24"/>
        <v>Yes</v>
      </c>
      <c r="AA96" s="18" t="str">
        <f t="shared" si="25"/>
        <v>Invalid</v>
      </c>
      <c r="AB96" s="18" t="str">
        <f t="shared" si="26"/>
        <v>High Performer</v>
      </c>
      <c r="AC96" s="9" t="s">
        <v>437</v>
      </c>
      <c r="AD96">
        <f>IF(AC96="",0,LEN(AC96)-LEN(SUBSTITUTE(AC96,",",""))+1)</f>
        <v>2</v>
      </c>
    </row>
    <row r="97" spans="1:30" ht="12.5" x14ac:dyDescent="0.25">
      <c r="A97" s="1" t="s">
        <v>438</v>
      </c>
      <c r="B97" s="1" t="s">
        <v>439</v>
      </c>
      <c r="C97" s="1" t="str">
        <v>Troy Mcdaniel</v>
      </c>
      <c r="D97" s="1" t="s">
        <v>440</v>
      </c>
      <c r="E97" s="1" t="str">
        <v>davischristopher@yahoo.com</v>
      </c>
      <c r="F97" t="str">
        <f t="shared" si="15"/>
        <v>Valid</v>
      </c>
      <c r="G97" s="1" t="s">
        <v>119</v>
      </c>
      <c r="H97" s="1" t="str">
        <f t="shared" si="16"/>
        <v>Female</v>
      </c>
      <c r="I97" s="1" t="s">
        <v>18</v>
      </c>
      <c r="J97" t="str">
        <f t="shared" si="17"/>
        <v>US</v>
      </c>
      <c r="K97" s="14">
        <v>23</v>
      </c>
      <c r="L97" s="1">
        <f t="shared" si="18"/>
        <v>23</v>
      </c>
      <c r="M97" s="1" t="str">
        <f t="shared" si="19"/>
        <v>Early Career</v>
      </c>
      <c r="N97" s="2">
        <v>44570</v>
      </c>
      <c r="O97" s="1" t="s">
        <v>19</v>
      </c>
      <c r="P97" s="1" t="s">
        <v>20</v>
      </c>
      <c r="Q97" s="4">
        <v>97</v>
      </c>
      <c r="R97" s="13">
        <f t="shared" si="20"/>
        <v>97</v>
      </c>
      <c r="S97" s="6">
        <f t="shared" si="14"/>
        <v>0.97</v>
      </c>
      <c r="T97" s="1" t="s">
        <v>21</v>
      </c>
      <c r="U97" s="1">
        <f t="shared" si="21"/>
        <v>1.5</v>
      </c>
      <c r="V97" s="1">
        <f t="shared" si="22"/>
        <v>68.349999999999994</v>
      </c>
      <c r="W97" s="10" t="str">
        <f t="shared" si="23"/>
        <v>Medium</v>
      </c>
      <c r="X97" s="1">
        <v>0</v>
      </c>
      <c r="Y97" s="1" t="str">
        <f t="shared" si="24"/>
        <v>No</v>
      </c>
      <c r="Z97" s="14">
        <v>3</v>
      </c>
      <c r="AA97" s="18">
        <f t="shared" si="25"/>
        <v>3</v>
      </c>
      <c r="AB97" s="18" t="str">
        <f t="shared" si="26"/>
        <v>No</v>
      </c>
      <c r="AC97" s="9" t="s">
        <v>441</v>
      </c>
      <c r="AD97">
        <f>IF(AC97="",0,LEN(AC97)-LEN(SUBSTITUTE(AC97,",",""))+1)</f>
        <v>5</v>
      </c>
    </row>
    <row r="98" spans="1:30" ht="12.5" x14ac:dyDescent="0.25">
      <c r="A98" s="1" t="s">
        <v>442</v>
      </c>
      <c r="B98" s="1" t="s">
        <v>443</v>
      </c>
      <c r="C98" s="1" t="str">
        <v>Anthony Frye</v>
      </c>
      <c r="D98" s="1" t="s">
        <v>444</v>
      </c>
      <c r="E98" s="1" t="str">
        <v>jenkinsmorgan@yahoo.com</v>
      </c>
      <c r="F98" t="str">
        <f t="shared" si="15"/>
        <v>Valid</v>
      </c>
      <c r="G98" s="1" t="s">
        <v>17</v>
      </c>
      <c r="H98" s="1" t="str">
        <f t="shared" si="16"/>
        <v>Female</v>
      </c>
      <c r="I98" s="1" t="s">
        <v>156</v>
      </c>
      <c r="J98" t="str">
        <f t="shared" si="17"/>
        <v>IN</v>
      </c>
      <c r="L98" s="1">
        <f t="shared" si="18"/>
        <v>19</v>
      </c>
      <c r="M98" s="1" t="str">
        <f t="shared" si="19"/>
        <v>Student</v>
      </c>
      <c r="N98" s="2">
        <v>44660</v>
      </c>
      <c r="O98" s="1" t="s">
        <v>146</v>
      </c>
      <c r="P98" s="1" t="s">
        <v>147</v>
      </c>
      <c r="Q98" s="4">
        <v>0.94</v>
      </c>
      <c r="R98" s="13">
        <f t="shared" si="20"/>
        <v>94</v>
      </c>
      <c r="S98" s="6">
        <f t="shared" si="14"/>
        <v>0.94</v>
      </c>
      <c r="T98" s="1">
        <v>1.5</v>
      </c>
      <c r="U98" s="1">
        <f t="shared" si="21"/>
        <v>1.5</v>
      </c>
      <c r="V98" s="1">
        <f t="shared" si="22"/>
        <v>66.25</v>
      </c>
      <c r="W98" s="10" t="str">
        <f t="shared" si="23"/>
        <v>Medium</v>
      </c>
      <c r="X98" s="1">
        <v>0</v>
      </c>
      <c r="Y98" s="1" t="str">
        <f t="shared" si="24"/>
        <v>No</v>
      </c>
      <c r="Z98" s="14">
        <v>1</v>
      </c>
      <c r="AA98" s="18">
        <f t="shared" si="25"/>
        <v>1</v>
      </c>
      <c r="AB98" s="18" t="str">
        <f t="shared" si="26"/>
        <v>No</v>
      </c>
      <c r="AC98" s="9" t="s">
        <v>445</v>
      </c>
      <c r="AD98">
        <f>IF(AC98="",0,LEN(AC98)-LEN(SUBSTITUTE(AC98,",",""))+1)</f>
        <v>6</v>
      </c>
    </row>
    <row r="99" spans="1:30" ht="12.5" x14ac:dyDescent="0.25">
      <c r="A99" s="1" t="s">
        <v>446</v>
      </c>
      <c r="B99" s="1" t="s">
        <v>447</v>
      </c>
      <c r="C99" s="1" t="str">
        <v>Kenneth Lewis</v>
      </c>
      <c r="D99" s="1" t="s">
        <v>448</v>
      </c>
      <c r="E99" s="1" t="str">
        <v>melaniebell@hotmail.com</v>
      </c>
      <c r="F99" t="str">
        <f t="shared" si="15"/>
        <v>Valid</v>
      </c>
      <c r="G99" s="1" t="s">
        <v>57</v>
      </c>
      <c r="H99" s="1" t="str">
        <f t="shared" si="16"/>
        <v>Female</v>
      </c>
      <c r="I99" s="1" t="s">
        <v>74</v>
      </c>
      <c r="J99" t="str">
        <f t="shared" si="17"/>
        <v>USA</v>
      </c>
      <c r="K99" s="14">
        <v>31</v>
      </c>
      <c r="L99" s="1">
        <f t="shared" si="18"/>
        <v>31</v>
      </c>
      <c r="M99" s="1" t="str">
        <f t="shared" si="19"/>
        <v>Mid Career</v>
      </c>
      <c r="N99" s="9">
        <v>44737</v>
      </c>
      <c r="O99" s="1" t="s">
        <v>58</v>
      </c>
      <c r="P99" s="1" t="s">
        <v>59</v>
      </c>
      <c r="Q99" s="4">
        <v>0.41</v>
      </c>
      <c r="R99" s="13">
        <f t="shared" si="20"/>
        <v>41</v>
      </c>
      <c r="S99" s="6">
        <f t="shared" si="14"/>
        <v>0.41</v>
      </c>
      <c r="T99" s="1" t="s">
        <v>64</v>
      </c>
      <c r="U99" s="1">
        <f t="shared" si="21"/>
        <v>2</v>
      </c>
      <c r="V99" s="1">
        <f t="shared" si="22"/>
        <v>29.3</v>
      </c>
      <c r="W99" s="10" t="str">
        <f t="shared" si="23"/>
        <v>Low</v>
      </c>
      <c r="X99" s="1">
        <v>1</v>
      </c>
      <c r="Y99" s="1" t="str">
        <f t="shared" si="24"/>
        <v>Yes</v>
      </c>
      <c r="Z99" s="14">
        <v>2</v>
      </c>
      <c r="AA99" s="18">
        <f t="shared" si="25"/>
        <v>2</v>
      </c>
      <c r="AB99" s="18" t="str">
        <f t="shared" si="26"/>
        <v>No</v>
      </c>
      <c r="AC99" s="9" t="s">
        <v>449</v>
      </c>
      <c r="AD99">
        <f>IF(AC99="",0,LEN(AC99)-LEN(SUBSTITUTE(AC99,",",""))+1)</f>
        <v>2</v>
      </c>
    </row>
    <row r="100" spans="1:30" ht="12.5" x14ac:dyDescent="0.25">
      <c r="A100" s="1" t="s">
        <v>450</v>
      </c>
      <c r="B100" s="1" t="s">
        <v>451</v>
      </c>
      <c r="C100" s="1" t="str">
        <v>Jeffrey Hoffman</v>
      </c>
      <c r="D100" s="1" t="s">
        <v>452</v>
      </c>
      <c r="E100" s="1" t="str">
        <v>anthony44@bell-white.com</v>
      </c>
      <c r="F100" t="str">
        <f t="shared" si="15"/>
        <v>Valid</v>
      </c>
      <c r="G100" s="1" t="s">
        <v>17</v>
      </c>
      <c r="H100" s="1" t="str">
        <f t="shared" si="16"/>
        <v>Female</v>
      </c>
      <c r="I100" s="1" t="s">
        <v>96</v>
      </c>
      <c r="J100" t="str">
        <f t="shared" si="17"/>
        <v>INDIA</v>
      </c>
      <c r="K100" s="14">
        <v>38</v>
      </c>
      <c r="L100" s="1">
        <f t="shared" si="18"/>
        <v>38</v>
      </c>
      <c r="M100" s="1" t="str">
        <f t="shared" si="19"/>
        <v>Mid Career</v>
      </c>
      <c r="N100" s="9">
        <v>45228</v>
      </c>
      <c r="O100" s="1" t="s">
        <v>114</v>
      </c>
      <c r="P100" s="1" t="s">
        <v>59</v>
      </c>
      <c r="Q100" s="4">
        <v>95</v>
      </c>
      <c r="R100" s="13">
        <f t="shared" si="20"/>
        <v>95</v>
      </c>
      <c r="S100" s="6">
        <f t="shared" si="14"/>
        <v>0.95</v>
      </c>
      <c r="T100" s="1" t="s">
        <v>64</v>
      </c>
      <c r="U100" s="1">
        <f t="shared" si="21"/>
        <v>2</v>
      </c>
      <c r="V100" s="1">
        <f t="shared" si="22"/>
        <v>67.099999999999994</v>
      </c>
      <c r="W100" s="10" t="str">
        <f t="shared" si="23"/>
        <v>Medium</v>
      </c>
      <c r="X100" s="1" t="s">
        <v>22</v>
      </c>
      <c r="Y100" s="1" t="str">
        <f t="shared" si="24"/>
        <v>No</v>
      </c>
      <c r="Z100" s="14">
        <v>3</v>
      </c>
      <c r="AA100" s="18">
        <f t="shared" si="25"/>
        <v>3</v>
      </c>
      <c r="AB100" s="18" t="str">
        <f t="shared" si="26"/>
        <v>No</v>
      </c>
      <c r="AC100" s="9" t="s">
        <v>453</v>
      </c>
      <c r="AD100">
        <f>IF(AC100="",0,LEN(AC100)-LEN(SUBSTITUTE(AC100,",",""))+1)</f>
        <v>2</v>
      </c>
    </row>
    <row r="101" spans="1:30" ht="12.5" x14ac:dyDescent="0.25">
      <c r="A101" s="1" t="s">
        <v>454</v>
      </c>
      <c r="B101" s="1" t="s">
        <v>455</v>
      </c>
      <c r="C101" s="1" t="str">
        <v>Valerie Davis</v>
      </c>
      <c r="D101" s="1" t="s">
        <v>456</v>
      </c>
      <c r="E101" s="1" t="str">
        <v>vbarnes@wood.com</v>
      </c>
      <c r="F101" t="str">
        <f t="shared" si="15"/>
        <v>Valid</v>
      </c>
      <c r="G101" s="1" t="s">
        <v>17</v>
      </c>
      <c r="H101" s="1" t="str">
        <f t="shared" si="16"/>
        <v>Female</v>
      </c>
      <c r="I101" s="1" t="s">
        <v>51</v>
      </c>
      <c r="J101" t="str">
        <f t="shared" si="17"/>
        <v>UK</v>
      </c>
      <c r="K101" s="14">
        <v>0</v>
      </c>
      <c r="L101" s="1">
        <f t="shared" si="18"/>
        <v>19</v>
      </c>
      <c r="M101" s="1" t="str">
        <f t="shared" si="19"/>
        <v>Student</v>
      </c>
      <c r="N101" s="2">
        <v>45331</v>
      </c>
      <c r="O101" s="1" t="s">
        <v>52</v>
      </c>
      <c r="P101" s="1" t="s">
        <v>37</v>
      </c>
      <c r="Q101" s="4">
        <v>0.32</v>
      </c>
      <c r="R101" s="13">
        <f t="shared" si="20"/>
        <v>32</v>
      </c>
      <c r="S101" s="6">
        <f t="shared" si="14"/>
        <v>0.32</v>
      </c>
      <c r="T101" s="1" t="s">
        <v>21</v>
      </c>
      <c r="U101" s="1">
        <f t="shared" si="21"/>
        <v>1.5</v>
      </c>
      <c r="V101" s="1">
        <f t="shared" si="22"/>
        <v>22.849999999999998</v>
      </c>
      <c r="W101" s="10" t="str">
        <f t="shared" si="23"/>
        <v>Low</v>
      </c>
      <c r="X101" s="1">
        <v>1</v>
      </c>
      <c r="Y101" s="1" t="str">
        <f t="shared" si="24"/>
        <v>Yes</v>
      </c>
      <c r="Z101" s="14">
        <v>2</v>
      </c>
      <c r="AA101" s="18">
        <f t="shared" si="25"/>
        <v>2</v>
      </c>
      <c r="AB101" s="18" t="str">
        <f t="shared" si="26"/>
        <v>No</v>
      </c>
      <c r="AC101" s="9" t="s">
        <v>457</v>
      </c>
      <c r="AD101">
        <f>IF(AC101="",0,LEN(AC101)-LEN(SUBSTITUTE(AC101,",",""))+1)</f>
        <v>3</v>
      </c>
    </row>
    <row r="102" spans="1:30" ht="12.5" x14ac:dyDescent="0.25">
      <c r="A102" s="1" t="s">
        <v>458</v>
      </c>
      <c r="B102" s="1" t="s">
        <v>459</v>
      </c>
      <c r="C102" s="1" t="str">
        <v>Paul Williams</v>
      </c>
      <c r="D102" s="1" t="s">
        <v>460</v>
      </c>
      <c r="E102" s="1" t="str">
        <v>scott67@ramos.com</v>
      </c>
      <c r="F102" t="str">
        <f t="shared" si="15"/>
        <v>Valid</v>
      </c>
      <c r="G102" s="1" t="s">
        <v>27</v>
      </c>
      <c r="H102" s="1" t="str">
        <f t="shared" si="16"/>
        <v>Male</v>
      </c>
      <c r="I102" s="1" t="s">
        <v>28</v>
      </c>
      <c r="J102" t="str">
        <f t="shared" si="17"/>
        <v>INDIA</v>
      </c>
      <c r="K102" s="14">
        <v>0</v>
      </c>
      <c r="L102" s="1">
        <f t="shared" si="18"/>
        <v>19</v>
      </c>
      <c r="M102" s="1" t="str">
        <f t="shared" si="19"/>
        <v>Student</v>
      </c>
      <c r="N102" s="2">
        <v>45391</v>
      </c>
      <c r="O102" s="1" t="s">
        <v>69</v>
      </c>
      <c r="P102" s="1" t="s">
        <v>31</v>
      </c>
      <c r="Q102" s="4">
        <v>0.56000000000000005</v>
      </c>
      <c r="R102" s="13">
        <f t="shared" si="20"/>
        <v>56.000000000000007</v>
      </c>
      <c r="S102" s="6">
        <f t="shared" si="14"/>
        <v>0.56000000000000005</v>
      </c>
      <c r="T102" s="1" t="s">
        <v>46</v>
      </c>
      <c r="U102" s="1">
        <f t="shared" si="21"/>
        <v>1</v>
      </c>
      <c r="V102" s="1">
        <f t="shared" si="22"/>
        <v>39.5</v>
      </c>
      <c r="W102" s="10" t="str">
        <f t="shared" si="23"/>
        <v>Low</v>
      </c>
      <c r="X102" s="1" t="s">
        <v>38</v>
      </c>
      <c r="Y102" s="1" t="str">
        <f t="shared" si="24"/>
        <v>No</v>
      </c>
      <c r="Z102" s="14">
        <v>1</v>
      </c>
      <c r="AA102" s="18">
        <f t="shared" si="25"/>
        <v>1</v>
      </c>
      <c r="AB102" s="18" t="str">
        <f t="shared" si="26"/>
        <v>No</v>
      </c>
      <c r="AC102" s="9" t="s">
        <v>461</v>
      </c>
      <c r="AD102">
        <f>IF(AC102="",0,LEN(AC102)-LEN(SUBSTITUTE(AC102,",",""))+1)</f>
        <v>6</v>
      </c>
    </row>
    <row r="103" spans="1:30" ht="12.5" x14ac:dyDescent="0.25">
      <c r="A103" s="1" t="s">
        <v>462</v>
      </c>
      <c r="B103" s="1" t="s">
        <v>463</v>
      </c>
      <c r="C103" s="1" t="str">
        <v>Katelyn Estrada</v>
      </c>
      <c r="D103" s="1" t="s">
        <v>464</v>
      </c>
      <c r="E103" s="1" t="str">
        <v>randallgreene@harris.com</v>
      </c>
      <c r="F103" t="str">
        <f t="shared" si="15"/>
        <v>Valid</v>
      </c>
      <c r="G103" s="1" t="s">
        <v>88</v>
      </c>
      <c r="H103" s="1" t="str">
        <f t="shared" si="16"/>
        <v>Male</v>
      </c>
      <c r="I103" s="1" t="s">
        <v>136</v>
      </c>
      <c r="J103" t="str">
        <f t="shared" si="17"/>
        <v>UK</v>
      </c>
      <c r="K103" s="14">
        <v>0</v>
      </c>
      <c r="L103" s="1">
        <f t="shared" si="18"/>
        <v>19</v>
      </c>
      <c r="M103" s="1" t="str">
        <f t="shared" si="19"/>
        <v>Student</v>
      </c>
      <c r="N103" s="9">
        <v>45194</v>
      </c>
      <c r="O103" s="1" t="s">
        <v>158</v>
      </c>
      <c r="P103" s="1" t="s">
        <v>59</v>
      </c>
      <c r="Q103" s="4">
        <v>9</v>
      </c>
      <c r="R103" s="13">
        <f t="shared" si="20"/>
        <v>9</v>
      </c>
      <c r="S103" s="6">
        <f t="shared" si="14"/>
        <v>0.09</v>
      </c>
      <c r="T103" s="1">
        <v>2</v>
      </c>
      <c r="U103" s="1">
        <f t="shared" si="21"/>
        <v>2</v>
      </c>
      <c r="V103" s="1">
        <f t="shared" si="22"/>
        <v>6.8999999999999995</v>
      </c>
      <c r="W103" s="10" t="str">
        <f t="shared" si="23"/>
        <v>Low</v>
      </c>
      <c r="X103" s="1">
        <v>0</v>
      </c>
      <c r="Y103" s="1" t="str">
        <f t="shared" si="24"/>
        <v>No</v>
      </c>
      <c r="AA103" s="18" t="str">
        <f t="shared" si="25"/>
        <v>Invalid</v>
      </c>
      <c r="AB103" s="18" t="str">
        <f t="shared" si="26"/>
        <v>No</v>
      </c>
      <c r="AC103" s="9" t="s">
        <v>465</v>
      </c>
      <c r="AD103">
        <f>IF(AC103="",0,LEN(AC103)-LEN(SUBSTITUTE(AC103,",",""))+1)</f>
        <v>1</v>
      </c>
    </row>
    <row r="104" spans="1:30" ht="12.5" x14ac:dyDescent="0.25">
      <c r="A104" s="1" t="s">
        <v>466</v>
      </c>
      <c r="B104" s="1" t="s">
        <v>467</v>
      </c>
      <c r="C104" s="1" t="str">
        <v>Jeffrey Anderson Md</v>
      </c>
      <c r="D104" s="1" t="s">
        <v>468</v>
      </c>
      <c r="E104" s="1" t="str">
        <v>charles06@stevens.com</v>
      </c>
      <c r="F104" t="str">
        <f t="shared" si="15"/>
        <v>Valid</v>
      </c>
      <c r="G104" s="1" t="s">
        <v>57</v>
      </c>
      <c r="H104" s="1" t="str">
        <f t="shared" si="16"/>
        <v>Female</v>
      </c>
      <c r="I104" s="1" t="s">
        <v>74</v>
      </c>
      <c r="J104" t="str">
        <f t="shared" si="17"/>
        <v>USA</v>
      </c>
      <c r="K104" s="14">
        <v>0</v>
      </c>
      <c r="L104" s="1">
        <f t="shared" si="18"/>
        <v>19</v>
      </c>
      <c r="M104" s="1" t="str">
        <f t="shared" si="19"/>
        <v>Student</v>
      </c>
      <c r="N104" s="2">
        <v>45143</v>
      </c>
      <c r="O104" s="1" t="s">
        <v>301</v>
      </c>
      <c r="P104" s="1" t="s">
        <v>20</v>
      </c>
      <c r="Q104" s="4">
        <v>0.64</v>
      </c>
      <c r="R104" s="13">
        <f t="shared" si="20"/>
        <v>64</v>
      </c>
      <c r="S104" s="6">
        <f t="shared" si="14"/>
        <v>0.64</v>
      </c>
      <c r="T104" s="1">
        <v>2</v>
      </c>
      <c r="U104" s="1">
        <f t="shared" si="21"/>
        <v>2</v>
      </c>
      <c r="V104" s="1">
        <f t="shared" si="22"/>
        <v>45.4</v>
      </c>
      <c r="W104" s="10" t="str">
        <f t="shared" si="23"/>
        <v>Medium</v>
      </c>
      <c r="X104" s="1" t="s">
        <v>22</v>
      </c>
      <c r="Y104" s="1" t="str">
        <f t="shared" si="24"/>
        <v>No</v>
      </c>
      <c r="Z104" s="14">
        <v>2</v>
      </c>
      <c r="AA104" s="18">
        <f t="shared" si="25"/>
        <v>2</v>
      </c>
      <c r="AB104" s="18" t="str">
        <f t="shared" si="26"/>
        <v>No</v>
      </c>
      <c r="AC104" s="9" t="s">
        <v>370</v>
      </c>
      <c r="AD104">
        <f>IF(AC104="",0,LEN(AC104)-LEN(SUBSTITUTE(AC104,",",""))+1)</f>
        <v>4</v>
      </c>
    </row>
    <row r="105" spans="1:30" ht="12.5" x14ac:dyDescent="0.25">
      <c r="A105" s="1" t="s">
        <v>469</v>
      </c>
      <c r="B105" s="1" t="s">
        <v>470</v>
      </c>
      <c r="C105" s="1" t="str">
        <v>Donna Sullivan</v>
      </c>
      <c r="D105" s="1" t="s">
        <v>471</v>
      </c>
      <c r="E105" s="1" t="str">
        <v>lauriemontgomery@hotmail.com</v>
      </c>
      <c r="F105" t="str">
        <f t="shared" si="15"/>
        <v>Valid</v>
      </c>
      <c r="G105" s="1" t="s">
        <v>95</v>
      </c>
      <c r="H105" s="1" t="str">
        <f t="shared" si="16"/>
        <v>Male</v>
      </c>
      <c r="I105" s="1" t="s">
        <v>156</v>
      </c>
      <c r="J105" t="str">
        <f t="shared" si="17"/>
        <v>IN</v>
      </c>
      <c r="L105" s="1">
        <f t="shared" si="18"/>
        <v>19</v>
      </c>
      <c r="M105" s="1" t="str">
        <f t="shared" si="19"/>
        <v>Student</v>
      </c>
      <c r="N105" s="9">
        <v>45552</v>
      </c>
      <c r="O105" s="1" t="s">
        <v>58</v>
      </c>
      <c r="P105" s="1" t="s">
        <v>59</v>
      </c>
      <c r="Q105" s="4">
        <v>0.36</v>
      </c>
      <c r="R105" s="13">
        <f t="shared" si="20"/>
        <v>36</v>
      </c>
      <c r="S105" s="6">
        <f t="shared" si="14"/>
        <v>0.36</v>
      </c>
      <c r="T105" s="1">
        <v>2</v>
      </c>
      <c r="U105" s="1">
        <f t="shared" si="21"/>
        <v>2</v>
      </c>
      <c r="V105" s="1">
        <f t="shared" si="22"/>
        <v>25.8</v>
      </c>
      <c r="W105" s="10" t="str">
        <f t="shared" si="23"/>
        <v>Low</v>
      </c>
      <c r="X105" s="1">
        <v>0</v>
      </c>
      <c r="Y105" s="1" t="str">
        <f t="shared" si="24"/>
        <v>No</v>
      </c>
      <c r="Z105" s="14">
        <v>4</v>
      </c>
      <c r="AA105" s="18">
        <f t="shared" si="25"/>
        <v>4</v>
      </c>
      <c r="AB105" s="18" t="str">
        <f t="shared" si="26"/>
        <v>No</v>
      </c>
      <c r="AC105" s="9" t="s">
        <v>472</v>
      </c>
      <c r="AD105">
        <f>IF(AC105="",0,LEN(AC105)-LEN(SUBSTITUTE(AC105,",",""))+1)</f>
        <v>3</v>
      </c>
    </row>
    <row r="106" spans="1:30" ht="12.5" x14ac:dyDescent="0.25">
      <c r="A106" s="1" t="s">
        <v>473</v>
      </c>
      <c r="B106" s="1" t="s">
        <v>474</v>
      </c>
      <c r="C106" s="1" t="str">
        <v>Kevin Warren</v>
      </c>
      <c r="D106" s="1" t="s">
        <v>475</v>
      </c>
      <c r="E106" s="1" t="str">
        <v>julie35@gmail.com</v>
      </c>
      <c r="F106" t="str">
        <f t="shared" si="15"/>
        <v>Valid</v>
      </c>
      <c r="G106" s="1" t="s">
        <v>109</v>
      </c>
      <c r="H106" s="1" t="str">
        <f t="shared" si="16"/>
        <v>Male</v>
      </c>
      <c r="I106" s="1" t="s">
        <v>156</v>
      </c>
      <c r="J106" t="str">
        <f t="shared" si="17"/>
        <v>IN</v>
      </c>
      <c r="K106" s="14">
        <v>0</v>
      </c>
      <c r="L106" s="1">
        <f t="shared" si="18"/>
        <v>19</v>
      </c>
      <c r="M106" s="1" t="str">
        <f t="shared" si="19"/>
        <v>Student</v>
      </c>
      <c r="N106" s="9">
        <v>45220</v>
      </c>
      <c r="O106" s="1" t="s">
        <v>58</v>
      </c>
      <c r="P106" s="1" t="s">
        <v>59</v>
      </c>
      <c r="Q106" s="4">
        <v>77</v>
      </c>
      <c r="R106" s="13">
        <f t="shared" si="20"/>
        <v>77</v>
      </c>
      <c r="S106" s="6">
        <f t="shared" si="14"/>
        <v>0.77</v>
      </c>
      <c r="T106" s="1" t="s">
        <v>46</v>
      </c>
      <c r="U106" s="1">
        <f t="shared" si="21"/>
        <v>1</v>
      </c>
      <c r="V106" s="1">
        <f t="shared" si="22"/>
        <v>54.199999999999996</v>
      </c>
      <c r="W106" s="10" t="str">
        <f t="shared" si="23"/>
        <v>Medium</v>
      </c>
      <c r="X106" s="1" t="s">
        <v>38</v>
      </c>
      <c r="Y106" s="1" t="str">
        <f t="shared" si="24"/>
        <v>No</v>
      </c>
      <c r="Z106" s="14">
        <v>6</v>
      </c>
      <c r="AA106" s="18">
        <f t="shared" si="25"/>
        <v>6</v>
      </c>
      <c r="AB106" s="18" t="str">
        <f t="shared" si="26"/>
        <v>No</v>
      </c>
      <c r="AC106" s="9" t="s">
        <v>476</v>
      </c>
      <c r="AD106">
        <f>IF(AC106="",0,LEN(AC106)-LEN(SUBSTITUTE(AC106,",",""))+1)</f>
        <v>5</v>
      </c>
    </row>
    <row r="107" spans="1:30" ht="12.5" x14ac:dyDescent="0.25">
      <c r="A107" s="1" t="s">
        <v>477</v>
      </c>
      <c r="B107" s="1" t="s">
        <v>478</v>
      </c>
      <c r="C107" s="1" t="str">
        <v>Susan Bailey</v>
      </c>
      <c r="D107" s="1" t="s">
        <v>479</v>
      </c>
      <c r="E107" s="1" t="str">
        <v>curtisscott@morrison.com</v>
      </c>
      <c r="F107" t="str">
        <f t="shared" si="15"/>
        <v>Valid</v>
      </c>
      <c r="G107" s="1" t="s">
        <v>17</v>
      </c>
      <c r="H107" s="1" t="str">
        <f t="shared" si="16"/>
        <v>Female</v>
      </c>
      <c r="I107" s="1" t="s">
        <v>18</v>
      </c>
      <c r="J107" t="str">
        <f t="shared" si="17"/>
        <v>US</v>
      </c>
      <c r="L107" s="1">
        <f t="shared" si="18"/>
        <v>19</v>
      </c>
      <c r="M107" s="1" t="str">
        <f t="shared" si="19"/>
        <v>Student</v>
      </c>
      <c r="N107" s="2">
        <v>44628</v>
      </c>
      <c r="O107" s="1" t="s">
        <v>146</v>
      </c>
      <c r="P107" s="1" t="s">
        <v>147</v>
      </c>
      <c r="Q107" s="4">
        <v>0.82</v>
      </c>
      <c r="R107" s="13">
        <f t="shared" si="20"/>
        <v>82</v>
      </c>
      <c r="S107" s="6">
        <f t="shared" si="14"/>
        <v>0.82</v>
      </c>
      <c r="T107" s="1">
        <v>2</v>
      </c>
      <c r="U107" s="1">
        <f t="shared" si="21"/>
        <v>2</v>
      </c>
      <c r="V107" s="1">
        <f t="shared" si="22"/>
        <v>58</v>
      </c>
      <c r="W107" s="10" t="str">
        <f t="shared" si="23"/>
        <v>Medium</v>
      </c>
      <c r="X107" s="1" t="s">
        <v>32</v>
      </c>
      <c r="Y107" s="1" t="str">
        <f t="shared" si="24"/>
        <v>Yes</v>
      </c>
      <c r="Z107" s="14">
        <v>6</v>
      </c>
      <c r="AA107" s="18">
        <f t="shared" si="25"/>
        <v>6</v>
      </c>
      <c r="AB107" s="18" t="str">
        <f t="shared" si="26"/>
        <v>High Performer</v>
      </c>
      <c r="AC107" s="9" t="s">
        <v>480</v>
      </c>
      <c r="AD107">
        <f>IF(AC107="",0,LEN(AC107)-LEN(SUBSTITUTE(AC107,",",""))+1)</f>
        <v>2</v>
      </c>
    </row>
    <row r="108" spans="1:30" ht="12.5" x14ac:dyDescent="0.25">
      <c r="A108" s="1" t="s">
        <v>481</v>
      </c>
      <c r="B108" s="1" t="s">
        <v>482</v>
      </c>
      <c r="C108" s="1" t="str">
        <v>Justin Riley</v>
      </c>
      <c r="D108" s="1" t="s">
        <v>483</v>
      </c>
      <c r="E108" s="1" t="str">
        <v>edward17@yahoo.com</v>
      </c>
      <c r="F108" t="str">
        <f t="shared" si="15"/>
        <v>Valid</v>
      </c>
      <c r="G108" s="1" t="s">
        <v>17</v>
      </c>
      <c r="H108" s="1" t="str">
        <f t="shared" si="16"/>
        <v>Female</v>
      </c>
      <c r="I108" s="1" t="s">
        <v>96</v>
      </c>
      <c r="J108" t="str">
        <f t="shared" si="17"/>
        <v>INDIA</v>
      </c>
      <c r="K108" s="14">
        <v>0</v>
      </c>
      <c r="L108" s="1">
        <f t="shared" si="18"/>
        <v>19</v>
      </c>
      <c r="M108" s="1" t="str">
        <f t="shared" si="19"/>
        <v>Student</v>
      </c>
      <c r="N108" s="2">
        <v>45108</v>
      </c>
      <c r="O108" s="1" t="s">
        <v>235</v>
      </c>
      <c r="P108" s="1" t="s">
        <v>147</v>
      </c>
      <c r="Q108" s="4">
        <v>0.17</v>
      </c>
      <c r="R108" s="13">
        <f t="shared" si="20"/>
        <v>17</v>
      </c>
      <c r="S108" s="6">
        <f t="shared" si="14"/>
        <v>0.17</v>
      </c>
      <c r="T108" s="1" t="s">
        <v>64</v>
      </c>
      <c r="U108" s="1">
        <f t="shared" si="21"/>
        <v>2</v>
      </c>
      <c r="V108" s="1">
        <f t="shared" si="22"/>
        <v>12.499999999999998</v>
      </c>
      <c r="W108" s="10" t="str">
        <f t="shared" si="23"/>
        <v>Low</v>
      </c>
      <c r="X108" s="1">
        <v>1</v>
      </c>
      <c r="Y108" s="1" t="str">
        <f t="shared" si="24"/>
        <v>Yes</v>
      </c>
      <c r="Z108" s="14">
        <v>2</v>
      </c>
      <c r="AA108" s="18">
        <f t="shared" si="25"/>
        <v>2</v>
      </c>
      <c r="AB108" s="18" t="str">
        <f t="shared" si="26"/>
        <v>No</v>
      </c>
      <c r="AC108" s="9" t="s">
        <v>171</v>
      </c>
      <c r="AD108">
        <f>IF(AC108="",0,LEN(AC108)-LEN(SUBSTITUTE(AC108,",",""))+1)</f>
        <v>6</v>
      </c>
    </row>
    <row r="109" spans="1:30" ht="12.5" x14ac:dyDescent="0.25">
      <c r="A109" s="1" t="s">
        <v>484</v>
      </c>
      <c r="B109" s="1" t="s">
        <v>485</v>
      </c>
      <c r="C109" s="1" t="str">
        <v>Jordan Collins</v>
      </c>
      <c r="D109" s="1" t="s">
        <v>486</v>
      </c>
      <c r="E109" s="1" t="str">
        <v>brownmarie@gmail.com</v>
      </c>
      <c r="F109" t="str">
        <f t="shared" si="15"/>
        <v>Valid</v>
      </c>
      <c r="G109" s="1" t="s">
        <v>109</v>
      </c>
      <c r="H109" s="1" t="str">
        <f t="shared" si="16"/>
        <v>Male</v>
      </c>
      <c r="I109" s="1" t="s">
        <v>136</v>
      </c>
      <c r="J109" t="str">
        <f t="shared" si="17"/>
        <v>UK</v>
      </c>
      <c r="L109" s="1">
        <f t="shared" si="18"/>
        <v>19</v>
      </c>
      <c r="M109" s="1" t="str">
        <f t="shared" si="19"/>
        <v>Student</v>
      </c>
      <c r="N109" s="3">
        <v>45638</v>
      </c>
      <c r="O109" s="1" t="s">
        <v>45</v>
      </c>
      <c r="P109" s="1" t="s">
        <v>20</v>
      </c>
      <c r="Q109" s="4">
        <v>0.48</v>
      </c>
      <c r="R109" s="13">
        <f t="shared" si="20"/>
        <v>48</v>
      </c>
      <c r="S109" s="6">
        <f t="shared" si="14"/>
        <v>0.48</v>
      </c>
      <c r="T109" s="1">
        <v>45</v>
      </c>
      <c r="U109" s="1">
        <f t="shared" si="21"/>
        <v>45</v>
      </c>
      <c r="V109" s="1">
        <f t="shared" si="22"/>
        <v>47.099999999999994</v>
      </c>
      <c r="W109" s="10" t="str">
        <f t="shared" si="23"/>
        <v>Medium</v>
      </c>
      <c r="X109" s="1">
        <v>0</v>
      </c>
      <c r="Y109" s="1" t="str">
        <f t="shared" si="24"/>
        <v>No</v>
      </c>
      <c r="Z109" s="14">
        <v>2</v>
      </c>
      <c r="AA109" s="18">
        <f t="shared" si="25"/>
        <v>2</v>
      </c>
      <c r="AB109" s="18" t="str">
        <f t="shared" si="26"/>
        <v>No</v>
      </c>
      <c r="AC109" s="9" t="s">
        <v>487</v>
      </c>
      <c r="AD109">
        <f>IF(AC109="",0,LEN(AC109)-LEN(SUBSTITUTE(AC109,",",""))+1)</f>
        <v>6</v>
      </c>
    </row>
    <row r="110" spans="1:30" ht="12.5" x14ac:dyDescent="0.25">
      <c r="A110" s="1" t="s">
        <v>488</v>
      </c>
      <c r="B110" s="1" t="s">
        <v>489</v>
      </c>
      <c r="C110" s="1" t="str">
        <v>Katie Ford</v>
      </c>
      <c r="D110" s="1" t="s">
        <v>490</v>
      </c>
      <c r="E110" s="1" t="str">
        <v>kstout@lopez.com</v>
      </c>
      <c r="F110" t="str">
        <f t="shared" si="15"/>
        <v>Valid</v>
      </c>
      <c r="G110" s="1" t="s">
        <v>119</v>
      </c>
      <c r="H110" s="1" t="str">
        <f t="shared" si="16"/>
        <v>Female</v>
      </c>
      <c r="I110" s="1" t="s">
        <v>89</v>
      </c>
      <c r="J110" t="str">
        <f t="shared" si="17"/>
        <v>GERMANY</v>
      </c>
      <c r="K110" s="14">
        <v>0</v>
      </c>
      <c r="L110" s="1">
        <f t="shared" si="18"/>
        <v>19</v>
      </c>
      <c r="M110" s="1" t="str">
        <f t="shared" si="19"/>
        <v>Student</v>
      </c>
      <c r="N110" s="2">
        <v>45689</v>
      </c>
      <c r="O110" s="1" t="s">
        <v>170</v>
      </c>
      <c r="P110" s="1" t="s">
        <v>147</v>
      </c>
      <c r="Q110" s="4">
        <v>29</v>
      </c>
      <c r="R110" s="13">
        <f t="shared" si="20"/>
        <v>29</v>
      </c>
      <c r="S110" s="6">
        <f t="shared" si="14"/>
        <v>0.28999999999999998</v>
      </c>
      <c r="T110" s="1" t="s">
        <v>46</v>
      </c>
      <c r="U110" s="1">
        <f t="shared" si="21"/>
        <v>1</v>
      </c>
      <c r="V110" s="1">
        <f t="shared" si="22"/>
        <v>20.599999999999998</v>
      </c>
      <c r="W110" s="10" t="str">
        <f t="shared" si="23"/>
        <v>Low</v>
      </c>
      <c r="X110" s="1" t="s">
        <v>38</v>
      </c>
      <c r="Y110" s="1" t="str">
        <f t="shared" si="24"/>
        <v>No</v>
      </c>
      <c r="Z110" s="14">
        <v>5</v>
      </c>
      <c r="AA110" s="18">
        <f t="shared" si="25"/>
        <v>5</v>
      </c>
      <c r="AB110" s="18" t="str">
        <f t="shared" si="26"/>
        <v>No</v>
      </c>
      <c r="AC110" s="9" t="s">
        <v>491</v>
      </c>
      <c r="AD110">
        <f>IF(AC110="",0,LEN(AC110)-LEN(SUBSTITUTE(AC110,",",""))+1)</f>
        <v>5</v>
      </c>
    </row>
    <row r="111" spans="1:30" ht="12.5" x14ac:dyDescent="0.25">
      <c r="A111" s="1" t="s">
        <v>492</v>
      </c>
      <c r="B111" s="1" t="s">
        <v>493</v>
      </c>
      <c r="C111" s="1" t="str">
        <v>Miguel Wagner</v>
      </c>
      <c r="D111" s="1" t="s">
        <v>494</v>
      </c>
      <c r="E111" s="1" t="str">
        <v>wrightsamuel@warren-bishop.com</v>
      </c>
      <c r="F111" t="str">
        <f t="shared" si="15"/>
        <v>Valid</v>
      </c>
      <c r="G111" s="1" t="s">
        <v>27</v>
      </c>
      <c r="H111" s="1" t="str">
        <f t="shared" si="16"/>
        <v>Male</v>
      </c>
      <c r="I111" s="1" t="s">
        <v>28</v>
      </c>
      <c r="J111" t="str">
        <f t="shared" si="17"/>
        <v>INDIA</v>
      </c>
      <c r="L111" s="1">
        <f t="shared" si="18"/>
        <v>19</v>
      </c>
      <c r="M111" s="1" t="str">
        <f t="shared" si="19"/>
        <v>Student</v>
      </c>
      <c r="N111" s="2">
        <v>45446</v>
      </c>
      <c r="O111" s="1" t="s">
        <v>58</v>
      </c>
      <c r="P111" s="1" t="s">
        <v>59</v>
      </c>
      <c r="Q111" s="4">
        <v>0.2</v>
      </c>
      <c r="R111" s="13">
        <f t="shared" si="20"/>
        <v>20</v>
      </c>
      <c r="S111" s="6">
        <f t="shared" si="14"/>
        <v>0.2</v>
      </c>
      <c r="T111" s="1">
        <v>45</v>
      </c>
      <c r="U111" s="1">
        <f t="shared" si="21"/>
        <v>45</v>
      </c>
      <c r="V111" s="1">
        <f t="shared" si="22"/>
        <v>27.5</v>
      </c>
      <c r="W111" s="10" t="str">
        <f t="shared" si="23"/>
        <v>Low</v>
      </c>
      <c r="X111" s="1">
        <v>1</v>
      </c>
      <c r="Y111" s="1" t="str">
        <f t="shared" si="24"/>
        <v>Yes</v>
      </c>
      <c r="Z111" s="14">
        <v>6</v>
      </c>
      <c r="AA111" s="18">
        <f t="shared" si="25"/>
        <v>6</v>
      </c>
      <c r="AB111" s="18" t="str">
        <f t="shared" si="26"/>
        <v>High Performer</v>
      </c>
      <c r="AC111" s="9" t="s">
        <v>495</v>
      </c>
      <c r="AD111">
        <f>IF(AC111="",0,LEN(AC111)-LEN(SUBSTITUTE(AC111,",",""))+1)</f>
        <v>7</v>
      </c>
    </row>
    <row r="112" spans="1:30" ht="12.5" x14ac:dyDescent="0.25">
      <c r="A112" s="1" t="s">
        <v>496</v>
      </c>
      <c r="B112" s="1" t="s">
        <v>497</v>
      </c>
      <c r="C112" s="1" t="str">
        <v>Meghan Williams</v>
      </c>
      <c r="D112" s="1" t="s">
        <v>498</v>
      </c>
      <c r="E112" s="1" t="str">
        <v>riveraangela@yahoo.com</v>
      </c>
      <c r="F112" t="str">
        <f t="shared" si="15"/>
        <v>Valid</v>
      </c>
      <c r="G112" s="1" t="s">
        <v>88</v>
      </c>
      <c r="H112" s="1" t="str">
        <f t="shared" si="16"/>
        <v>Male</v>
      </c>
      <c r="I112" s="1" t="s">
        <v>74</v>
      </c>
      <c r="J112" t="str">
        <f t="shared" si="17"/>
        <v>USA</v>
      </c>
      <c r="L112" s="1">
        <f t="shared" si="18"/>
        <v>19</v>
      </c>
      <c r="M112" s="1" t="str">
        <f t="shared" si="19"/>
        <v>Student</v>
      </c>
      <c r="N112" s="2">
        <v>45118</v>
      </c>
      <c r="O112" s="1" t="s">
        <v>45</v>
      </c>
      <c r="P112" s="1" t="s">
        <v>20</v>
      </c>
      <c r="Q112" s="4">
        <v>0.2</v>
      </c>
      <c r="R112" s="13">
        <f t="shared" si="20"/>
        <v>20</v>
      </c>
      <c r="S112" s="6">
        <f t="shared" si="14"/>
        <v>0.2</v>
      </c>
      <c r="T112" s="1">
        <v>2</v>
      </c>
      <c r="U112" s="1">
        <f t="shared" si="21"/>
        <v>2</v>
      </c>
      <c r="V112" s="1">
        <f t="shared" si="22"/>
        <v>14.6</v>
      </c>
      <c r="W112" s="10" t="str">
        <f t="shared" si="23"/>
        <v>Low</v>
      </c>
      <c r="X112" s="1" t="s">
        <v>76</v>
      </c>
      <c r="Y112" s="1" t="str">
        <f t="shared" si="24"/>
        <v>Yes</v>
      </c>
      <c r="Z112" s="14">
        <v>3</v>
      </c>
      <c r="AA112" s="18">
        <f t="shared" si="25"/>
        <v>3</v>
      </c>
      <c r="AB112" s="18" t="str">
        <f t="shared" si="26"/>
        <v>No</v>
      </c>
      <c r="AC112" s="9" t="s">
        <v>499</v>
      </c>
      <c r="AD112">
        <f>IF(AC112="",0,LEN(AC112)-LEN(SUBSTITUTE(AC112,",",""))+1)</f>
        <v>2</v>
      </c>
    </row>
    <row r="113" spans="1:30" ht="12.5" x14ac:dyDescent="0.25">
      <c r="A113" s="1" t="s">
        <v>500</v>
      </c>
      <c r="B113" s="1" t="s">
        <v>501</v>
      </c>
      <c r="C113" s="1" t="str">
        <v>Lindsey Hernandez</v>
      </c>
      <c r="D113" s="1" t="s">
        <v>127</v>
      </c>
      <c r="E113" s="1" t="str">
        <v>invalid-email</v>
      </c>
      <c r="F113" t="str">
        <f t="shared" si="15"/>
        <v>Invalid</v>
      </c>
      <c r="G113" s="1" t="s">
        <v>17</v>
      </c>
      <c r="H113" s="1" t="str">
        <f t="shared" si="16"/>
        <v>Female</v>
      </c>
      <c r="I113" s="1" t="s">
        <v>156</v>
      </c>
      <c r="J113" t="str">
        <f t="shared" si="17"/>
        <v>IN</v>
      </c>
      <c r="K113" s="14">
        <v>43</v>
      </c>
      <c r="L113" s="1">
        <f t="shared" si="18"/>
        <v>43</v>
      </c>
      <c r="M113" s="1" t="str">
        <f t="shared" si="19"/>
        <v>Senior</v>
      </c>
      <c r="N113" s="9">
        <v>45099</v>
      </c>
      <c r="O113" s="1" t="s">
        <v>158</v>
      </c>
      <c r="P113" s="1" t="s">
        <v>59</v>
      </c>
      <c r="Q113" s="4">
        <v>0.49</v>
      </c>
      <c r="R113" s="13">
        <f t="shared" si="20"/>
        <v>49</v>
      </c>
      <c r="S113" s="6">
        <f t="shared" si="14"/>
        <v>0.49</v>
      </c>
      <c r="T113" s="1">
        <v>45</v>
      </c>
      <c r="U113" s="1">
        <f t="shared" si="21"/>
        <v>45</v>
      </c>
      <c r="V113" s="1">
        <f t="shared" si="22"/>
        <v>47.8</v>
      </c>
      <c r="W113" s="10" t="str">
        <f t="shared" si="23"/>
        <v>Medium</v>
      </c>
      <c r="X113" s="1" t="s">
        <v>32</v>
      </c>
      <c r="Y113" s="1" t="str">
        <f t="shared" si="24"/>
        <v>Yes</v>
      </c>
      <c r="Z113" s="14">
        <v>1</v>
      </c>
      <c r="AA113" s="18">
        <f t="shared" si="25"/>
        <v>1</v>
      </c>
      <c r="AB113" s="18" t="str">
        <f t="shared" si="26"/>
        <v>No</v>
      </c>
      <c r="AC113" s="9" t="s">
        <v>502</v>
      </c>
      <c r="AD113">
        <f>IF(AC113="",0,LEN(AC113)-LEN(SUBSTITUTE(AC113,",",""))+1)</f>
        <v>7</v>
      </c>
    </row>
    <row r="114" spans="1:30" ht="12.5" x14ac:dyDescent="0.25">
      <c r="A114" s="1" t="s">
        <v>503</v>
      </c>
      <c r="B114" s="1" t="s">
        <v>504</v>
      </c>
      <c r="C114" s="1" t="str">
        <v>Walter Hale</v>
      </c>
      <c r="D114" s="1" t="s">
        <v>127</v>
      </c>
      <c r="E114" s="1" t="str">
        <v>invalid-email</v>
      </c>
      <c r="F114" t="str">
        <f t="shared" si="15"/>
        <v>Invalid</v>
      </c>
      <c r="G114" s="1" t="s">
        <v>43</v>
      </c>
      <c r="H114" s="1" t="str">
        <f t="shared" si="16"/>
        <v>Female</v>
      </c>
      <c r="I114" s="1" t="s">
        <v>51</v>
      </c>
      <c r="J114" t="str">
        <f t="shared" si="17"/>
        <v>UK</v>
      </c>
      <c r="K114" s="14">
        <v>0</v>
      </c>
      <c r="L114" s="1">
        <f t="shared" si="18"/>
        <v>19</v>
      </c>
      <c r="M114" s="1" t="str">
        <f t="shared" si="19"/>
        <v>Student</v>
      </c>
      <c r="N114" s="2">
        <v>44873</v>
      </c>
      <c r="O114" s="1" t="s">
        <v>114</v>
      </c>
      <c r="P114" s="1" t="s">
        <v>59</v>
      </c>
      <c r="Q114" s="4">
        <v>0.78</v>
      </c>
      <c r="R114" s="13">
        <f t="shared" si="20"/>
        <v>78</v>
      </c>
      <c r="S114" s="6">
        <f t="shared" si="14"/>
        <v>0.78</v>
      </c>
      <c r="T114" s="1" t="s">
        <v>46</v>
      </c>
      <c r="U114" s="1">
        <f t="shared" si="21"/>
        <v>1</v>
      </c>
      <c r="V114" s="1">
        <f t="shared" si="22"/>
        <v>54.899999999999991</v>
      </c>
      <c r="W114" s="10" t="str">
        <f t="shared" si="23"/>
        <v>Medium</v>
      </c>
      <c r="X114" s="1" t="s">
        <v>38</v>
      </c>
      <c r="Y114" s="1" t="str">
        <f t="shared" si="24"/>
        <v>No</v>
      </c>
      <c r="Z114" s="14">
        <v>1</v>
      </c>
      <c r="AA114" s="18">
        <f t="shared" si="25"/>
        <v>1</v>
      </c>
      <c r="AB114" s="18" t="str">
        <f t="shared" si="26"/>
        <v>No</v>
      </c>
      <c r="AC114" s="9" t="s">
        <v>505</v>
      </c>
      <c r="AD114">
        <f>IF(AC114="",0,LEN(AC114)-LEN(SUBSTITUTE(AC114,",",""))+1)</f>
        <v>3</v>
      </c>
    </row>
    <row r="115" spans="1:30" ht="12.5" x14ac:dyDescent="0.25">
      <c r="A115" s="1" t="s">
        <v>506</v>
      </c>
      <c r="B115" s="1" t="s">
        <v>507</v>
      </c>
      <c r="C115" s="1" t="str">
        <v>Justin Schneider</v>
      </c>
      <c r="D115" s="1" t="s">
        <v>508</v>
      </c>
      <c r="E115" s="1" t="str">
        <v>elizabethcalderon@hotmail.com</v>
      </c>
      <c r="F115" t="str">
        <f t="shared" si="15"/>
        <v>Valid</v>
      </c>
      <c r="G115" s="1" t="s">
        <v>17</v>
      </c>
      <c r="H115" s="1" t="str">
        <f t="shared" si="16"/>
        <v>Female</v>
      </c>
      <c r="I115" s="1" t="s">
        <v>74</v>
      </c>
      <c r="J115" t="str">
        <f t="shared" si="17"/>
        <v>USA</v>
      </c>
      <c r="L115" s="1">
        <f t="shared" si="18"/>
        <v>19</v>
      </c>
      <c r="M115" s="1" t="str">
        <f t="shared" si="19"/>
        <v>Student</v>
      </c>
      <c r="N115" s="2">
        <v>45089</v>
      </c>
      <c r="O115" s="1" t="s">
        <v>301</v>
      </c>
      <c r="P115" s="1" t="s">
        <v>20</v>
      </c>
      <c r="Q115" s="4">
        <v>0.3</v>
      </c>
      <c r="R115" s="13">
        <f t="shared" si="20"/>
        <v>30</v>
      </c>
      <c r="S115" s="6">
        <f t="shared" si="14"/>
        <v>0.3</v>
      </c>
      <c r="T115" s="1">
        <v>2</v>
      </c>
      <c r="U115" s="1">
        <f t="shared" si="21"/>
        <v>2</v>
      </c>
      <c r="V115" s="1">
        <f t="shared" si="22"/>
        <v>21.6</v>
      </c>
      <c r="W115" s="10" t="str">
        <f t="shared" si="23"/>
        <v>Low</v>
      </c>
      <c r="X115" s="1" t="s">
        <v>76</v>
      </c>
      <c r="Y115" s="1" t="str">
        <f t="shared" si="24"/>
        <v>Yes</v>
      </c>
      <c r="Z115" s="14">
        <v>4</v>
      </c>
      <c r="AA115" s="18">
        <f t="shared" si="25"/>
        <v>4</v>
      </c>
      <c r="AB115" s="18" t="str">
        <f t="shared" si="26"/>
        <v>High Performer</v>
      </c>
      <c r="AC115" s="9" t="s">
        <v>509</v>
      </c>
      <c r="AD115">
        <f>IF(AC115="",0,LEN(AC115)-LEN(SUBSTITUTE(AC115,",",""))+1)</f>
        <v>4</v>
      </c>
    </row>
    <row r="116" spans="1:30" ht="12.5" x14ac:dyDescent="0.25">
      <c r="A116" s="1" t="s">
        <v>510</v>
      </c>
      <c r="B116" s="1" t="s">
        <v>511</v>
      </c>
      <c r="C116" s="1" t="str">
        <v>Katie Smith</v>
      </c>
      <c r="D116" s="1" t="s">
        <v>512</v>
      </c>
      <c r="E116" s="1" t="str">
        <v>stephaniepeterson@yahoo.com</v>
      </c>
      <c r="F116" t="str">
        <f t="shared" si="15"/>
        <v>Valid</v>
      </c>
      <c r="G116" s="1" t="s">
        <v>88</v>
      </c>
      <c r="H116" s="1" t="str">
        <f t="shared" si="16"/>
        <v>Male</v>
      </c>
      <c r="I116" s="1" t="s">
        <v>51</v>
      </c>
      <c r="J116" t="str">
        <f t="shared" si="17"/>
        <v>UK</v>
      </c>
      <c r="K116" s="14">
        <v>0</v>
      </c>
      <c r="L116" s="1">
        <f t="shared" si="18"/>
        <v>19</v>
      </c>
      <c r="M116" s="1" t="str">
        <f t="shared" si="19"/>
        <v>Student</v>
      </c>
      <c r="N116" s="2">
        <v>45811</v>
      </c>
      <c r="O116" s="1" t="s">
        <v>30</v>
      </c>
      <c r="P116" s="1" t="s">
        <v>31</v>
      </c>
      <c r="Q116" s="4">
        <v>0.54</v>
      </c>
      <c r="R116" s="13">
        <f t="shared" si="20"/>
        <v>54</v>
      </c>
      <c r="S116" s="6">
        <f t="shared" si="14"/>
        <v>0.54</v>
      </c>
      <c r="T116" s="1" t="s">
        <v>46</v>
      </c>
      <c r="U116" s="1">
        <f t="shared" si="21"/>
        <v>1</v>
      </c>
      <c r="V116" s="1">
        <f t="shared" si="22"/>
        <v>38.099999999999994</v>
      </c>
      <c r="W116" s="10" t="str">
        <f t="shared" si="23"/>
        <v>Low</v>
      </c>
      <c r="X116" s="1" t="s">
        <v>32</v>
      </c>
      <c r="Y116" s="1" t="str">
        <f t="shared" si="24"/>
        <v>Yes</v>
      </c>
      <c r="Z116" s="14">
        <v>1</v>
      </c>
      <c r="AA116" s="18">
        <f t="shared" si="25"/>
        <v>1</v>
      </c>
      <c r="AB116" s="18" t="str">
        <f t="shared" si="26"/>
        <v>No</v>
      </c>
      <c r="AC116" s="9" t="s">
        <v>513</v>
      </c>
      <c r="AD116">
        <f>IF(AC116="",0,LEN(AC116)-LEN(SUBSTITUTE(AC116,",",""))+1)</f>
        <v>4</v>
      </c>
    </row>
    <row r="117" spans="1:30" ht="12.5" x14ac:dyDescent="0.25">
      <c r="A117" s="1" t="s">
        <v>514</v>
      </c>
      <c r="B117" s="1" t="s">
        <v>515</v>
      </c>
      <c r="C117" s="1" t="str">
        <v>Ryan Garcia</v>
      </c>
      <c r="D117" s="1" t="s">
        <v>516</v>
      </c>
      <c r="E117" s="1" t="str">
        <v>nancy92@bennett.org</v>
      </c>
      <c r="F117" t="str">
        <f t="shared" si="15"/>
        <v>Valid</v>
      </c>
      <c r="G117" s="1" t="s">
        <v>95</v>
      </c>
      <c r="H117" s="1" t="str">
        <f t="shared" si="16"/>
        <v>Male</v>
      </c>
      <c r="I117" s="1" t="s">
        <v>156</v>
      </c>
      <c r="J117" t="str">
        <f t="shared" si="17"/>
        <v>IN</v>
      </c>
      <c r="K117" s="14">
        <v>43</v>
      </c>
      <c r="L117" s="1">
        <f t="shared" si="18"/>
        <v>43</v>
      </c>
      <c r="M117" s="1" t="str">
        <f t="shared" si="19"/>
        <v>Senior</v>
      </c>
      <c r="N117" s="9">
        <v>44956</v>
      </c>
      <c r="O117" s="1" t="s">
        <v>45</v>
      </c>
      <c r="P117" s="1" t="s">
        <v>20</v>
      </c>
      <c r="Q117" s="4">
        <v>5</v>
      </c>
      <c r="R117" s="13">
        <f t="shared" si="20"/>
        <v>5</v>
      </c>
      <c r="S117" s="6">
        <f t="shared" si="14"/>
        <v>0.05</v>
      </c>
      <c r="T117" s="1" t="s">
        <v>64</v>
      </c>
      <c r="U117" s="1">
        <f t="shared" si="21"/>
        <v>2</v>
      </c>
      <c r="V117" s="1">
        <f t="shared" si="22"/>
        <v>4.0999999999999996</v>
      </c>
      <c r="W117" s="10" t="str">
        <f t="shared" si="23"/>
        <v>Low</v>
      </c>
      <c r="X117" s="1">
        <v>0</v>
      </c>
      <c r="Y117" s="1" t="str">
        <f t="shared" si="24"/>
        <v>No</v>
      </c>
      <c r="AA117" s="18" t="str">
        <f t="shared" si="25"/>
        <v>Invalid</v>
      </c>
      <c r="AB117" s="18" t="str">
        <f t="shared" si="26"/>
        <v>No</v>
      </c>
      <c r="AC117" s="9" t="s">
        <v>517</v>
      </c>
      <c r="AD117">
        <f>IF(AC117="",0,LEN(AC117)-LEN(SUBSTITUTE(AC117,",",""))+1)</f>
        <v>1</v>
      </c>
    </row>
    <row r="118" spans="1:30" ht="12.5" x14ac:dyDescent="0.25">
      <c r="A118" s="1" t="s">
        <v>518</v>
      </c>
      <c r="B118" s="1" t="s">
        <v>519</v>
      </c>
      <c r="C118" s="1" t="str">
        <v>Nathan Montes</v>
      </c>
      <c r="D118" s="1" t="s">
        <v>520</v>
      </c>
      <c r="E118" s="1" t="str">
        <v>pyoung@yahoo.com</v>
      </c>
      <c r="F118" t="str">
        <f t="shared" si="15"/>
        <v>Valid</v>
      </c>
      <c r="G118" s="1" t="s">
        <v>119</v>
      </c>
      <c r="H118" s="1" t="str">
        <f t="shared" si="16"/>
        <v>Female</v>
      </c>
      <c r="I118" s="1" t="s">
        <v>136</v>
      </c>
      <c r="J118" t="str">
        <f t="shared" si="17"/>
        <v>UK</v>
      </c>
      <c r="K118" s="14">
        <v>38</v>
      </c>
      <c r="L118" s="1">
        <f t="shared" si="18"/>
        <v>38</v>
      </c>
      <c r="M118" s="1" t="str">
        <f t="shared" si="19"/>
        <v>Mid Career</v>
      </c>
      <c r="N118" s="9">
        <v>44915</v>
      </c>
      <c r="O118" s="1" t="s">
        <v>45</v>
      </c>
      <c r="P118" s="1" t="s">
        <v>20</v>
      </c>
      <c r="Q118" s="4">
        <v>0.69</v>
      </c>
      <c r="R118" s="13">
        <f t="shared" si="20"/>
        <v>69</v>
      </c>
      <c r="S118" s="6">
        <f t="shared" si="14"/>
        <v>0.69</v>
      </c>
      <c r="T118" s="1" t="s">
        <v>21</v>
      </c>
      <c r="U118" s="1">
        <f t="shared" si="21"/>
        <v>1.5</v>
      </c>
      <c r="V118" s="1">
        <f t="shared" si="22"/>
        <v>48.75</v>
      </c>
      <c r="W118" s="10" t="str">
        <f t="shared" si="23"/>
        <v>Medium</v>
      </c>
      <c r="X118" s="1" t="s">
        <v>76</v>
      </c>
      <c r="Y118" s="1" t="str">
        <f t="shared" si="24"/>
        <v>Yes</v>
      </c>
      <c r="Z118" s="14">
        <v>3</v>
      </c>
      <c r="AA118" s="18">
        <f t="shared" si="25"/>
        <v>3</v>
      </c>
      <c r="AB118" s="18" t="str">
        <f t="shared" si="26"/>
        <v>No</v>
      </c>
      <c r="AC118" s="9" t="s">
        <v>522</v>
      </c>
      <c r="AD118">
        <f>IF(AC118="",0,LEN(AC118)-LEN(SUBSTITUTE(AC118,",",""))+1)</f>
        <v>6</v>
      </c>
    </row>
    <row r="119" spans="1:30" ht="12.5" x14ac:dyDescent="0.25">
      <c r="A119" s="1" t="s">
        <v>523</v>
      </c>
      <c r="B119" s="1" t="s">
        <v>524</v>
      </c>
      <c r="C119" s="1" t="str">
        <v>Laura Alexander</v>
      </c>
      <c r="D119" s="1" t="s">
        <v>525</v>
      </c>
      <c r="E119" s="1" t="str">
        <v>ashaw@gmail.com</v>
      </c>
      <c r="F119" t="str">
        <f t="shared" si="15"/>
        <v>Valid</v>
      </c>
      <c r="G119" s="1" t="s">
        <v>88</v>
      </c>
      <c r="H119" s="1" t="str">
        <f t="shared" si="16"/>
        <v>Male</v>
      </c>
      <c r="I119" s="1" t="s">
        <v>96</v>
      </c>
      <c r="J119" t="str">
        <f t="shared" si="17"/>
        <v>INDIA</v>
      </c>
      <c r="L119" s="1">
        <f t="shared" si="18"/>
        <v>19</v>
      </c>
      <c r="M119" s="1" t="str">
        <f t="shared" si="19"/>
        <v>Student</v>
      </c>
      <c r="N119" s="2">
        <v>45386</v>
      </c>
      <c r="O119" s="1" t="s">
        <v>158</v>
      </c>
      <c r="P119" s="1" t="s">
        <v>59</v>
      </c>
      <c r="Q119" s="4">
        <v>0.25</v>
      </c>
      <c r="R119" s="13">
        <f t="shared" si="20"/>
        <v>25</v>
      </c>
      <c r="S119" s="6">
        <f t="shared" si="14"/>
        <v>0.25</v>
      </c>
      <c r="T119" s="1" t="s">
        <v>21</v>
      </c>
      <c r="U119" s="1">
        <f t="shared" si="21"/>
        <v>1.5</v>
      </c>
      <c r="V119" s="1">
        <f t="shared" si="22"/>
        <v>17.95</v>
      </c>
      <c r="W119" s="10" t="str">
        <f t="shared" si="23"/>
        <v>Low</v>
      </c>
      <c r="X119" s="1">
        <v>0</v>
      </c>
      <c r="Y119" s="1" t="str">
        <f t="shared" si="24"/>
        <v>No</v>
      </c>
      <c r="Z119" s="14">
        <v>1</v>
      </c>
      <c r="AA119" s="18">
        <f t="shared" si="25"/>
        <v>1</v>
      </c>
      <c r="AB119" s="18" t="str">
        <f t="shared" si="26"/>
        <v>No</v>
      </c>
      <c r="AC119" s="9" t="s">
        <v>526</v>
      </c>
      <c r="AD119">
        <f>IF(AC119="",0,LEN(AC119)-LEN(SUBSTITUTE(AC119,",",""))+1)</f>
        <v>5</v>
      </c>
    </row>
    <row r="120" spans="1:30" ht="12.5" x14ac:dyDescent="0.25">
      <c r="A120" s="1" t="s">
        <v>527</v>
      </c>
      <c r="B120" s="1" t="s">
        <v>528</v>
      </c>
      <c r="C120" s="1" t="str">
        <v>Martin Sawyer</v>
      </c>
      <c r="D120" s="1" t="s">
        <v>529</v>
      </c>
      <c r="E120" s="1" t="str">
        <v>mitchellkathryn@cole-palmer.biz</v>
      </c>
      <c r="F120" t="str">
        <f t="shared" si="15"/>
        <v>Valid</v>
      </c>
      <c r="G120" s="1" t="s">
        <v>88</v>
      </c>
      <c r="H120" s="1" t="str">
        <f t="shared" si="16"/>
        <v>Male</v>
      </c>
      <c r="I120" s="1" t="s">
        <v>136</v>
      </c>
      <c r="J120" t="str">
        <f t="shared" si="17"/>
        <v>UK</v>
      </c>
      <c r="L120" s="1">
        <f t="shared" si="18"/>
        <v>19</v>
      </c>
      <c r="M120" s="1" t="str">
        <f t="shared" si="19"/>
        <v>Student</v>
      </c>
      <c r="N120" s="2">
        <v>45232</v>
      </c>
      <c r="O120" s="1" t="s">
        <v>170</v>
      </c>
      <c r="P120" s="1" t="s">
        <v>147</v>
      </c>
      <c r="Q120" s="4">
        <v>42</v>
      </c>
      <c r="R120" s="13">
        <f t="shared" si="20"/>
        <v>42</v>
      </c>
      <c r="S120" s="6">
        <f t="shared" si="14"/>
        <v>0.42</v>
      </c>
      <c r="T120" s="1">
        <v>1.5</v>
      </c>
      <c r="U120" s="1">
        <f t="shared" si="21"/>
        <v>1.5</v>
      </c>
      <c r="V120" s="1">
        <f t="shared" si="22"/>
        <v>29.849999999999998</v>
      </c>
      <c r="W120" s="10" t="str">
        <f t="shared" si="23"/>
        <v>Low</v>
      </c>
      <c r="X120" s="1" t="s">
        <v>38</v>
      </c>
      <c r="Y120" s="1" t="str">
        <f t="shared" si="24"/>
        <v>No</v>
      </c>
      <c r="Z120" s="14">
        <v>3</v>
      </c>
      <c r="AA120" s="18">
        <f t="shared" si="25"/>
        <v>3</v>
      </c>
      <c r="AB120" s="18" t="str">
        <f t="shared" si="26"/>
        <v>No</v>
      </c>
      <c r="AC120" s="9" t="s">
        <v>530</v>
      </c>
      <c r="AD120">
        <f>IF(AC120="",0,LEN(AC120)-LEN(SUBSTITUTE(AC120,",",""))+1)</f>
        <v>6</v>
      </c>
    </row>
    <row r="121" spans="1:30" ht="12.5" x14ac:dyDescent="0.25">
      <c r="A121" s="1" t="s">
        <v>531</v>
      </c>
      <c r="B121" s="1" t="s">
        <v>532</v>
      </c>
      <c r="C121" s="1" t="str">
        <v>Gregory Johnson</v>
      </c>
      <c r="D121" s="1" t="s">
        <v>533</v>
      </c>
      <c r="E121" s="1" t="str">
        <v>pshaw@vang-brooks.com</v>
      </c>
      <c r="F121" t="str">
        <f t="shared" si="15"/>
        <v>Valid</v>
      </c>
      <c r="G121" s="1" t="s">
        <v>27</v>
      </c>
      <c r="H121" s="1" t="str">
        <f t="shared" si="16"/>
        <v>Male</v>
      </c>
      <c r="I121" s="1" t="s">
        <v>156</v>
      </c>
      <c r="J121" t="str">
        <f t="shared" si="17"/>
        <v>IN</v>
      </c>
      <c r="K121" s="14">
        <v>21</v>
      </c>
      <c r="L121" s="1">
        <f t="shared" si="18"/>
        <v>21</v>
      </c>
      <c r="M121" s="1" t="str">
        <f t="shared" si="19"/>
        <v>Student</v>
      </c>
      <c r="N121" s="9">
        <v>44800</v>
      </c>
      <c r="O121" s="1" t="s">
        <v>58</v>
      </c>
      <c r="P121" s="1" t="s">
        <v>59</v>
      </c>
      <c r="Q121" s="4">
        <v>10</v>
      </c>
      <c r="R121" s="13">
        <f t="shared" si="20"/>
        <v>10</v>
      </c>
      <c r="S121" s="6">
        <f t="shared" si="14"/>
        <v>0.1</v>
      </c>
      <c r="T121" s="1">
        <v>1.5</v>
      </c>
      <c r="U121" s="1">
        <f t="shared" si="21"/>
        <v>1.5</v>
      </c>
      <c r="V121" s="1">
        <f t="shared" si="22"/>
        <v>7.45</v>
      </c>
      <c r="W121" s="10" t="str">
        <f t="shared" si="23"/>
        <v>Low</v>
      </c>
      <c r="X121" s="1" t="s">
        <v>32</v>
      </c>
      <c r="Y121" s="1" t="str">
        <f t="shared" si="24"/>
        <v>Yes</v>
      </c>
      <c r="Z121" s="14">
        <v>4</v>
      </c>
      <c r="AA121" s="18">
        <f t="shared" si="25"/>
        <v>4</v>
      </c>
      <c r="AB121" s="18" t="str">
        <f t="shared" si="26"/>
        <v>High Performer</v>
      </c>
      <c r="AC121" s="9" t="s">
        <v>534</v>
      </c>
      <c r="AD121">
        <f>IF(AC121="",0,LEN(AC121)-LEN(SUBSTITUTE(AC121,",",""))+1)</f>
        <v>5</v>
      </c>
    </row>
    <row r="122" spans="1:30" ht="12.5" x14ac:dyDescent="0.25">
      <c r="A122" s="1" t="s">
        <v>535</v>
      </c>
      <c r="B122" s="1" t="s">
        <v>536</v>
      </c>
      <c r="C122" s="1" t="str">
        <v>Raven Taylor</v>
      </c>
      <c r="D122" s="1" t="s">
        <v>537</v>
      </c>
      <c r="E122" s="1" t="str">
        <v>ihorton@hotmail.com</v>
      </c>
      <c r="F122" t="str">
        <f t="shared" si="15"/>
        <v>Valid</v>
      </c>
      <c r="G122" s="1" t="s">
        <v>57</v>
      </c>
      <c r="H122" s="1" t="str">
        <f t="shared" si="16"/>
        <v>Female</v>
      </c>
      <c r="I122" s="1" t="s">
        <v>18</v>
      </c>
      <c r="J122" t="str">
        <f t="shared" si="17"/>
        <v>US</v>
      </c>
      <c r="K122" s="14">
        <v>0</v>
      </c>
      <c r="L122" s="1">
        <f t="shared" si="18"/>
        <v>19</v>
      </c>
      <c r="M122" s="1" t="str">
        <f t="shared" si="19"/>
        <v>Student</v>
      </c>
      <c r="N122" s="9">
        <v>45153</v>
      </c>
      <c r="O122" s="1" t="s">
        <v>52</v>
      </c>
      <c r="P122" s="1" t="s">
        <v>37</v>
      </c>
      <c r="Q122" s="4">
        <v>0.44</v>
      </c>
      <c r="R122" s="13">
        <f t="shared" si="20"/>
        <v>44</v>
      </c>
      <c r="S122" s="6">
        <f t="shared" si="14"/>
        <v>0.44</v>
      </c>
      <c r="T122" s="1" t="s">
        <v>21</v>
      </c>
      <c r="U122" s="1">
        <f t="shared" si="21"/>
        <v>1.5</v>
      </c>
      <c r="V122" s="1">
        <f t="shared" si="22"/>
        <v>31.249999999999996</v>
      </c>
      <c r="W122" s="10" t="str">
        <f t="shared" si="23"/>
        <v>Low</v>
      </c>
      <c r="X122" s="1" t="s">
        <v>76</v>
      </c>
      <c r="Y122" s="1" t="str">
        <f t="shared" si="24"/>
        <v>Yes</v>
      </c>
      <c r="Z122" s="14">
        <v>4</v>
      </c>
      <c r="AA122" s="18">
        <f t="shared" si="25"/>
        <v>4</v>
      </c>
      <c r="AB122" s="18" t="str">
        <f t="shared" si="26"/>
        <v>High Performer</v>
      </c>
      <c r="AC122" s="9" t="s">
        <v>538</v>
      </c>
      <c r="AD122">
        <f>IF(AC122="",0,LEN(AC122)-LEN(SUBSTITUTE(AC122,",",""))+1)</f>
        <v>7</v>
      </c>
    </row>
    <row r="123" spans="1:30" ht="12.5" x14ac:dyDescent="0.25">
      <c r="A123" s="1" t="s">
        <v>539</v>
      </c>
      <c r="B123" s="1" t="s">
        <v>540</v>
      </c>
      <c r="C123" s="1" t="str">
        <v>David Conley</v>
      </c>
      <c r="D123" s="1" t="s">
        <v>127</v>
      </c>
      <c r="E123" s="1" t="str">
        <v>invalid-email</v>
      </c>
      <c r="F123" t="str">
        <f t="shared" si="15"/>
        <v>Invalid</v>
      </c>
      <c r="G123" s="1" t="s">
        <v>119</v>
      </c>
      <c r="H123" s="1" t="str">
        <f t="shared" si="16"/>
        <v>Female</v>
      </c>
      <c r="I123" s="1" t="s">
        <v>28</v>
      </c>
      <c r="J123" t="str">
        <f t="shared" si="17"/>
        <v>INDIA</v>
      </c>
      <c r="K123" s="14">
        <v>22</v>
      </c>
      <c r="L123" s="1">
        <f t="shared" si="18"/>
        <v>22</v>
      </c>
      <c r="M123" s="1" t="str">
        <f t="shared" si="19"/>
        <v>Early Career</v>
      </c>
      <c r="N123" s="2">
        <v>45386</v>
      </c>
      <c r="O123" s="1" t="s">
        <v>45</v>
      </c>
      <c r="P123" s="1" t="s">
        <v>20</v>
      </c>
      <c r="Q123" s="4">
        <v>0.95</v>
      </c>
      <c r="R123" s="13">
        <f t="shared" si="20"/>
        <v>95</v>
      </c>
      <c r="S123" s="6">
        <f t="shared" si="14"/>
        <v>0.95</v>
      </c>
      <c r="T123" s="1">
        <v>2</v>
      </c>
      <c r="U123" s="1">
        <f t="shared" si="21"/>
        <v>2</v>
      </c>
      <c r="V123" s="1">
        <f t="shared" si="22"/>
        <v>67.099999999999994</v>
      </c>
      <c r="W123" s="10" t="str">
        <f t="shared" si="23"/>
        <v>Medium</v>
      </c>
      <c r="X123" s="1">
        <v>0</v>
      </c>
      <c r="Y123" s="1" t="str">
        <f t="shared" si="24"/>
        <v>No</v>
      </c>
      <c r="AA123" s="18" t="str">
        <f t="shared" si="25"/>
        <v>Invalid</v>
      </c>
      <c r="AB123" s="18" t="str">
        <f t="shared" si="26"/>
        <v>No</v>
      </c>
      <c r="AC123" s="9" t="s">
        <v>541</v>
      </c>
      <c r="AD123">
        <f>IF(AC123="",0,LEN(AC123)-LEN(SUBSTITUTE(AC123,",",""))+1)</f>
        <v>7</v>
      </c>
    </row>
    <row r="124" spans="1:30" ht="12.5" x14ac:dyDescent="0.25">
      <c r="A124" s="1" t="s">
        <v>542</v>
      </c>
      <c r="B124" s="1" t="s">
        <v>543</v>
      </c>
      <c r="C124" s="1" t="str">
        <v>Ricardo Young</v>
      </c>
      <c r="D124" s="1" t="s">
        <v>544</v>
      </c>
      <c r="E124" s="1" t="str">
        <v>allendanielle@bryant.org</v>
      </c>
      <c r="F124" t="str">
        <f t="shared" si="15"/>
        <v>Valid</v>
      </c>
      <c r="G124" s="1" t="s">
        <v>119</v>
      </c>
      <c r="H124" s="1" t="str">
        <f t="shared" si="16"/>
        <v>Female</v>
      </c>
      <c r="I124" s="1" t="s">
        <v>74</v>
      </c>
      <c r="J124" t="str">
        <f t="shared" si="17"/>
        <v>USA</v>
      </c>
      <c r="K124" s="14">
        <v>36</v>
      </c>
      <c r="L124" s="1">
        <f t="shared" si="18"/>
        <v>36</v>
      </c>
      <c r="M124" s="1" t="str">
        <f t="shared" si="19"/>
        <v>Mid Career</v>
      </c>
      <c r="N124" s="2">
        <v>45451</v>
      </c>
      <c r="O124" s="1" t="s">
        <v>52</v>
      </c>
      <c r="P124" s="1" t="s">
        <v>37</v>
      </c>
      <c r="Q124" s="4">
        <v>0.19</v>
      </c>
      <c r="R124" s="13">
        <f t="shared" si="20"/>
        <v>19</v>
      </c>
      <c r="S124" s="6">
        <f t="shared" si="14"/>
        <v>0.19</v>
      </c>
      <c r="T124" s="1">
        <v>45</v>
      </c>
      <c r="U124" s="1">
        <f t="shared" si="21"/>
        <v>45</v>
      </c>
      <c r="V124" s="1">
        <f t="shared" si="22"/>
        <v>26.799999999999997</v>
      </c>
      <c r="W124" s="10" t="str">
        <f t="shared" si="23"/>
        <v>Low</v>
      </c>
      <c r="X124" s="1" t="s">
        <v>38</v>
      </c>
      <c r="Y124" s="1" t="str">
        <f t="shared" si="24"/>
        <v>No</v>
      </c>
      <c r="AA124" s="18" t="str">
        <f t="shared" si="25"/>
        <v>Invalid</v>
      </c>
      <c r="AB124" s="18" t="str">
        <f t="shared" si="26"/>
        <v>No</v>
      </c>
      <c r="AC124" s="9" t="s">
        <v>545</v>
      </c>
      <c r="AD124">
        <f>IF(AC124="",0,LEN(AC124)-LEN(SUBSTITUTE(AC124,",",""))+1)</f>
        <v>7</v>
      </c>
    </row>
    <row r="125" spans="1:30" ht="12.5" x14ac:dyDescent="0.25">
      <c r="A125" s="1" t="s">
        <v>546</v>
      </c>
      <c r="B125" s="1" t="s">
        <v>547</v>
      </c>
      <c r="C125" s="1" t="str">
        <v>Charles Patterson</v>
      </c>
      <c r="D125" s="1" t="s">
        <v>548</v>
      </c>
      <c r="E125" s="1" t="str">
        <v>ashleylopez@hotmail.com</v>
      </c>
      <c r="F125" t="str">
        <f t="shared" si="15"/>
        <v>Valid</v>
      </c>
      <c r="G125" s="1" t="s">
        <v>17</v>
      </c>
      <c r="H125" s="1" t="str">
        <f t="shared" si="16"/>
        <v>Female</v>
      </c>
      <c r="I125" s="1" t="s">
        <v>44</v>
      </c>
      <c r="J125" t="str">
        <f t="shared" si="17"/>
        <v>CANADA</v>
      </c>
      <c r="L125" s="1">
        <f t="shared" si="18"/>
        <v>19</v>
      </c>
      <c r="M125" s="1" t="str">
        <f t="shared" si="19"/>
        <v>Student</v>
      </c>
      <c r="N125" s="9">
        <v>45490</v>
      </c>
      <c r="O125" s="1" t="s">
        <v>75</v>
      </c>
      <c r="P125" s="1" t="s">
        <v>37</v>
      </c>
      <c r="Q125" s="4">
        <v>3</v>
      </c>
      <c r="R125" s="13">
        <f t="shared" si="20"/>
        <v>3</v>
      </c>
      <c r="S125" s="6">
        <f t="shared" si="14"/>
        <v>0.03</v>
      </c>
      <c r="T125" s="1" t="s">
        <v>21</v>
      </c>
      <c r="U125" s="1">
        <f t="shared" si="21"/>
        <v>1.5</v>
      </c>
      <c r="V125" s="1">
        <f t="shared" si="22"/>
        <v>2.5499999999999998</v>
      </c>
      <c r="W125" s="10" t="str">
        <f t="shared" si="23"/>
        <v>Low</v>
      </c>
      <c r="X125" s="1" t="s">
        <v>22</v>
      </c>
      <c r="Y125" s="1" t="str">
        <f t="shared" si="24"/>
        <v>No</v>
      </c>
      <c r="AA125" s="18" t="str">
        <f t="shared" si="25"/>
        <v>Invalid</v>
      </c>
      <c r="AB125" s="18" t="str">
        <f t="shared" si="26"/>
        <v>No</v>
      </c>
      <c r="AC125" s="9" t="s">
        <v>549</v>
      </c>
      <c r="AD125">
        <f>IF(AC125="",0,LEN(AC125)-LEN(SUBSTITUTE(AC125,",",""))+1)</f>
        <v>5</v>
      </c>
    </row>
    <row r="126" spans="1:30" ht="12.5" x14ac:dyDescent="0.25">
      <c r="A126" s="1" t="s">
        <v>550</v>
      </c>
      <c r="B126" s="1" t="s">
        <v>551</v>
      </c>
      <c r="C126" s="1" t="str">
        <v>Kimberly Hartman</v>
      </c>
      <c r="D126" s="1" t="s">
        <v>552</v>
      </c>
      <c r="E126" s="1" t="str">
        <v>cmarks@hughes.com</v>
      </c>
      <c r="F126" t="str">
        <f t="shared" si="15"/>
        <v>Valid</v>
      </c>
      <c r="G126" s="1" t="s">
        <v>17</v>
      </c>
      <c r="H126" s="1" t="str">
        <f t="shared" si="16"/>
        <v>Female</v>
      </c>
      <c r="I126" s="1" t="s">
        <v>156</v>
      </c>
      <c r="J126" t="str">
        <f t="shared" si="17"/>
        <v>IN</v>
      </c>
      <c r="L126" s="1">
        <f t="shared" si="18"/>
        <v>19</v>
      </c>
      <c r="M126" s="1" t="str">
        <f t="shared" si="19"/>
        <v>Student</v>
      </c>
      <c r="N126" s="9">
        <v>44790</v>
      </c>
      <c r="O126" s="1" t="s">
        <v>69</v>
      </c>
      <c r="P126" s="1" t="s">
        <v>31</v>
      </c>
      <c r="Q126" s="4">
        <v>0.09</v>
      </c>
      <c r="R126" s="13">
        <f t="shared" si="20"/>
        <v>9</v>
      </c>
      <c r="S126" s="6">
        <f t="shared" si="14"/>
        <v>0.09</v>
      </c>
      <c r="T126" s="1" t="s">
        <v>21</v>
      </c>
      <c r="U126" s="1">
        <f t="shared" si="21"/>
        <v>1.5</v>
      </c>
      <c r="V126" s="1">
        <f t="shared" si="22"/>
        <v>6.75</v>
      </c>
      <c r="W126" s="10" t="str">
        <f t="shared" si="23"/>
        <v>Low</v>
      </c>
      <c r="X126" s="1">
        <v>1</v>
      </c>
      <c r="Y126" s="1" t="str">
        <f t="shared" si="24"/>
        <v>Yes</v>
      </c>
      <c r="Z126" s="14">
        <v>4</v>
      </c>
      <c r="AA126" s="18">
        <f t="shared" si="25"/>
        <v>4</v>
      </c>
      <c r="AB126" s="18" t="str">
        <f t="shared" si="26"/>
        <v>High Performer</v>
      </c>
      <c r="AC126" s="9" t="s">
        <v>553</v>
      </c>
      <c r="AD126">
        <f>IF(AC126="",0,LEN(AC126)-LEN(SUBSTITUTE(AC126,",",""))+1)</f>
        <v>8</v>
      </c>
    </row>
    <row r="127" spans="1:30" ht="12.5" x14ac:dyDescent="0.25">
      <c r="A127" s="1" t="s">
        <v>554</v>
      </c>
      <c r="B127" s="1" t="s">
        <v>555</v>
      </c>
      <c r="C127" s="1" t="str">
        <v>Patricia Moss</v>
      </c>
      <c r="D127" s="1" t="s">
        <v>556</v>
      </c>
      <c r="E127" s="1" t="str">
        <v>bradleypayne@hotmail.com</v>
      </c>
      <c r="F127" t="str">
        <f t="shared" si="15"/>
        <v>Valid</v>
      </c>
      <c r="G127" s="1" t="s">
        <v>43</v>
      </c>
      <c r="H127" s="1" t="str">
        <f t="shared" si="16"/>
        <v>Female</v>
      </c>
      <c r="I127" s="1" t="s">
        <v>74</v>
      </c>
      <c r="J127" t="str">
        <f t="shared" si="17"/>
        <v>USA</v>
      </c>
      <c r="K127" s="14">
        <v>24</v>
      </c>
      <c r="L127" s="1">
        <f t="shared" si="18"/>
        <v>24</v>
      </c>
      <c r="M127" s="1" t="str">
        <f t="shared" si="19"/>
        <v>Early Career</v>
      </c>
      <c r="N127" s="9">
        <v>44762</v>
      </c>
      <c r="O127" s="1" t="s">
        <v>69</v>
      </c>
      <c r="P127" s="1" t="s">
        <v>31</v>
      </c>
      <c r="Q127" s="4">
        <v>89</v>
      </c>
      <c r="R127" s="13">
        <f t="shared" si="20"/>
        <v>89</v>
      </c>
      <c r="S127" s="6">
        <f t="shared" si="14"/>
        <v>0.89</v>
      </c>
      <c r="T127" s="1" t="s">
        <v>21</v>
      </c>
      <c r="U127" s="1">
        <f t="shared" si="21"/>
        <v>1.5</v>
      </c>
      <c r="V127" s="1">
        <f t="shared" si="22"/>
        <v>62.75</v>
      </c>
      <c r="W127" s="10" t="str">
        <f t="shared" si="23"/>
        <v>Medium</v>
      </c>
      <c r="X127" s="1" t="s">
        <v>38</v>
      </c>
      <c r="Y127" s="1" t="str">
        <f t="shared" si="24"/>
        <v>No</v>
      </c>
      <c r="AA127" s="18" t="str">
        <f t="shared" si="25"/>
        <v>Invalid</v>
      </c>
      <c r="AB127" s="18" t="str">
        <f t="shared" si="26"/>
        <v>No</v>
      </c>
      <c r="AC127" s="9" t="s">
        <v>557</v>
      </c>
      <c r="AD127">
        <f>IF(AC127="",0,LEN(AC127)-LEN(SUBSTITUTE(AC127,",",""))+1)</f>
        <v>5</v>
      </c>
    </row>
    <row r="128" spans="1:30" ht="12.5" x14ac:dyDescent="0.25">
      <c r="A128" s="1" t="s">
        <v>558</v>
      </c>
      <c r="B128" s="1" t="s">
        <v>559</v>
      </c>
      <c r="C128" s="1" t="str">
        <v>Mrs. Catherine Taylor</v>
      </c>
      <c r="D128" s="1" t="s">
        <v>560</v>
      </c>
      <c r="E128" s="1" t="str">
        <v>carterbradley@gmail.com</v>
      </c>
      <c r="F128" t="str">
        <f t="shared" si="15"/>
        <v>Valid</v>
      </c>
      <c r="G128" s="1" t="s">
        <v>27</v>
      </c>
      <c r="H128" s="1" t="str">
        <f t="shared" si="16"/>
        <v>Male</v>
      </c>
      <c r="I128" s="1" t="s">
        <v>18</v>
      </c>
      <c r="J128" t="str">
        <f t="shared" si="17"/>
        <v>US</v>
      </c>
      <c r="K128" s="14">
        <v>0</v>
      </c>
      <c r="L128" s="1">
        <f t="shared" si="18"/>
        <v>19</v>
      </c>
      <c r="M128" s="1" t="str">
        <f t="shared" si="19"/>
        <v>Student</v>
      </c>
      <c r="N128" s="2">
        <v>44986</v>
      </c>
      <c r="O128" s="1" t="s">
        <v>301</v>
      </c>
      <c r="P128" s="1" t="s">
        <v>20</v>
      </c>
      <c r="Q128" s="4">
        <v>70</v>
      </c>
      <c r="R128" s="13">
        <f t="shared" si="20"/>
        <v>70</v>
      </c>
      <c r="S128" s="6">
        <f t="shared" si="14"/>
        <v>0.7</v>
      </c>
      <c r="T128" s="1" t="s">
        <v>64</v>
      </c>
      <c r="U128" s="1">
        <f t="shared" si="21"/>
        <v>2</v>
      </c>
      <c r="V128" s="1">
        <f t="shared" si="22"/>
        <v>49.6</v>
      </c>
      <c r="W128" s="10" t="str">
        <f t="shared" si="23"/>
        <v>Medium</v>
      </c>
      <c r="X128" s="1" t="s">
        <v>38</v>
      </c>
      <c r="Y128" s="1" t="str">
        <f t="shared" si="24"/>
        <v>No</v>
      </c>
      <c r="Z128" s="14">
        <v>2</v>
      </c>
      <c r="AA128" s="18">
        <f t="shared" si="25"/>
        <v>2</v>
      </c>
      <c r="AB128" s="18" t="str">
        <f t="shared" si="26"/>
        <v>No</v>
      </c>
      <c r="AC128" s="9" t="s">
        <v>561</v>
      </c>
      <c r="AD128">
        <f>IF(AC128="",0,LEN(AC128)-LEN(SUBSTITUTE(AC128,",",""))+1)</f>
        <v>6</v>
      </c>
    </row>
    <row r="129" spans="1:30" ht="12.5" x14ac:dyDescent="0.25">
      <c r="A129" s="1" t="s">
        <v>562</v>
      </c>
      <c r="B129" s="1" t="s">
        <v>563</v>
      </c>
      <c r="C129" s="1" t="str">
        <v>Robert Kennedy</v>
      </c>
      <c r="D129" s="1" t="s">
        <v>564</v>
      </c>
      <c r="E129" s="1" t="str">
        <v>justinatkins@glenn.com</v>
      </c>
      <c r="F129" t="str">
        <f t="shared" si="15"/>
        <v>Valid</v>
      </c>
      <c r="G129" s="1" t="s">
        <v>57</v>
      </c>
      <c r="H129" s="1" t="str">
        <f t="shared" si="16"/>
        <v>Female</v>
      </c>
      <c r="I129" s="1" t="s">
        <v>51</v>
      </c>
      <c r="J129" t="str">
        <f t="shared" si="17"/>
        <v>UK</v>
      </c>
      <c r="K129" s="14">
        <v>0</v>
      </c>
      <c r="L129" s="1">
        <f t="shared" si="18"/>
        <v>19</v>
      </c>
      <c r="M129" s="1" t="str">
        <f t="shared" si="19"/>
        <v>Student</v>
      </c>
      <c r="N129" s="2">
        <v>44871</v>
      </c>
      <c r="O129" s="1" t="s">
        <v>114</v>
      </c>
      <c r="P129" s="1" t="s">
        <v>59</v>
      </c>
      <c r="Q129" s="4">
        <v>82</v>
      </c>
      <c r="R129" s="13">
        <f t="shared" si="20"/>
        <v>82</v>
      </c>
      <c r="S129" s="6">
        <f t="shared" si="14"/>
        <v>0.82</v>
      </c>
      <c r="T129" s="1" t="s">
        <v>21</v>
      </c>
      <c r="U129" s="1">
        <f t="shared" si="21"/>
        <v>1.5</v>
      </c>
      <c r="V129" s="1">
        <f t="shared" si="22"/>
        <v>57.85</v>
      </c>
      <c r="W129" s="10" t="str">
        <f t="shared" si="23"/>
        <v>Medium</v>
      </c>
      <c r="X129" s="1" t="s">
        <v>22</v>
      </c>
      <c r="Y129" s="1" t="str">
        <f t="shared" si="24"/>
        <v>No</v>
      </c>
      <c r="Z129" s="14">
        <v>1</v>
      </c>
      <c r="AA129" s="18">
        <f t="shared" si="25"/>
        <v>1</v>
      </c>
      <c r="AB129" s="18" t="str">
        <f t="shared" si="26"/>
        <v>No</v>
      </c>
      <c r="AC129" s="9" t="s">
        <v>565</v>
      </c>
      <c r="AD129">
        <f>IF(AC129="",0,LEN(AC129)-LEN(SUBSTITUTE(AC129,",",""))+1)</f>
        <v>2</v>
      </c>
    </row>
    <row r="130" spans="1:30" ht="12.5" x14ac:dyDescent="0.25">
      <c r="A130" s="1" t="s">
        <v>566</v>
      </c>
      <c r="B130" s="1" t="s">
        <v>567</v>
      </c>
      <c r="C130" s="1" t="str">
        <v>Jeremiah Huber</v>
      </c>
      <c r="D130" s="1" t="s">
        <v>568</v>
      </c>
      <c r="E130" s="1" t="str">
        <v>tylerjimenez@hotmail.com</v>
      </c>
      <c r="F130" t="str">
        <f t="shared" si="15"/>
        <v>Valid</v>
      </c>
      <c r="G130" s="1" t="s">
        <v>43</v>
      </c>
      <c r="H130" s="1" t="str">
        <f t="shared" si="16"/>
        <v>Female</v>
      </c>
      <c r="I130" s="1" t="s">
        <v>156</v>
      </c>
      <c r="J130" t="str">
        <f t="shared" si="17"/>
        <v>IN</v>
      </c>
      <c r="L130" s="1">
        <f t="shared" si="18"/>
        <v>19</v>
      </c>
      <c r="M130" s="1" t="str">
        <f t="shared" si="19"/>
        <v>Student</v>
      </c>
      <c r="N130" s="9">
        <v>44851</v>
      </c>
      <c r="O130" s="1" t="s">
        <v>170</v>
      </c>
      <c r="P130" s="1" t="s">
        <v>147</v>
      </c>
      <c r="Q130" s="4">
        <v>0.38</v>
      </c>
      <c r="R130" s="13">
        <f t="shared" si="20"/>
        <v>38</v>
      </c>
      <c r="S130" s="6">
        <f t="shared" ref="S130:S193" si="27">R130/100</f>
        <v>0.38</v>
      </c>
      <c r="T130" s="1">
        <v>1.5</v>
      </c>
      <c r="U130" s="1">
        <f t="shared" si="21"/>
        <v>1.5</v>
      </c>
      <c r="V130" s="1">
        <f t="shared" si="22"/>
        <v>27.049999999999997</v>
      </c>
      <c r="W130" s="10" t="str">
        <f t="shared" si="23"/>
        <v>Low</v>
      </c>
      <c r="X130" s="1" t="s">
        <v>32</v>
      </c>
      <c r="Y130" s="1" t="str">
        <f t="shared" si="24"/>
        <v>Yes</v>
      </c>
      <c r="Z130" s="14">
        <v>2</v>
      </c>
      <c r="AA130" s="18">
        <f t="shared" si="25"/>
        <v>2</v>
      </c>
      <c r="AB130" s="18" t="str">
        <f t="shared" si="26"/>
        <v>No</v>
      </c>
      <c r="AC130" s="9" t="s">
        <v>569</v>
      </c>
      <c r="AD130">
        <f>IF(AC130="",0,LEN(AC130)-LEN(SUBSTITUTE(AC130,",",""))+1)</f>
        <v>1</v>
      </c>
    </row>
    <row r="131" spans="1:30" ht="12.5" x14ac:dyDescent="0.25">
      <c r="A131" s="1" t="s">
        <v>570</v>
      </c>
      <c r="B131" s="1" t="s">
        <v>571</v>
      </c>
      <c r="C131" s="1" t="str">
        <v>Lance Short</v>
      </c>
      <c r="D131" s="1" t="s">
        <v>572</v>
      </c>
      <c r="E131" s="1" t="str">
        <v>curtis54@yahoo.com</v>
      </c>
      <c r="F131" t="str">
        <f t="shared" ref="F131:F194" si="28">IF(ISNUMBER(SEARCH("@", E131)), "Valid", "Invalid")</f>
        <v>Valid</v>
      </c>
      <c r="G131" s="1" t="s">
        <v>109</v>
      </c>
      <c r="H131" s="1" t="str">
        <f t="shared" ref="H131:H194" si="29">IF(OR(LOWER(G131)="m", LOWER(G131)="male"), "Male", IF(OR(LOWER(G131)="f", LOWER(G131)="female"), "Female","Other"))</f>
        <v>Male</v>
      </c>
      <c r="I131" s="1" t="s">
        <v>51</v>
      </c>
      <c r="J131" t="str">
        <f t="shared" ref="J131:J194" si="30">UPPER(TRIM(I131))</f>
        <v>UK</v>
      </c>
      <c r="K131" s="14">
        <v>0</v>
      </c>
      <c r="L131" s="1">
        <f t="shared" ref="L131:L194" si="31">IF(OR(K131=0,K131&lt;10,K131&gt;100), $L$1202, K131)</f>
        <v>19</v>
      </c>
      <c r="M131" s="1" t="str">
        <f t="shared" ref="M131:M194" si="32">IF(K131&lt;22,"Student",
IF(K131&lt;=30,"Early Career",
IF(K131&lt;=40,"Mid Career",
IF(K131&lt;=50,"Senior","Expert"))))</f>
        <v>Student</v>
      </c>
      <c r="N131" s="9">
        <v>45072</v>
      </c>
      <c r="O131" s="1" t="s">
        <v>146</v>
      </c>
      <c r="P131" s="1" t="s">
        <v>147</v>
      </c>
      <c r="Q131" s="4">
        <v>0.78</v>
      </c>
      <c r="R131" s="13">
        <f t="shared" ref="R131:R194" si="33">IF(Q131&lt;=1, Q131*100, Q131)</f>
        <v>78</v>
      </c>
      <c r="S131" s="6">
        <f t="shared" si="27"/>
        <v>0.78</v>
      </c>
      <c r="T131" s="1" t="s">
        <v>21</v>
      </c>
      <c r="U131" s="1">
        <f t="shared" ref="U131:U194" si="34">IF(ISNUMBER(T131), T131,
IF(ISNUMBER(SEARCH("min", T131)), VALUE(LEFT(T131, FIND(" ", T131)-1))/60,
IF(ISNUMBER(SEARCH("hour", T131)), VALUE(LEFT(T131, FIND(" ", T131)-1)),
"")))</f>
        <v>1.5</v>
      </c>
      <c r="V131" s="1">
        <f t="shared" ref="V131:V194" si="35">MIN( (0.7*R131 + 0.3*(U131)), 100 )</f>
        <v>55.05</v>
      </c>
      <c r="W131" s="10" t="str">
        <f t="shared" ref="W131:W194" si="36">IF(V131&lt;41,"Low",IF(V131&lt;71,"Medium","High"))</f>
        <v>Medium</v>
      </c>
      <c r="X131" s="1">
        <v>1</v>
      </c>
      <c r="Y131" s="1" t="str">
        <f t="shared" ref="Y131:Y194" si="37">IF(OR(X131="Yes", X131="Y", X131=1), "Yes", "No")</f>
        <v>Yes</v>
      </c>
      <c r="Z131" s="14">
        <v>5</v>
      </c>
      <c r="AA131" s="18">
        <f t="shared" ref="AA131:AA194" si="38">IF(AND(Z131&gt;=1,Z131&lt;=6),Z131,"Invalid")</f>
        <v>5</v>
      </c>
      <c r="AB131" s="18" t="str">
        <f t="shared" ref="AB131:AB194" si="39">IF(AND(Y131="Yes",AA131&gt;=4),"High Performer","No")</f>
        <v>High Performer</v>
      </c>
      <c r="AC131" s="9" t="s">
        <v>573</v>
      </c>
      <c r="AD131">
        <f>IF(AC131="",0,LEN(AC131)-LEN(SUBSTITUTE(AC131,",",""))+1)</f>
        <v>5</v>
      </c>
    </row>
    <row r="132" spans="1:30" ht="12.5" x14ac:dyDescent="0.25">
      <c r="A132" s="1" t="s">
        <v>574</v>
      </c>
      <c r="B132" s="1" t="s">
        <v>575</v>
      </c>
      <c r="C132" s="1" t="str">
        <v>Heather Williams</v>
      </c>
      <c r="D132" s="1" t="s">
        <v>576</v>
      </c>
      <c r="E132" s="1" t="str">
        <v>yhill@gmail.com</v>
      </c>
      <c r="F132" t="str">
        <f t="shared" si="28"/>
        <v>Valid</v>
      </c>
      <c r="G132" s="1" t="s">
        <v>88</v>
      </c>
      <c r="H132" s="1" t="str">
        <f t="shared" si="29"/>
        <v>Male</v>
      </c>
      <c r="I132" s="1" t="s">
        <v>28</v>
      </c>
      <c r="J132" t="str">
        <f t="shared" si="30"/>
        <v>INDIA</v>
      </c>
      <c r="K132" s="14">
        <v>0</v>
      </c>
      <c r="L132" s="1">
        <f t="shared" si="31"/>
        <v>19</v>
      </c>
      <c r="M132" s="1" t="str">
        <f t="shared" si="32"/>
        <v>Student</v>
      </c>
      <c r="N132" s="9">
        <v>45350</v>
      </c>
      <c r="O132" s="1" t="s">
        <v>75</v>
      </c>
      <c r="P132" s="1" t="s">
        <v>37</v>
      </c>
      <c r="Q132" s="4">
        <v>0.82</v>
      </c>
      <c r="R132" s="13">
        <f t="shared" si="33"/>
        <v>82</v>
      </c>
      <c r="S132" s="6">
        <f t="shared" si="27"/>
        <v>0.82</v>
      </c>
      <c r="T132" s="1">
        <v>1.5</v>
      </c>
      <c r="U132" s="1">
        <f t="shared" si="34"/>
        <v>1.5</v>
      </c>
      <c r="V132" s="1">
        <f t="shared" si="35"/>
        <v>57.85</v>
      </c>
      <c r="W132" s="10" t="str">
        <f t="shared" si="36"/>
        <v>Medium</v>
      </c>
      <c r="X132" s="1">
        <v>0</v>
      </c>
      <c r="Y132" s="1" t="str">
        <f t="shared" si="37"/>
        <v>No</v>
      </c>
      <c r="Z132" s="14">
        <v>6</v>
      </c>
      <c r="AA132" s="18">
        <f t="shared" si="38"/>
        <v>6</v>
      </c>
      <c r="AB132" s="18" t="str">
        <f t="shared" si="39"/>
        <v>No</v>
      </c>
      <c r="AC132" s="9" t="s">
        <v>577</v>
      </c>
      <c r="AD132">
        <f>IF(AC132="",0,LEN(AC132)-LEN(SUBSTITUTE(AC132,",",""))+1)</f>
        <v>1</v>
      </c>
    </row>
    <row r="133" spans="1:30" ht="12.5" x14ac:dyDescent="0.25">
      <c r="A133" s="1" t="s">
        <v>578</v>
      </c>
      <c r="B133" s="1" t="s">
        <v>579</v>
      </c>
      <c r="C133" s="1" t="str">
        <v>Nicole Moore</v>
      </c>
      <c r="D133" s="1" t="s">
        <v>580</v>
      </c>
      <c r="E133" s="1" t="str">
        <v>melindagregory@johnson-jones.com</v>
      </c>
      <c r="F133" t="str">
        <f t="shared" si="28"/>
        <v>Valid</v>
      </c>
      <c r="G133" s="1" t="s">
        <v>88</v>
      </c>
      <c r="H133" s="1" t="str">
        <f t="shared" si="29"/>
        <v>Male</v>
      </c>
      <c r="I133" s="1" t="s">
        <v>136</v>
      </c>
      <c r="J133" t="str">
        <f t="shared" si="30"/>
        <v>UK</v>
      </c>
      <c r="K133" s="14">
        <v>32</v>
      </c>
      <c r="L133" s="1">
        <f t="shared" si="31"/>
        <v>32</v>
      </c>
      <c r="M133" s="1" t="str">
        <f t="shared" si="32"/>
        <v>Mid Career</v>
      </c>
      <c r="N133" s="2">
        <v>44569</v>
      </c>
      <c r="O133" s="1" t="s">
        <v>52</v>
      </c>
      <c r="P133" s="1" t="s">
        <v>37</v>
      </c>
      <c r="Q133" s="4">
        <v>0.57999999999999996</v>
      </c>
      <c r="R133" s="13">
        <f t="shared" si="33"/>
        <v>57.999999999999993</v>
      </c>
      <c r="S133" s="6">
        <f t="shared" si="27"/>
        <v>0.57999999999999996</v>
      </c>
      <c r="T133" s="1" t="s">
        <v>46</v>
      </c>
      <c r="U133" s="1">
        <f t="shared" si="34"/>
        <v>1</v>
      </c>
      <c r="V133" s="1">
        <f t="shared" si="35"/>
        <v>40.899999999999991</v>
      </c>
      <c r="W133" s="10" t="str">
        <f t="shared" si="36"/>
        <v>Low</v>
      </c>
      <c r="X133" s="1" t="s">
        <v>22</v>
      </c>
      <c r="Y133" s="1" t="str">
        <f t="shared" si="37"/>
        <v>No</v>
      </c>
      <c r="Z133" s="14">
        <v>1</v>
      </c>
      <c r="AA133" s="18">
        <f t="shared" si="38"/>
        <v>1</v>
      </c>
      <c r="AB133" s="18" t="str">
        <f t="shared" si="39"/>
        <v>No</v>
      </c>
      <c r="AC133" s="9" t="s">
        <v>581</v>
      </c>
      <c r="AD133">
        <f>IF(AC133="",0,LEN(AC133)-LEN(SUBSTITUTE(AC133,",",""))+1)</f>
        <v>4</v>
      </c>
    </row>
    <row r="134" spans="1:30" ht="12.5" x14ac:dyDescent="0.25">
      <c r="A134" s="1" t="s">
        <v>582</v>
      </c>
      <c r="B134" s="1" t="s">
        <v>583</v>
      </c>
      <c r="C134" s="1" t="str">
        <v>Meghan Rush</v>
      </c>
      <c r="D134" s="1" t="s">
        <v>584</v>
      </c>
      <c r="E134" s="1" t="str">
        <v>khines@gmail.com</v>
      </c>
      <c r="F134" t="str">
        <f t="shared" si="28"/>
        <v>Valid</v>
      </c>
      <c r="G134" s="1" t="s">
        <v>17</v>
      </c>
      <c r="H134" s="1" t="str">
        <f t="shared" si="29"/>
        <v>Female</v>
      </c>
      <c r="I134" s="1" t="s">
        <v>156</v>
      </c>
      <c r="J134" t="str">
        <f t="shared" si="30"/>
        <v>IN</v>
      </c>
      <c r="L134" s="1">
        <f t="shared" si="31"/>
        <v>19</v>
      </c>
      <c r="M134" s="1" t="str">
        <f t="shared" si="32"/>
        <v>Student</v>
      </c>
      <c r="N134" s="9">
        <v>45220</v>
      </c>
      <c r="O134" s="1" t="s">
        <v>75</v>
      </c>
      <c r="P134" s="1" t="s">
        <v>37</v>
      </c>
      <c r="Q134" s="4">
        <v>44</v>
      </c>
      <c r="R134" s="13">
        <f t="shared" si="33"/>
        <v>44</v>
      </c>
      <c r="S134" s="6">
        <f t="shared" si="27"/>
        <v>0.44</v>
      </c>
      <c r="T134" s="1" t="s">
        <v>46</v>
      </c>
      <c r="U134" s="1">
        <f t="shared" si="34"/>
        <v>1</v>
      </c>
      <c r="V134" s="1">
        <f t="shared" si="35"/>
        <v>31.099999999999998</v>
      </c>
      <c r="W134" s="10" t="str">
        <f t="shared" si="36"/>
        <v>Low</v>
      </c>
      <c r="X134" s="1" t="s">
        <v>38</v>
      </c>
      <c r="Y134" s="1" t="str">
        <f t="shared" si="37"/>
        <v>No</v>
      </c>
      <c r="Z134" s="14">
        <v>4</v>
      </c>
      <c r="AA134" s="18">
        <f t="shared" si="38"/>
        <v>4</v>
      </c>
      <c r="AB134" s="18" t="str">
        <f t="shared" si="39"/>
        <v>No</v>
      </c>
      <c r="AC134" s="9" t="s">
        <v>585</v>
      </c>
      <c r="AD134">
        <f>IF(AC134="",0,LEN(AC134)-LEN(SUBSTITUTE(AC134,",",""))+1)</f>
        <v>6</v>
      </c>
    </row>
    <row r="135" spans="1:30" ht="12.5" x14ac:dyDescent="0.25">
      <c r="A135" s="1" t="s">
        <v>586</v>
      </c>
      <c r="B135" s="1" t="s">
        <v>587</v>
      </c>
      <c r="C135" s="1" t="str">
        <v>Tyler Johnson</v>
      </c>
      <c r="D135" s="1" t="s">
        <v>588</v>
      </c>
      <c r="E135" s="1" t="str">
        <v>jholmes@green.info</v>
      </c>
      <c r="F135" t="str">
        <f t="shared" si="28"/>
        <v>Valid</v>
      </c>
      <c r="G135" s="1" t="s">
        <v>109</v>
      </c>
      <c r="H135" s="1" t="str">
        <f t="shared" si="29"/>
        <v>Male</v>
      </c>
      <c r="I135" s="1" t="s">
        <v>156</v>
      </c>
      <c r="J135" t="str">
        <f t="shared" si="30"/>
        <v>IN</v>
      </c>
      <c r="K135" s="14">
        <v>0</v>
      </c>
      <c r="L135" s="1">
        <f t="shared" si="31"/>
        <v>19</v>
      </c>
      <c r="M135" s="1" t="str">
        <f t="shared" si="32"/>
        <v>Student</v>
      </c>
      <c r="N135" s="2">
        <v>45480</v>
      </c>
      <c r="O135" s="1" t="s">
        <v>235</v>
      </c>
      <c r="P135" s="1" t="s">
        <v>147</v>
      </c>
      <c r="Q135" s="4">
        <v>0.49</v>
      </c>
      <c r="R135" s="13">
        <f t="shared" si="33"/>
        <v>49</v>
      </c>
      <c r="S135" s="6">
        <f t="shared" si="27"/>
        <v>0.49</v>
      </c>
      <c r="T135" s="1">
        <v>1.5</v>
      </c>
      <c r="U135" s="1">
        <f t="shared" si="34"/>
        <v>1.5</v>
      </c>
      <c r="V135" s="1">
        <f t="shared" si="35"/>
        <v>34.75</v>
      </c>
      <c r="W135" s="10" t="str">
        <f t="shared" si="36"/>
        <v>Low</v>
      </c>
      <c r="X135" s="1" t="s">
        <v>22</v>
      </c>
      <c r="Y135" s="1" t="str">
        <f t="shared" si="37"/>
        <v>No</v>
      </c>
      <c r="Z135" s="14">
        <v>6</v>
      </c>
      <c r="AA135" s="18">
        <f t="shared" si="38"/>
        <v>6</v>
      </c>
      <c r="AB135" s="18" t="str">
        <f t="shared" si="39"/>
        <v>No</v>
      </c>
      <c r="AC135" s="9" t="s">
        <v>589</v>
      </c>
      <c r="AD135">
        <f>IF(AC135="",0,LEN(AC135)-LEN(SUBSTITUTE(AC135,",",""))+1)</f>
        <v>2</v>
      </c>
    </row>
    <row r="136" spans="1:30" ht="12.5" x14ac:dyDescent="0.25">
      <c r="A136" s="1" t="s">
        <v>590</v>
      </c>
      <c r="B136" s="1" t="s">
        <v>591</v>
      </c>
      <c r="C136" s="1" t="str">
        <v>Katherine Martinez</v>
      </c>
      <c r="D136" s="1" t="s">
        <v>592</v>
      </c>
      <c r="E136" s="1" t="str">
        <v>tthompson@osborn-cochran.com</v>
      </c>
      <c r="F136" t="str">
        <f t="shared" si="28"/>
        <v>Valid</v>
      </c>
      <c r="G136" s="1" t="s">
        <v>119</v>
      </c>
      <c r="H136" s="1" t="str">
        <f t="shared" si="29"/>
        <v>Female</v>
      </c>
      <c r="I136" s="1" t="s">
        <v>89</v>
      </c>
      <c r="J136" t="str">
        <f t="shared" si="30"/>
        <v>GERMANY</v>
      </c>
      <c r="K136" s="14">
        <v>0</v>
      </c>
      <c r="L136" s="1">
        <f t="shared" si="31"/>
        <v>19</v>
      </c>
      <c r="M136" s="1" t="str">
        <f t="shared" si="32"/>
        <v>Student</v>
      </c>
      <c r="N136" s="2">
        <v>45080</v>
      </c>
      <c r="O136" s="1" t="s">
        <v>114</v>
      </c>
      <c r="P136" s="1" t="s">
        <v>59</v>
      </c>
      <c r="Q136" s="4">
        <v>63</v>
      </c>
      <c r="R136" s="13">
        <f t="shared" si="33"/>
        <v>63</v>
      </c>
      <c r="S136" s="6">
        <f t="shared" si="27"/>
        <v>0.63</v>
      </c>
      <c r="T136" s="1" t="s">
        <v>64</v>
      </c>
      <c r="U136" s="1">
        <f t="shared" si="34"/>
        <v>2</v>
      </c>
      <c r="V136" s="1">
        <f t="shared" si="35"/>
        <v>44.699999999999996</v>
      </c>
      <c r="W136" s="10" t="str">
        <f t="shared" si="36"/>
        <v>Medium</v>
      </c>
      <c r="X136" s="1" t="s">
        <v>76</v>
      </c>
      <c r="Y136" s="1" t="str">
        <f t="shared" si="37"/>
        <v>Yes</v>
      </c>
      <c r="Z136" s="14">
        <v>1</v>
      </c>
      <c r="AA136" s="18">
        <f t="shared" si="38"/>
        <v>1</v>
      </c>
      <c r="AB136" s="18" t="str">
        <f t="shared" si="39"/>
        <v>No</v>
      </c>
      <c r="AC136" s="9" t="s">
        <v>593</v>
      </c>
      <c r="AD136">
        <f>IF(AC136="",0,LEN(AC136)-LEN(SUBSTITUTE(AC136,",",""))+1)</f>
        <v>8</v>
      </c>
    </row>
    <row r="137" spans="1:30" ht="12.5" x14ac:dyDescent="0.25">
      <c r="A137" s="1" t="s">
        <v>594</v>
      </c>
      <c r="B137" s="1" t="s">
        <v>595</v>
      </c>
      <c r="C137" s="1" t="str">
        <v>Stephanie York</v>
      </c>
      <c r="D137" s="1" t="s">
        <v>596</v>
      </c>
      <c r="E137" s="1" t="str">
        <v>william13@young.com</v>
      </c>
      <c r="F137" t="str">
        <f t="shared" si="28"/>
        <v>Valid</v>
      </c>
      <c r="G137" s="1" t="s">
        <v>57</v>
      </c>
      <c r="H137" s="1" t="str">
        <f t="shared" si="29"/>
        <v>Female</v>
      </c>
      <c r="I137" s="1" t="s">
        <v>18</v>
      </c>
      <c r="J137" t="str">
        <f t="shared" si="30"/>
        <v>US</v>
      </c>
      <c r="K137" s="14">
        <v>29</v>
      </c>
      <c r="L137" s="1">
        <f t="shared" si="31"/>
        <v>29</v>
      </c>
      <c r="M137" s="1" t="str">
        <f t="shared" si="32"/>
        <v>Early Career</v>
      </c>
      <c r="N137" s="2">
        <v>45840</v>
      </c>
      <c r="O137" s="1" t="s">
        <v>52</v>
      </c>
      <c r="P137" s="1" t="s">
        <v>37</v>
      </c>
      <c r="Q137" s="4">
        <v>0.13</v>
      </c>
      <c r="R137" s="13">
        <f t="shared" si="33"/>
        <v>13</v>
      </c>
      <c r="S137" s="6">
        <f t="shared" si="27"/>
        <v>0.13</v>
      </c>
      <c r="T137" s="1">
        <v>2</v>
      </c>
      <c r="U137" s="1">
        <f t="shared" si="34"/>
        <v>2</v>
      </c>
      <c r="V137" s="1">
        <f t="shared" si="35"/>
        <v>9.6999999999999993</v>
      </c>
      <c r="W137" s="10" t="str">
        <f t="shared" si="36"/>
        <v>Low</v>
      </c>
      <c r="X137" s="1">
        <v>1</v>
      </c>
      <c r="Y137" s="1" t="str">
        <f t="shared" si="37"/>
        <v>Yes</v>
      </c>
      <c r="Z137" s="14">
        <v>4</v>
      </c>
      <c r="AA137" s="18">
        <f t="shared" si="38"/>
        <v>4</v>
      </c>
      <c r="AB137" s="18" t="str">
        <f t="shared" si="39"/>
        <v>High Performer</v>
      </c>
      <c r="AC137" s="9" t="s">
        <v>597</v>
      </c>
      <c r="AD137">
        <f>IF(AC137="",0,LEN(AC137)-LEN(SUBSTITUTE(AC137,",",""))+1)</f>
        <v>8</v>
      </c>
    </row>
    <row r="138" spans="1:30" ht="12.5" x14ac:dyDescent="0.25">
      <c r="A138" s="1" t="s">
        <v>598</v>
      </c>
      <c r="B138" s="1" t="s">
        <v>599</v>
      </c>
      <c r="C138" s="1" t="str">
        <v>Kristen Salazar</v>
      </c>
      <c r="D138" s="1" t="s">
        <v>600</v>
      </c>
      <c r="E138" s="1" t="str">
        <v>parkeryvonne@mendoza.org</v>
      </c>
      <c r="F138" t="str">
        <f t="shared" si="28"/>
        <v>Valid</v>
      </c>
      <c r="G138" s="1" t="s">
        <v>17</v>
      </c>
      <c r="H138" s="1" t="str">
        <f t="shared" si="29"/>
        <v>Female</v>
      </c>
      <c r="I138" s="1" t="s">
        <v>51</v>
      </c>
      <c r="J138" t="str">
        <f t="shared" si="30"/>
        <v>UK</v>
      </c>
      <c r="L138" s="1">
        <f t="shared" si="31"/>
        <v>19</v>
      </c>
      <c r="M138" s="1" t="str">
        <f t="shared" si="32"/>
        <v>Student</v>
      </c>
      <c r="N138" s="9">
        <v>45218</v>
      </c>
      <c r="O138" s="1" t="s">
        <v>90</v>
      </c>
      <c r="P138" s="1" t="s">
        <v>31</v>
      </c>
      <c r="Q138" s="4">
        <v>0.49</v>
      </c>
      <c r="R138" s="13">
        <f t="shared" si="33"/>
        <v>49</v>
      </c>
      <c r="S138" s="6">
        <f t="shared" si="27"/>
        <v>0.49</v>
      </c>
      <c r="T138" s="1">
        <v>45</v>
      </c>
      <c r="U138" s="1">
        <f t="shared" si="34"/>
        <v>45</v>
      </c>
      <c r="V138" s="1">
        <f t="shared" si="35"/>
        <v>47.8</v>
      </c>
      <c r="W138" s="10" t="str">
        <f t="shared" si="36"/>
        <v>Medium</v>
      </c>
      <c r="X138" s="1" t="s">
        <v>32</v>
      </c>
      <c r="Y138" s="1" t="str">
        <f t="shared" si="37"/>
        <v>Yes</v>
      </c>
      <c r="Z138" s="14">
        <v>5</v>
      </c>
      <c r="AA138" s="18">
        <f t="shared" si="38"/>
        <v>5</v>
      </c>
      <c r="AB138" s="18" t="str">
        <f t="shared" si="39"/>
        <v>High Performer</v>
      </c>
      <c r="AC138" s="9" t="s">
        <v>601</v>
      </c>
      <c r="AD138">
        <f>IF(AC138="",0,LEN(AC138)-LEN(SUBSTITUTE(AC138,",",""))+1)</f>
        <v>6</v>
      </c>
    </row>
    <row r="139" spans="1:30" ht="12.5" x14ac:dyDescent="0.25">
      <c r="A139" s="1" t="s">
        <v>602</v>
      </c>
      <c r="B139" s="1" t="s">
        <v>603</v>
      </c>
      <c r="C139" s="1" t="str">
        <v>John Holmes</v>
      </c>
      <c r="D139" s="1" t="s">
        <v>127</v>
      </c>
      <c r="E139" s="1" t="str">
        <v>invalid-email</v>
      </c>
      <c r="F139" t="str">
        <f t="shared" si="28"/>
        <v>Invalid</v>
      </c>
      <c r="G139" s="1" t="s">
        <v>57</v>
      </c>
      <c r="H139" s="1" t="str">
        <f t="shared" si="29"/>
        <v>Female</v>
      </c>
      <c r="I139" s="1" t="s">
        <v>136</v>
      </c>
      <c r="J139" t="str">
        <f t="shared" si="30"/>
        <v>UK</v>
      </c>
      <c r="L139" s="1">
        <f t="shared" si="31"/>
        <v>19</v>
      </c>
      <c r="M139" s="1" t="str">
        <f t="shared" si="32"/>
        <v>Student</v>
      </c>
      <c r="N139" s="9">
        <v>44772</v>
      </c>
      <c r="O139" s="1" t="s">
        <v>69</v>
      </c>
      <c r="P139" s="1" t="s">
        <v>31</v>
      </c>
      <c r="Q139" s="4">
        <v>0.51</v>
      </c>
      <c r="R139" s="13">
        <f t="shared" si="33"/>
        <v>51</v>
      </c>
      <c r="S139" s="6">
        <f t="shared" si="27"/>
        <v>0.51</v>
      </c>
      <c r="T139" s="1" t="s">
        <v>21</v>
      </c>
      <c r="U139" s="1">
        <f t="shared" si="34"/>
        <v>1.5</v>
      </c>
      <c r="V139" s="1">
        <f t="shared" si="35"/>
        <v>36.15</v>
      </c>
      <c r="W139" s="10" t="str">
        <f t="shared" si="36"/>
        <v>Low</v>
      </c>
      <c r="X139" s="1">
        <v>1</v>
      </c>
      <c r="Y139" s="1" t="str">
        <f t="shared" si="37"/>
        <v>Yes</v>
      </c>
      <c r="Z139" s="14">
        <v>5</v>
      </c>
      <c r="AA139" s="18">
        <f t="shared" si="38"/>
        <v>5</v>
      </c>
      <c r="AB139" s="18" t="str">
        <f t="shared" si="39"/>
        <v>High Performer</v>
      </c>
      <c r="AC139" s="9" t="s">
        <v>604</v>
      </c>
      <c r="AD139">
        <f>IF(AC139="",0,LEN(AC139)-LEN(SUBSTITUTE(AC139,",",""))+1)</f>
        <v>3</v>
      </c>
    </row>
    <row r="140" spans="1:30" ht="12.5" x14ac:dyDescent="0.25">
      <c r="A140" s="1" t="s">
        <v>605</v>
      </c>
      <c r="B140" s="1" t="s">
        <v>606</v>
      </c>
      <c r="C140" s="1" t="str">
        <v>Catherine Burch</v>
      </c>
      <c r="D140" s="1" t="s">
        <v>607</v>
      </c>
      <c r="E140" s="1" t="str">
        <v>guerraapril@yahoo.com</v>
      </c>
      <c r="F140" t="str">
        <f t="shared" si="28"/>
        <v>Valid</v>
      </c>
      <c r="G140" s="1" t="s">
        <v>119</v>
      </c>
      <c r="H140" s="1" t="str">
        <f t="shared" si="29"/>
        <v>Female</v>
      </c>
      <c r="I140" s="1" t="s">
        <v>44</v>
      </c>
      <c r="J140" t="str">
        <f t="shared" si="30"/>
        <v>CANADA</v>
      </c>
      <c r="K140" s="14">
        <v>33</v>
      </c>
      <c r="L140" s="1">
        <f t="shared" si="31"/>
        <v>33</v>
      </c>
      <c r="M140" s="1" t="str">
        <f t="shared" si="32"/>
        <v>Mid Career</v>
      </c>
      <c r="N140" s="9">
        <v>44857</v>
      </c>
      <c r="O140" s="1" t="s">
        <v>170</v>
      </c>
      <c r="P140" s="1" t="s">
        <v>147</v>
      </c>
      <c r="Q140" s="4">
        <v>0.78</v>
      </c>
      <c r="R140" s="13">
        <f t="shared" si="33"/>
        <v>78</v>
      </c>
      <c r="S140" s="6">
        <f t="shared" si="27"/>
        <v>0.78</v>
      </c>
      <c r="T140" s="1" t="s">
        <v>21</v>
      </c>
      <c r="U140" s="1">
        <f t="shared" si="34"/>
        <v>1.5</v>
      </c>
      <c r="V140" s="1">
        <f t="shared" si="35"/>
        <v>55.05</v>
      </c>
      <c r="W140" s="10" t="str">
        <f t="shared" si="36"/>
        <v>Medium</v>
      </c>
      <c r="X140" s="1">
        <v>0</v>
      </c>
      <c r="Y140" s="1" t="str">
        <f t="shared" si="37"/>
        <v>No</v>
      </c>
      <c r="AA140" s="18" t="str">
        <f t="shared" si="38"/>
        <v>Invalid</v>
      </c>
      <c r="AB140" s="18" t="str">
        <f t="shared" si="39"/>
        <v>No</v>
      </c>
      <c r="AC140" s="9" t="s">
        <v>608</v>
      </c>
      <c r="AD140">
        <f>IF(AC140="",0,LEN(AC140)-LEN(SUBSTITUTE(AC140,",",""))+1)</f>
        <v>6</v>
      </c>
    </row>
    <row r="141" spans="1:30" ht="12.5" x14ac:dyDescent="0.25">
      <c r="A141" s="1" t="s">
        <v>609</v>
      </c>
      <c r="B141" s="1" t="s">
        <v>610</v>
      </c>
      <c r="C141" s="1" t="str">
        <v>Travis Stone</v>
      </c>
      <c r="D141" s="1" t="s">
        <v>611</v>
      </c>
      <c r="E141" s="1" t="str">
        <v>kingcynthia@hotmail.com</v>
      </c>
      <c r="F141" t="str">
        <f t="shared" si="28"/>
        <v>Valid</v>
      </c>
      <c r="G141" s="1" t="s">
        <v>43</v>
      </c>
      <c r="H141" s="1" t="str">
        <f t="shared" si="29"/>
        <v>Female</v>
      </c>
      <c r="I141" s="1" t="s">
        <v>28</v>
      </c>
      <c r="J141" t="str">
        <f t="shared" si="30"/>
        <v>INDIA</v>
      </c>
      <c r="L141" s="1">
        <f t="shared" si="31"/>
        <v>19</v>
      </c>
      <c r="M141" s="1" t="str">
        <f t="shared" si="32"/>
        <v>Student</v>
      </c>
      <c r="N141" s="9">
        <v>44913</v>
      </c>
      <c r="O141" s="1" t="s">
        <v>301</v>
      </c>
      <c r="P141" s="1" t="s">
        <v>20</v>
      </c>
      <c r="Q141" s="4">
        <v>80</v>
      </c>
      <c r="R141" s="13">
        <f t="shared" si="33"/>
        <v>80</v>
      </c>
      <c r="S141" s="6">
        <f t="shared" si="27"/>
        <v>0.8</v>
      </c>
      <c r="T141" s="1" t="s">
        <v>46</v>
      </c>
      <c r="U141" s="1">
        <f t="shared" si="34"/>
        <v>1</v>
      </c>
      <c r="V141" s="1">
        <f t="shared" si="35"/>
        <v>56.3</v>
      </c>
      <c r="W141" s="10" t="str">
        <f t="shared" si="36"/>
        <v>Medium</v>
      </c>
      <c r="X141" s="1">
        <v>0</v>
      </c>
      <c r="Y141" s="1" t="str">
        <f t="shared" si="37"/>
        <v>No</v>
      </c>
      <c r="Z141" s="14">
        <v>1</v>
      </c>
      <c r="AA141" s="18">
        <f t="shared" si="38"/>
        <v>1</v>
      </c>
      <c r="AB141" s="18" t="str">
        <f t="shared" si="39"/>
        <v>No</v>
      </c>
      <c r="AC141" s="9" t="s">
        <v>612</v>
      </c>
      <c r="AD141">
        <f>IF(AC141="",0,LEN(AC141)-LEN(SUBSTITUTE(AC141,",",""))+1)</f>
        <v>5</v>
      </c>
    </row>
    <row r="142" spans="1:30" ht="12.5" x14ac:dyDescent="0.25">
      <c r="A142" s="1" t="s">
        <v>613</v>
      </c>
      <c r="B142" s="1" t="s">
        <v>614</v>
      </c>
      <c r="C142" s="1" t="str">
        <v>Kathryn Jackson</v>
      </c>
      <c r="D142" s="1" t="s">
        <v>127</v>
      </c>
      <c r="E142" s="1" t="str">
        <v>invalid-email</v>
      </c>
      <c r="F142" t="str">
        <f t="shared" si="28"/>
        <v>Invalid</v>
      </c>
      <c r="G142" s="1" t="s">
        <v>57</v>
      </c>
      <c r="H142" s="1" t="str">
        <f t="shared" si="29"/>
        <v>Female</v>
      </c>
      <c r="I142" s="1" t="s">
        <v>18</v>
      </c>
      <c r="J142" t="str">
        <f t="shared" si="30"/>
        <v>US</v>
      </c>
      <c r="L142" s="1">
        <f t="shared" si="31"/>
        <v>19</v>
      </c>
      <c r="M142" s="1" t="str">
        <f t="shared" si="32"/>
        <v>Student</v>
      </c>
      <c r="N142" s="2">
        <v>45113</v>
      </c>
      <c r="O142" s="1" t="s">
        <v>69</v>
      </c>
      <c r="P142" s="1" t="s">
        <v>31</v>
      </c>
      <c r="Q142" s="4">
        <v>0.73</v>
      </c>
      <c r="R142" s="13">
        <f t="shared" si="33"/>
        <v>73</v>
      </c>
      <c r="S142" s="6">
        <f t="shared" si="27"/>
        <v>0.73</v>
      </c>
      <c r="T142" s="1" t="s">
        <v>46</v>
      </c>
      <c r="U142" s="1">
        <f t="shared" si="34"/>
        <v>1</v>
      </c>
      <c r="V142" s="1">
        <f t="shared" si="35"/>
        <v>51.399999999999991</v>
      </c>
      <c r="W142" s="10" t="str">
        <f t="shared" si="36"/>
        <v>Medium</v>
      </c>
      <c r="X142" s="1" t="s">
        <v>38</v>
      </c>
      <c r="Y142" s="1" t="str">
        <f t="shared" si="37"/>
        <v>No</v>
      </c>
      <c r="AA142" s="18" t="str">
        <f t="shared" si="38"/>
        <v>Invalid</v>
      </c>
      <c r="AB142" s="18" t="str">
        <f t="shared" si="39"/>
        <v>No</v>
      </c>
      <c r="AC142" s="9" t="s">
        <v>615</v>
      </c>
      <c r="AD142">
        <f>IF(AC142="",0,LEN(AC142)-LEN(SUBSTITUTE(AC142,",",""))+1)</f>
        <v>3</v>
      </c>
    </row>
    <row r="143" spans="1:30" ht="12.5" x14ac:dyDescent="0.25">
      <c r="A143" s="1" t="s">
        <v>616</v>
      </c>
      <c r="B143" s="1" t="s">
        <v>617</v>
      </c>
      <c r="C143" s="1" t="str">
        <v>Lisa Kirby</v>
      </c>
      <c r="D143" s="1" t="s">
        <v>618</v>
      </c>
      <c r="E143" s="1" t="str">
        <v>millerstacy@baker.org</v>
      </c>
      <c r="F143" t="str">
        <f t="shared" si="28"/>
        <v>Valid</v>
      </c>
      <c r="G143" s="1" t="s">
        <v>119</v>
      </c>
      <c r="H143" s="1" t="str">
        <f t="shared" si="29"/>
        <v>Female</v>
      </c>
      <c r="I143" s="1" t="s">
        <v>96</v>
      </c>
      <c r="J143" t="str">
        <f t="shared" si="30"/>
        <v>INDIA</v>
      </c>
      <c r="L143" s="1">
        <f t="shared" si="31"/>
        <v>19</v>
      </c>
      <c r="M143" s="1" t="str">
        <f t="shared" si="32"/>
        <v>Student</v>
      </c>
      <c r="N143" s="9">
        <v>45560</v>
      </c>
      <c r="O143" s="1" t="s">
        <v>30</v>
      </c>
      <c r="P143" s="1" t="s">
        <v>31</v>
      </c>
      <c r="Q143" s="4">
        <v>90</v>
      </c>
      <c r="R143" s="13">
        <f t="shared" si="33"/>
        <v>90</v>
      </c>
      <c r="S143" s="6">
        <f t="shared" si="27"/>
        <v>0.9</v>
      </c>
      <c r="T143" s="1" t="s">
        <v>46</v>
      </c>
      <c r="U143" s="1">
        <f t="shared" si="34"/>
        <v>1</v>
      </c>
      <c r="V143" s="1">
        <f t="shared" si="35"/>
        <v>63.29999999999999</v>
      </c>
      <c r="W143" s="10" t="str">
        <f t="shared" si="36"/>
        <v>Medium</v>
      </c>
      <c r="X143" s="1" t="s">
        <v>38</v>
      </c>
      <c r="Y143" s="1" t="str">
        <f t="shared" si="37"/>
        <v>No</v>
      </c>
      <c r="Z143" s="14">
        <v>2</v>
      </c>
      <c r="AA143" s="18">
        <f t="shared" si="38"/>
        <v>2</v>
      </c>
      <c r="AB143" s="18" t="str">
        <f t="shared" si="39"/>
        <v>No</v>
      </c>
      <c r="AC143" s="9" t="s">
        <v>619</v>
      </c>
      <c r="AD143">
        <f>IF(AC143="",0,LEN(AC143)-LEN(SUBSTITUTE(AC143,",",""))+1)</f>
        <v>8</v>
      </c>
    </row>
    <row r="144" spans="1:30" ht="12.5" x14ac:dyDescent="0.25">
      <c r="A144" s="1" t="s">
        <v>620</v>
      </c>
      <c r="B144" s="1" t="s">
        <v>621</v>
      </c>
      <c r="C144" s="1" t="str">
        <v>Maria Turner</v>
      </c>
      <c r="D144" s="1" t="s">
        <v>622</v>
      </c>
      <c r="E144" s="1" t="str">
        <v>eevans@brown.com</v>
      </c>
      <c r="F144" t="str">
        <f t="shared" si="28"/>
        <v>Valid</v>
      </c>
      <c r="G144" s="1" t="s">
        <v>119</v>
      </c>
      <c r="H144" s="1" t="str">
        <f t="shared" si="29"/>
        <v>Female</v>
      </c>
      <c r="I144" s="1" t="s">
        <v>89</v>
      </c>
      <c r="J144" t="str">
        <f t="shared" si="30"/>
        <v>GERMANY</v>
      </c>
      <c r="L144" s="1">
        <f t="shared" si="31"/>
        <v>19</v>
      </c>
      <c r="M144" s="1" t="str">
        <f t="shared" si="32"/>
        <v>Student</v>
      </c>
      <c r="N144" s="9">
        <v>45650</v>
      </c>
      <c r="O144" s="1" t="s">
        <v>69</v>
      </c>
      <c r="P144" s="1" t="s">
        <v>31</v>
      </c>
      <c r="Q144" s="4">
        <v>92</v>
      </c>
      <c r="R144" s="13">
        <f t="shared" si="33"/>
        <v>92</v>
      </c>
      <c r="S144" s="6">
        <f t="shared" si="27"/>
        <v>0.92</v>
      </c>
      <c r="T144" s="1" t="s">
        <v>46</v>
      </c>
      <c r="U144" s="1">
        <f t="shared" si="34"/>
        <v>1</v>
      </c>
      <c r="V144" s="1">
        <f t="shared" si="35"/>
        <v>64.699999999999989</v>
      </c>
      <c r="W144" s="10" t="str">
        <f t="shared" si="36"/>
        <v>Medium</v>
      </c>
      <c r="X144" s="1" t="s">
        <v>22</v>
      </c>
      <c r="Y144" s="1" t="str">
        <f t="shared" si="37"/>
        <v>No</v>
      </c>
      <c r="AA144" s="18" t="str">
        <f t="shared" si="38"/>
        <v>Invalid</v>
      </c>
      <c r="AB144" s="18" t="str">
        <f t="shared" si="39"/>
        <v>No</v>
      </c>
      <c r="AC144" s="9" t="s">
        <v>623</v>
      </c>
      <c r="AD144">
        <f>IF(AC144="",0,LEN(AC144)-LEN(SUBSTITUTE(AC144,",",""))+1)</f>
        <v>6</v>
      </c>
    </row>
    <row r="145" spans="1:30" ht="12.5" x14ac:dyDescent="0.25">
      <c r="A145" s="1" t="s">
        <v>624</v>
      </c>
      <c r="B145" s="1" t="s">
        <v>625</v>
      </c>
      <c r="C145" s="1" t="str">
        <v>Morgan Valencia</v>
      </c>
      <c r="D145" s="1" t="s">
        <v>626</v>
      </c>
      <c r="E145" s="1" t="str">
        <v>kathleenrobertson@gmail.com</v>
      </c>
      <c r="F145" t="str">
        <f t="shared" si="28"/>
        <v>Valid</v>
      </c>
      <c r="G145" s="1" t="s">
        <v>27</v>
      </c>
      <c r="H145" s="1" t="str">
        <f t="shared" si="29"/>
        <v>Male</v>
      </c>
      <c r="I145" s="1" t="s">
        <v>44</v>
      </c>
      <c r="J145" t="str">
        <f t="shared" si="30"/>
        <v>CANADA</v>
      </c>
      <c r="K145" s="14">
        <v>0</v>
      </c>
      <c r="L145" s="1">
        <f t="shared" si="31"/>
        <v>19</v>
      </c>
      <c r="M145" s="1" t="str">
        <f t="shared" si="32"/>
        <v>Student</v>
      </c>
      <c r="N145" s="9">
        <v>45186</v>
      </c>
      <c r="O145" s="1" t="s">
        <v>52</v>
      </c>
      <c r="P145" s="1" t="s">
        <v>37</v>
      </c>
      <c r="Q145" s="4">
        <v>40</v>
      </c>
      <c r="R145" s="13">
        <f t="shared" si="33"/>
        <v>40</v>
      </c>
      <c r="S145" s="6">
        <f t="shared" si="27"/>
        <v>0.4</v>
      </c>
      <c r="T145" s="1" t="s">
        <v>46</v>
      </c>
      <c r="U145" s="1">
        <f t="shared" si="34"/>
        <v>1</v>
      </c>
      <c r="V145" s="1">
        <f t="shared" si="35"/>
        <v>28.3</v>
      </c>
      <c r="W145" s="10" t="str">
        <f t="shared" si="36"/>
        <v>Low</v>
      </c>
      <c r="X145" s="1" t="s">
        <v>38</v>
      </c>
      <c r="Y145" s="1" t="str">
        <f t="shared" si="37"/>
        <v>No</v>
      </c>
      <c r="Z145" s="14">
        <v>4</v>
      </c>
      <c r="AA145" s="18">
        <f t="shared" si="38"/>
        <v>4</v>
      </c>
      <c r="AB145" s="18" t="str">
        <f t="shared" si="39"/>
        <v>No</v>
      </c>
      <c r="AC145" s="9" t="s">
        <v>627</v>
      </c>
      <c r="AD145">
        <f>IF(AC145="",0,LEN(AC145)-LEN(SUBSTITUTE(AC145,",",""))+1)</f>
        <v>4</v>
      </c>
    </row>
    <row r="146" spans="1:30" ht="12.5" x14ac:dyDescent="0.25">
      <c r="A146" s="1" t="s">
        <v>628</v>
      </c>
      <c r="B146" s="1" t="s">
        <v>629</v>
      </c>
      <c r="C146" s="1" t="str">
        <v>Charles Williams</v>
      </c>
      <c r="D146" s="1" t="s">
        <v>630</v>
      </c>
      <c r="E146" s="1" t="str">
        <v>kwright@yahoo.com</v>
      </c>
      <c r="F146" t="str">
        <f t="shared" si="28"/>
        <v>Valid</v>
      </c>
      <c r="G146" s="1" t="s">
        <v>27</v>
      </c>
      <c r="H146" s="1" t="str">
        <f t="shared" si="29"/>
        <v>Male</v>
      </c>
      <c r="I146" s="1" t="s">
        <v>136</v>
      </c>
      <c r="J146" t="str">
        <f t="shared" si="30"/>
        <v>UK</v>
      </c>
      <c r="K146" s="14">
        <v>24</v>
      </c>
      <c r="L146" s="1">
        <f t="shared" si="31"/>
        <v>24</v>
      </c>
      <c r="M146" s="1" t="str">
        <f t="shared" si="32"/>
        <v>Early Career</v>
      </c>
      <c r="N146" s="9">
        <v>45153</v>
      </c>
      <c r="O146" s="1" t="s">
        <v>58</v>
      </c>
      <c r="P146" s="1" t="s">
        <v>59</v>
      </c>
      <c r="Q146" s="4">
        <v>0.91</v>
      </c>
      <c r="R146" s="13">
        <f t="shared" si="33"/>
        <v>91</v>
      </c>
      <c r="S146" s="6">
        <f t="shared" si="27"/>
        <v>0.91</v>
      </c>
      <c r="T146" s="1">
        <v>2</v>
      </c>
      <c r="U146" s="1">
        <f t="shared" si="34"/>
        <v>2</v>
      </c>
      <c r="V146" s="1">
        <f t="shared" si="35"/>
        <v>64.3</v>
      </c>
      <c r="W146" s="10" t="str">
        <f t="shared" si="36"/>
        <v>Medium</v>
      </c>
      <c r="X146" s="1" t="s">
        <v>32</v>
      </c>
      <c r="Y146" s="1" t="str">
        <f t="shared" si="37"/>
        <v>Yes</v>
      </c>
      <c r="Z146" s="14">
        <v>1</v>
      </c>
      <c r="AA146" s="18">
        <f t="shared" si="38"/>
        <v>1</v>
      </c>
      <c r="AB146" s="18" t="str">
        <f t="shared" si="39"/>
        <v>No</v>
      </c>
      <c r="AC146" s="9" t="s">
        <v>631</v>
      </c>
      <c r="AD146">
        <f>IF(AC146="",0,LEN(AC146)-LEN(SUBSTITUTE(AC146,",",""))+1)</f>
        <v>3</v>
      </c>
    </row>
    <row r="147" spans="1:30" ht="12.5" x14ac:dyDescent="0.25">
      <c r="A147" s="1" t="s">
        <v>632</v>
      </c>
      <c r="B147" s="1" t="s">
        <v>633</v>
      </c>
      <c r="C147" s="1" t="str">
        <v>Zachary Owens</v>
      </c>
      <c r="D147" s="1" t="s">
        <v>634</v>
      </c>
      <c r="E147" s="1" t="str">
        <v>zjohnson@hotmail.com</v>
      </c>
      <c r="F147" t="str">
        <f t="shared" si="28"/>
        <v>Valid</v>
      </c>
      <c r="G147" s="1" t="s">
        <v>43</v>
      </c>
      <c r="H147" s="1" t="str">
        <f t="shared" si="29"/>
        <v>Female</v>
      </c>
      <c r="I147" s="1" t="s">
        <v>89</v>
      </c>
      <c r="J147" t="str">
        <f t="shared" si="30"/>
        <v>GERMANY</v>
      </c>
      <c r="K147" s="14">
        <v>19</v>
      </c>
      <c r="L147" s="1">
        <f t="shared" si="31"/>
        <v>19</v>
      </c>
      <c r="M147" s="1" t="str">
        <f t="shared" si="32"/>
        <v>Student</v>
      </c>
      <c r="N147" s="9">
        <v>45555</v>
      </c>
      <c r="O147" s="1" t="s">
        <v>30</v>
      </c>
      <c r="P147" s="1" t="s">
        <v>31</v>
      </c>
      <c r="Q147" s="4">
        <v>0.94</v>
      </c>
      <c r="R147" s="13">
        <f t="shared" si="33"/>
        <v>94</v>
      </c>
      <c r="S147" s="6">
        <f t="shared" si="27"/>
        <v>0.94</v>
      </c>
      <c r="T147" s="1" t="s">
        <v>21</v>
      </c>
      <c r="U147" s="1">
        <f t="shared" si="34"/>
        <v>1.5</v>
      </c>
      <c r="V147" s="1">
        <f t="shared" si="35"/>
        <v>66.25</v>
      </c>
      <c r="W147" s="10" t="str">
        <f t="shared" si="36"/>
        <v>Medium</v>
      </c>
      <c r="X147" s="1">
        <v>0</v>
      </c>
      <c r="Y147" s="1" t="str">
        <f t="shared" si="37"/>
        <v>No</v>
      </c>
      <c r="Z147" s="14">
        <v>5</v>
      </c>
      <c r="AA147" s="18">
        <f t="shared" si="38"/>
        <v>5</v>
      </c>
      <c r="AB147" s="18" t="str">
        <f t="shared" si="39"/>
        <v>No</v>
      </c>
      <c r="AC147" s="9" t="s">
        <v>635</v>
      </c>
      <c r="AD147">
        <f>IF(AC147="",0,LEN(AC147)-LEN(SUBSTITUTE(AC147,",",""))+1)</f>
        <v>5</v>
      </c>
    </row>
    <row r="148" spans="1:30" ht="12.5" x14ac:dyDescent="0.25">
      <c r="A148" s="1" t="s">
        <v>636</v>
      </c>
      <c r="B148" s="1" t="s">
        <v>637</v>
      </c>
      <c r="C148" s="1" t="str">
        <v>Anthony Simpson</v>
      </c>
      <c r="D148" s="1" t="s">
        <v>638</v>
      </c>
      <c r="E148" s="1" t="str">
        <v>amanda16@gmail.com</v>
      </c>
      <c r="F148" t="str">
        <f t="shared" si="28"/>
        <v>Valid</v>
      </c>
      <c r="G148" s="1" t="s">
        <v>119</v>
      </c>
      <c r="H148" s="1" t="str">
        <f t="shared" si="29"/>
        <v>Female</v>
      </c>
      <c r="I148" s="1" t="s">
        <v>136</v>
      </c>
      <c r="J148" t="str">
        <f t="shared" si="30"/>
        <v>UK</v>
      </c>
      <c r="K148" s="14">
        <v>38</v>
      </c>
      <c r="L148" s="1">
        <f t="shared" si="31"/>
        <v>38</v>
      </c>
      <c r="M148" s="1" t="str">
        <f t="shared" si="32"/>
        <v>Mid Career</v>
      </c>
      <c r="N148" s="9">
        <v>45368</v>
      </c>
      <c r="O148" s="1" t="s">
        <v>158</v>
      </c>
      <c r="P148" s="1" t="s">
        <v>59</v>
      </c>
      <c r="Q148" s="4">
        <v>20</v>
      </c>
      <c r="R148" s="13">
        <f t="shared" si="33"/>
        <v>20</v>
      </c>
      <c r="S148" s="6">
        <f t="shared" si="27"/>
        <v>0.2</v>
      </c>
      <c r="T148" s="1">
        <v>1.5</v>
      </c>
      <c r="U148" s="1">
        <f t="shared" si="34"/>
        <v>1.5</v>
      </c>
      <c r="V148" s="1">
        <f t="shared" si="35"/>
        <v>14.45</v>
      </c>
      <c r="W148" s="10" t="str">
        <f t="shared" si="36"/>
        <v>Low</v>
      </c>
      <c r="X148" s="1" t="s">
        <v>32</v>
      </c>
      <c r="Y148" s="1" t="str">
        <f t="shared" si="37"/>
        <v>Yes</v>
      </c>
      <c r="Z148" s="14">
        <v>4</v>
      </c>
      <c r="AA148" s="18">
        <f t="shared" si="38"/>
        <v>4</v>
      </c>
      <c r="AB148" s="18" t="str">
        <f t="shared" si="39"/>
        <v>High Performer</v>
      </c>
      <c r="AC148" s="9" t="s">
        <v>639</v>
      </c>
      <c r="AD148">
        <f>IF(AC148="",0,LEN(AC148)-LEN(SUBSTITUTE(AC148,",",""))+1)</f>
        <v>3</v>
      </c>
    </row>
    <row r="149" spans="1:30" ht="12.5" x14ac:dyDescent="0.25">
      <c r="A149" s="1" t="s">
        <v>640</v>
      </c>
      <c r="B149" s="1" t="s">
        <v>641</v>
      </c>
      <c r="C149" s="1" t="str">
        <v>James Hudson</v>
      </c>
      <c r="D149" s="1" t="s">
        <v>642</v>
      </c>
      <c r="E149" s="1" t="str">
        <v>angela16@cole.org</v>
      </c>
      <c r="F149" t="str">
        <f t="shared" si="28"/>
        <v>Valid</v>
      </c>
      <c r="G149" s="1" t="s">
        <v>95</v>
      </c>
      <c r="H149" s="1" t="str">
        <f t="shared" si="29"/>
        <v>Male</v>
      </c>
      <c r="I149" s="1" t="s">
        <v>51</v>
      </c>
      <c r="J149" t="str">
        <f t="shared" si="30"/>
        <v>UK</v>
      </c>
      <c r="K149" s="14">
        <v>31</v>
      </c>
      <c r="L149" s="1">
        <f t="shared" si="31"/>
        <v>31</v>
      </c>
      <c r="M149" s="1" t="str">
        <f t="shared" si="32"/>
        <v>Mid Career</v>
      </c>
      <c r="N149" s="9">
        <v>45068</v>
      </c>
      <c r="O149" s="1" t="s">
        <v>52</v>
      </c>
      <c r="P149" s="1" t="s">
        <v>37</v>
      </c>
      <c r="Q149" s="4">
        <v>0.28999999999999998</v>
      </c>
      <c r="R149" s="13">
        <f t="shared" si="33"/>
        <v>28.999999999999996</v>
      </c>
      <c r="S149" s="6">
        <f t="shared" si="27"/>
        <v>0.28999999999999998</v>
      </c>
      <c r="T149" s="1">
        <v>1.5</v>
      </c>
      <c r="U149" s="1">
        <f t="shared" si="34"/>
        <v>1.5</v>
      </c>
      <c r="V149" s="1">
        <f t="shared" si="35"/>
        <v>20.749999999999996</v>
      </c>
      <c r="W149" s="10" t="str">
        <f t="shared" si="36"/>
        <v>Low</v>
      </c>
      <c r="X149" s="1" t="s">
        <v>76</v>
      </c>
      <c r="Y149" s="1" t="str">
        <f t="shared" si="37"/>
        <v>Yes</v>
      </c>
      <c r="Z149" s="14">
        <v>5</v>
      </c>
      <c r="AA149" s="18">
        <f t="shared" si="38"/>
        <v>5</v>
      </c>
      <c r="AB149" s="18" t="str">
        <f t="shared" si="39"/>
        <v>High Performer</v>
      </c>
      <c r="AC149" s="9" t="s">
        <v>643</v>
      </c>
      <c r="AD149">
        <f>IF(AC149="",0,LEN(AC149)-LEN(SUBSTITUTE(AC149,",",""))+1)</f>
        <v>1</v>
      </c>
    </row>
    <row r="150" spans="1:30" ht="12.5" x14ac:dyDescent="0.25">
      <c r="A150" s="1" t="s">
        <v>644</v>
      </c>
      <c r="B150" s="1" t="s">
        <v>645</v>
      </c>
      <c r="C150" s="1" t="str">
        <v>Jake Hatfield</v>
      </c>
      <c r="D150" s="1" t="s">
        <v>646</v>
      </c>
      <c r="E150" s="1" t="str">
        <v>jameshicks@hotmail.com</v>
      </c>
      <c r="F150" t="str">
        <f t="shared" si="28"/>
        <v>Valid</v>
      </c>
      <c r="G150" s="1" t="s">
        <v>17</v>
      </c>
      <c r="H150" s="1" t="str">
        <f t="shared" si="29"/>
        <v>Female</v>
      </c>
      <c r="I150" s="1" t="s">
        <v>156</v>
      </c>
      <c r="J150" t="str">
        <f t="shared" si="30"/>
        <v>IN</v>
      </c>
      <c r="L150" s="1">
        <f t="shared" si="31"/>
        <v>19</v>
      </c>
      <c r="M150" s="1" t="str">
        <f t="shared" si="32"/>
        <v>Student</v>
      </c>
      <c r="N150" s="9">
        <v>45714</v>
      </c>
      <c r="O150" s="1" t="s">
        <v>58</v>
      </c>
      <c r="P150" s="1" t="s">
        <v>59</v>
      </c>
      <c r="Q150" s="4">
        <v>37</v>
      </c>
      <c r="R150" s="13">
        <f t="shared" si="33"/>
        <v>37</v>
      </c>
      <c r="S150" s="6">
        <f t="shared" si="27"/>
        <v>0.37</v>
      </c>
      <c r="T150" s="1" t="s">
        <v>46</v>
      </c>
      <c r="U150" s="1">
        <f t="shared" si="34"/>
        <v>1</v>
      </c>
      <c r="V150" s="1">
        <f t="shared" si="35"/>
        <v>26.2</v>
      </c>
      <c r="W150" s="10" t="str">
        <f t="shared" si="36"/>
        <v>Low</v>
      </c>
      <c r="X150" s="1">
        <v>1</v>
      </c>
      <c r="Y150" s="1" t="str">
        <f t="shared" si="37"/>
        <v>Yes</v>
      </c>
      <c r="Z150" s="14">
        <v>1</v>
      </c>
      <c r="AA150" s="18">
        <f t="shared" si="38"/>
        <v>1</v>
      </c>
      <c r="AB150" s="18" t="str">
        <f t="shared" si="39"/>
        <v>No</v>
      </c>
      <c r="AC150" s="9" t="s">
        <v>647</v>
      </c>
      <c r="AD150">
        <f>IF(AC150="",0,LEN(AC150)-LEN(SUBSTITUTE(AC150,",",""))+1)</f>
        <v>3</v>
      </c>
    </row>
    <row r="151" spans="1:30" ht="12.5" x14ac:dyDescent="0.25">
      <c r="A151" s="1" t="s">
        <v>648</v>
      </c>
      <c r="B151" s="1" t="s">
        <v>649</v>
      </c>
      <c r="C151" s="1" t="str">
        <v>John Bryant</v>
      </c>
      <c r="D151" s="1" t="s">
        <v>650</v>
      </c>
      <c r="E151" s="1" t="str">
        <v>sarah52@ewing-stevenson.com</v>
      </c>
      <c r="F151" t="str">
        <f t="shared" si="28"/>
        <v>Valid</v>
      </c>
      <c r="G151" s="1" t="s">
        <v>119</v>
      </c>
      <c r="H151" s="1" t="str">
        <f t="shared" si="29"/>
        <v>Female</v>
      </c>
      <c r="I151" s="1" t="s">
        <v>44</v>
      </c>
      <c r="J151" t="str">
        <f t="shared" si="30"/>
        <v>CANADA</v>
      </c>
      <c r="K151" s="14">
        <v>40</v>
      </c>
      <c r="L151" s="1">
        <f t="shared" si="31"/>
        <v>40</v>
      </c>
      <c r="M151" s="1" t="str">
        <f t="shared" si="32"/>
        <v>Mid Career</v>
      </c>
      <c r="N151" s="2">
        <v>44779</v>
      </c>
      <c r="O151" s="1" t="s">
        <v>69</v>
      </c>
      <c r="P151" s="1" t="s">
        <v>31</v>
      </c>
      <c r="Q151" s="4">
        <v>0.24</v>
      </c>
      <c r="R151" s="13">
        <f t="shared" si="33"/>
        <v>24</v>
      </c>
      <c r="S151" s="6">
        <f t="shared" si="27"/>
        <v>0.24</v>
      </c>
      <c r="T151" s="1">
        <v>45</v>
      </c>
      <c r="U151" s="1">
        <f t="shared" si="34"/>
        <v>45</v>
      </c>
      <c r="V151" s="1">
        <f t="shared" si="35"/>
        <v>30.299999999999997</v>
      </c>
      <c r="W151" s="10" t="str">
        <f t="shared" si="36"/>
        <v>Low</v>
      </c>
      <c r="X151" s="1" t="s">
        <v>32</v>
      </c>
      <c r="Y151" s="1" t="str">
        <f t="shared" si="37"/>
        <v>Yes</v>
      </c>
      <c r="Z151" s="14">
        <v>6</v>
      </c>
      <c r="AA151" s="18">
        <f t="shared" si="38"/>
        <v>6</v>
      </c>
      <c r="AB151" s="18" t="str">
        <f t="shared" si="39"/>
        <v>High Performer</v>
      </c>
      <c r="AC151" s="9" t="s">
        <v>651</v>
      </c>
      <c r="AD151">
        <f>IF(AC151="",0,LEN(AC151)-LEN(SUBSTITUTE(AC151,",",""))+1)</f>
        <v>3</v>
      </c>
    </row>
    <row r="152" spans="1:30" ht="12.5" x14ac:dyDescent="0.25">
      <c r="A152" s="1" t="s">
        <v>652</v>
      </c>
      <c r="B152" s="1" t="s">
        <v>653</v>
      </c>
      <c r="C152" s="1" t="str">
        <v>Michelle Evans</v>
      </c>
      <c r="D152" s="1" t="s">
        <v>654</v>
      </c>
      <c r="E152" s="1" t="str">
        <v>mark16@parker.com</v>
      </c>
      <c r="F152" t="str">
        <f t="shared" si="28"/>
        <v>Valid</v>
      </c>
      <c r="G152" s="1" t="s">
        <v>17</v>
      </c>
      <c r="H152" s="1" t="str">
        <f t="shared" si="29"/>
        <v>Female</v>
      </c>
      <c r="I152" s="1" t="s">
        <v>18</v>
      </c>
      <c r="J152" t="str">
        <f t="shared" si="30"/>
        <v>US</v>
      </c>
      <c r="K152" s="14">
        <v>39</v>
      </c>
      <c r="L152" s="1">
        <f t="shared" si="31"/>
        <v>39</v>
      </c>
      <c r="M152" s="1" t="str">
        <f t="shared" si="32"/>
        <v>Mid Career</v>
      </c>
      <c r="N152" s="9">
        <v>45580</v>
      </c>
      <c r="O152" s="1" t="s">
        <v>75</v>
      </c>
      <c r="P152" s="1" t="s">
        <v>37</v>
      </c>
      <c r="Q152" s="4">
        <v>0.81</v>
      </c>
      <c r="R152" s="13">
        <f t="shared" si="33"/>
        <v>81</v>
      </c>
      <c r="S152" s="6">
        <f t="shared" si="27"/>
        <v>0.81</v>
      </c>
      <c r="T152" s="1" t="s">
        <v>21</v>
      </c>
      <c r="U152" s="1">
        <f t="shared" si="34"/>
        <v>1.5</v>
      </c>
      <c r="V152" s="1">
        <f t="shared" si="35"/>
        <v>57.15</v>
      </c>
      <c r="W152" s="10" t="str">
        <f t="shared" si="36"/>
        <v>Medium</v>
      </c>
      <c r="X152" s="1" t="s">
        <v>22</v>
      </c>
      <c r="Y152" s="1" t="str">
        <f t="shared" si="37"/>
        <v>No</v>
      </c>
      <c r="Z152" s="14">
        <v>4</v>
      </c>
      <c r="AA152" s="18">
        <f t="shared" si="38"/>
        <v>4</v>
      </c>
      <c r="AB152" s="18" t="str">
        <f t="shared" si="39"/>
        <v>No</v>
      </c>
      <c r="AC152" s="9" t="s">
        <v>655</v>
      </c>
      <c r="AD152">
        <f>IF(AC152="",0,LEN(AC152)-LEN(SUBSTITUTE(AC152,",",""))+1)</f>
        <v>4</v>
      </c>
    </row>
    <row r="153" spans="1:30" ht="12.5" x14ac:dyDescent="0.25">
      <c r="A153" s="1" t="s">
        <v>656</v>
      </c>
      <c r="B153" s="1" t="s">
        <v>657</v>
      </c>
      <c r="C153" s="1" t="str">
        <v>Paula Lane</v>
      </c>
      <c r="D153" s="1" t="s">
        <v>658</v>
      </c>
      <c r="E153" s="1" t="str">
        <v>ojackson@harvey.com</v>
      </c>
      <c r="F153" t="str">
        <f t="shared" si="28"/>
        <v>Valid</v>
      </c>
      <c r="G153" s="1" t="s">
        <v>27</v>
      </c>
      <c r="H153" s="1" t="str">
        <f t="shared" si="29"/>
        <v>Male</v>
      </c>
      <c r="I153" s="1" t="s">
        <v>28</v>
      </c>
      <c r="J153" t="str">
        <f t="shared" si="30"/>
        <v>INDIA</v>
      </c>
      <c r="K153" s="14">
        <v>0</v>
      </c>
      <c r="L153" s="1">
        <f t="shared" si="31"/>
        <v>19</v>
      </c>
      <c r="M153" s="1" t="str">
        <f t="shared" si="32"/>
        <v>Student</v>
      </c>
      <c r="N153" s="9">
        <v>45585</v>
      </c>
      <c r="O153" s="1" t="s">
        <v>58</v>
      </c>
      <c r="P153" s="1" t="s">
        <v>59</v>
      </c>
      <c r="Q153" s="4">
        <v>0.3</v>
      </c>
      <c r="R153" s="13">
        <f t="shared" si="33"/>
        <v>30</v>
      </c>
      <c r="S153" s="6">
        <f t="shared" si="27"/>
        <v>0.3</v>
      </c>
      <c r="T153" s="1">
        <v>1.5</v>
      </c>
      <c r="U153" s="1">
        <f t="shared" si="34"/>
        <v>1.5</v>
      </c>
      <c r="V153" s="1">
        <f t="shared" si="35"/>
        <v>21.45</v>
      </c>
      <c r="W153" s="10" t="str">
        <f t="shared" si="36"/>
        <v>Low</v>
      </c>
      <c r="X153" s="1" t="s">
        <v>22</v>
      </c>
      <c r="Y153" s="1" t="str">
        <f t="shared" si="37"/>
        <v>No</v>
      </c>
      <c r="Z153" s="14">
        <v>4</v>
      </c>
      <c r="AA153" s="18">
        <f t="shared" si="38"/>
        <v>4</v>
      </c>
      <c r="AB153" s="18" t="str">
        <f t="shared" si="39"/>
        <v>No</v>
      </c>
      <c r="AC153" s="9" t="s">
        <v>659</v>
      </c>
      <c r="AD153">
        <f>IF(AC153="",0,LEN(AC153)-LEN(SUBSTITUTE(AC153,",",""))+1)</f>
        <v>4</v>
      </c>
    </row>
    <row r="154" spans="1:30" ht="12.5" x14ac:dyDescent="0.25">
      <c r="A154" s="1" t="s">
        <v>660</v>
      </c>
      <c r="B154" s="1" t="s">
        <v>661</v>
      </c>
      <c r="C154" s="1" t="str">
        <v>Jeremy Barnes</v>
      </c>
      <c r="D154" s="1" t="s">
        <v>662</v>
      </c>
      <c r="E154" s="1" t="str">
        <v>roberthampton@yahoo.com</v>
      </c>
      <c r="F154" t="str">
        <f t="shared" si="28"/>
        <v>Valid</v>
      </c>
      <c r="G154" s="1" t="s">
        <v>27</v>
      </c>
      <c r="H154" s="1" t="str">
        <f t="shared" si="29"/>
        <v>Male</v>
      </c>
      <c r="I154" s="1" t="s">
        <v>74</v>
      </c>
      <c r="J154" t="str">
        <f t="shared" si="30"/>
        <v>USA</v>
      </c>
      <c r="L154" s="1">
        <f t="shared" si="31"/>
        <v>19</v>
      </c>
      <c r="M154" s="1" t="str">
        <f t="shared" si="32"/>
        <v>Student</v>
      </c>
      <c r="N154" s="9">
        <v>44707</v>
      </c>
      <c r="O154" s="1" t="s">
        <v>45</v>
      </c>
      <c r="P154" s="1" t="s">
        <v>20</v>
      </c>
      <c r="Q154" s="4">
        <v>0.51</v>
      </c>
      <c r="R154" s="13">
        <f t="shared" si="33"/>
        <v>51</v>
      </c>
      <c r="S154" s="6">
        <f t="shared" si="27"/>
        <v>0.51</v>
      </c>
      <c r="T154" s="1" t="s">
        <v>64</v>
      </c>
      <c r="U154" s="1">
        <f t="shared" si="34"/>
        <v>2</v>
      </c>
      <c r="V154" s="1">
        <f t="shared" si="35"/>
        <v>36.299999999999997</v>
      </c>
      <c r="W154" s="10" t="str">
        <f t="shared" si="36"/>
        <v>Low</v>
      </c>
      <c r="X154" s="1" t="s">
        <v>22</v>
      </c>
      <c r="Y154" s="1" t="str">
        <f t="shared" si="37"/>
        <v>No</v>
      </c>
      <c r="AA154" s="18" t="str">
        <f t="shared" si="38"/>
        <v>Invalid</v>
      </c>
      <c r="AB154" s="18" t="str">
        <f t="shared" si="39"/>
        <v>No</v>
      </c>
      <c r="AC154" s="9" t="s">
        <v>663</v>
      </c>
      <c r="AD154">
        <f>IF(AC154="",0,LEN(AC154)-LEN(SUBSTITUTE(AC154,",",""))+1)</f>
        <v>2</v>
      </c>
    </row>
    <row r="155" spans="1:30" ht="12.5" x14ac:dyDescent="0.25">
      <c r="A155" s="1" t="s">
        <v>664</v>
      </c>
      <c r="B155" s="1" t="s">
        <v>665</v>
      </c>
      <c r="C155" s="1" t="str">
        <v>Yolanda Mendoza</v>
      </c>
      <c r="D155" s="1" t="s">
        <v>666</v>
      </c>
      <c r="E155" s="1" t="str">
        <v>sue78@yahoo.com</v>
      </c>
      <c r="F155" t="str">
        <f t="shared" si="28"/>
        <v>Valid</v>
      </c>
      <c r="G155" s="1" t="s">
        <v>119</v>
      </c>
      <c r="H155" s="1" t="str">
        <f t="shared" si="29"/>
        <v>Female</v>
      </c>
      <c r="I155" s="1" t="s">
        <v>96</v>
      </c>
      <c r="J155" t="str">
        <f t="shared" si="30"/>
        <v>INDIA</v>
      </c>
      <c r="K155" s="14">
        <v>0</v>
      </c>
      <c r="L155" s="1">
        <f t="shared" si="31"/>
        <v>19</v>
      </c>
      <c r="M155" s="1" t="str">
        <f t="shared" si="32"/>
        <v>Student</v>
      </c>
      <c r="N155" s="2">
        <v>44902</v>
      </c>
      <c r="O155" s="1" t="s">
        <v>235</v>
      </c>
      <c r="P155" s="1" t="s">
        <v>147</v>
      </c>
      <c r="Q155" s="4">
        <v>0.77</v>
      </c>
      <c r="R155" s="13">
        <f t="shared" si="33"/>
        <v>77</v>
      </c>
      <c r="S155" s="6">
        <f t="shared" si="27"/>
        <v>0.77</v>
      </c>
      <c r="T155" s="1" t="s">
        <v>21</v>
      </c>
      <c r="U155" s="1">
        <f t="shared" si="34"/>
        <v>1.5</v>
      </c>
      <c r="V155" s="1">
        <f t="shared" si="35"/>
        <v>54.35</v>
      </c>
      <c r="W155" s="10" t="str">
        <f t="shared" si="36"/>
        <v>Medium</v>
      </c>
      <c r="X155" s="1" t="s">
        <v>22</v>
      </c>
      <c r="Y155" s="1" t="str">
        <f t="shared" si="37"/>
        <v>No</v>
      </c>
      <c r="Z155" s="14">
        <v>3</v>
      </c>
      <c r="AA155" s="18">
        <f t="shared" si="38"/>
        <v>3</v>
      </c>
      <c r="AB155" s="18" t="str">
        <f t="shared" si="39"/>
        <v>No</v>
      </c>
      <c r="AC155" s="9" t="s">
        <v>667</v>
      </c>
      <c r="AD155">
        <f>IF(AC155="",0,LEN(AC155)-LEN(SUBSTITUTE(AC155,",",""))+1)</f>
        <v>8</v>
      </c>
    </row>
    <row r="156" spans="1:30" ht="12.5" x14ac:dyDescent="0.25">
      <c r="A156" s="1" t="s">
        <v>668</v>
      </c>
      <c r="B156" s="1" t="s">
        <v>669</v>
      </c>
      <c r="C156" s="1" t="str">
        <v>Maria Steele</v>
      </c>
      <c r="D156" s="1" t="s">
        <v>670</v>
      </c>
      <c r="E156" s="1" t="str">
        <v>susanramirez@yahoo.com</v>
      </c>
      <c r="F156" t="str">
        <f t="shared" si="28"/>
        <v>Valid</v>
      </c>
      <c r="G156" s="1" t="s">
        <v>43</v>
      </c>
      <c r="H156" s="1" t="str">
        <f t="shared" si="29"/>
        <v>Female</v>
      </c>
      <c r="I156" s="1" t="s">
        <v>96</v>
      </c>
      <c r="J156" t="str">
        <f t="shared" si="30"/>
        <v>INDIA</v>
      </c>
      <c r="K156" s="14">
        <v>22</v>
      </c>
      <c r="L156" s="1">
        <f t="shared" si="31"/>
        <v>22</v>
      </c>
      <c r="M156" s="1" t="str">
        <f t="shared" si="32"/>
        <v>Early Career</v>
      </c>
      <c r="N156" s="2">
        <v>45330</v>
      </c>
      <c r="O156" s="1" t="s">
        <v>90</v>
      </c>
      <c r="P156" s="1" t="s">
        <v>31</v>
      </c>
      <c r="Q156" s="4">
        <v>9</v>
      </c>
      <c r="R156" s="13">
        <f t="shared" si="33"/>
        <v>9</v>
      </c>
      <c r="S156" s="6">
        <f t="shared" si="27"/>
        <v>0.09</v>
      </c>
      <c r="T156" s="1">
        <v>45</v>
      </c>
      <c r="U156" s="1">
        <f t="shared" si="34"/>
        <v>45</v>
      </c>
      <c r="V156" s="1">
        <f t="shared" si="35"/>
        <v>19.8</v>
      </c>
      <c r="W156" s="10" t="str">
        <f t="shared" si="36"/>
        <v>Low</v>
      </c>
      <c r="X156" s="1">
        <v>1</v>
      </c>
      <c r="Y156" s="1" t="str">
        <f t="shared" si="37"/>
        <v>Yes</v>
      </c>
      <c r="Z156" s="14">
        <v>5</v>
      </c>
      <c r="AA156" s="18">
        <f t="shared" si="38"/>
        <v>5</v>
      </c>
      <c r="AB156" s="18" t="str">
        <f t="shared" si="39"/>
        <v>High Performer</v>
      </c>
      <c r="AC156" s="9" t="s">
        <v>671</v>
      </c>
      <c r="AD156">
        <f>IF(AC156="",0,LEN(AC156)-LEN(SUBSTITUTE(AC156,",",""))+1)</f>
        <v>8</v>
      </c>
    </row>
    <row r="157" spans="1:30" ht="12.5" x14ac:dyDescent="0.25">
      <c r="A157" s="1" t="s">
        <v>672</v>
      </c>
      <c r="B157" s="1" t="s">
        <v>673</v>
      </c>
      <c r="C157" s="1" t="str">
        <v>Michele Vaughn</v>
      </c>
      <c r="D157" s="1" t="s">
        <v>674</v>
      </c>
      <c r="E157" s="1" t="str">
        <v>timothy84@yahoo.com</v>
      </c>
      <c r="F157" t="str">
        <f t="shared" si="28"/>
        <v>Valid</v>
      </c>
      <c r="G157" s="1" t="s">
        <v>109</v>
      </c>
      <c r="H157" s="1" t="str">
        <f t="shared" si="29"/>
        <v>Male</v>
      </c>
      <c r="I157" s="1" t="s">
        <v>96</v>
      </c>
      <c r="J157" t="str">
        <f t="shared" si="30"/>
        <v>INDIA</v>
      </c>
      <c r="L157" s="1">
        <f t="shared" si="31"/>
        <v>19</v>
      </c>
      <c r="M157" s="1" t="str">
        <f t="shared" si="32"/>
        <v>Student</v>
      </c>
      <c r="N157" s="9">
        <v>45007</v>
      </c>
      <c r="O157" s="1" t="s">
        <v>158</v>
      </c>
      <c r="P157" s="1" t="s">
        <v>59</v>
      </c>
      <c r="Q157" s="4">
        <v>0.11</v>
      </c>
      <c r="R157" s="13">
        <f t="shared" si="33"/>
        <v>11</v>
      </c>
      <c r="S157" s="6">
        <f t="shared" si="27"/>
        <v>0.11</v>
      </c>
      <c r="T157" s="1" t="s">
        <v>46</v>
      </c>
      <c r="U157" s="1">
        <f t="shared" si="34"/>
        <v>1</v>
      </c>
      <c r="V157" s="1">
        <f t="shared" si="35"/>
        <v>7.9999999999999991</v>
      </c>
      <c r="W157" s="10" t="str">
        <f t="shared" si="36"/>
        <v>Low</v>
      </c>
      <c r="X157" s="1">
        <v>1</v>
      </c>
      <c r="Y157" s="1" t="str">
        <f t="shared" si="37"/>
        <v>Yes</v>
      </c>
      <c r="Z157" s="14">
        <v>5</v>
      </c>
      <c r="AA157" s="18">
        <f t="shared" si="38"/>
        <v>5</v>
      </c>
      <c r="AB157" s="18" t="str">
        <f t="shared" si="39"/>
        <v>High Performer</v>
      </c>
      <c r="AC157" s="9" t="s">
        <v>675</v>
      </c>
      <c r="AD157">
        <f>IF(AC157="",0,LEN(AC157)-LEN(SUBSTITUTE(AC157,",",""))+1)</f>
        <v>4</v>
      </c>
    </row>
    <row r="158" spans="1:30" ht="12.5" x14ac:dyDescent="0.25">
      <c r="A158" s="1" t="s">
        <v>676</v>
      </c>
      <c r="B158" s="1" t="s">
        <v>677</v>
      </c>
      <c r="C158" s="1" t="str">
        <v>Jennifer Reed</v>
      </c>
      <c r="D158" s="1" t="s">
        <v>678</v>
      </c>
      <c r="E158" s="1" t="str">
        <v>bobby15@douglas-burgess.com</v>
      </c>
      <c r="F158" t="str">
        <f t="shared" si="28"/>
        <v>Valid</v>
      </c>
      <c r="G158" s="1" t="s">
        <v>17</v>
      </c>
      <c r="H158" s="1" t="str">
        <f t="shared" si="29"/>
        <v>Female</v>
      </c>
      <c r="I158" s="1" t="s">
        <v>28</v>
      </c>
      <c r="J158" t="str">
        <f t="shared" si="30"/>
        <v>INDIA</v>
      </c>
      <c r="L158" s="1">
        <f t="shared" si="31"/>
        <v>19</v>
      </c>
      <c r="M158" s="1" t="str">
        <f t="shared" si="32"/>
        <v>Student</v>
      </c>
      <c r="N158" s="9">
        <v>44847</v>
      </c>
      <c r="O158" s="1" t="s">
        <v>114</v>
      </c>
      <c r="P158" s="1" t="s">
        <v>59</v>
      </c>
      <c r="Q158" s="4">
        <v>0.32</v>
      </c>
      <c r="R158" s="13">
        <f t="shared" si="33"/>
        <v>32</v>
      </c>
      <c r="S158" s="6">
        <f t="shared" si="27"/>
        <v>0.32</v>
      </c>
      <c r="T158" s="1" t="s">
        <v>46</v>
      </c>
      <c r="U158" s="1">
        <f t="shared" si="34"/>
        <v>1</v>
      </c>
      <c r="V158" s="1">
        <f t="shared" si="35"/>
        <v>22.7</v>
      </c>
      <c r="W158" s="10" t="str">
        <f t="shared" si="36"/>
        <v>Low</v>
      </c>
      <c r="X158" s="1">
        <v>1</v>
      </c>
      <c r="Y158" s="1" t="str">
        <f t="shared" si="37"/>
        <v>Yes</v>
      </c>
      <c r="Z158" s="14">
        <v>6</v>
      </c>
      <c r="AA158" s="18">
        <f t="shared" si="38"/>
        <v>6</v>
      </c>
      <c r="AB158" s="18" t="str">
        <f t="shared" si="39"/>
        <v>High Performer</v>
      </c>
      <c r="AC158" s="9" t="s">
        <v>679</v>
      </c>
      <c r="AD158">
        <f>IF(AC158="",0,LEN(AC158)-LEN(SUBSTITUTE(AC158,",",""))+1)</f>
        <v>5</v>
      </c>
    </row>
    <row r="159" spans="1:30" ht="12.5" x14ac:dyDescent="0.25">
      <c r="A159" s="1" t="s">
        <v>680</v>
      </c>
      <c r="B159" s="1" t="s">
        <v>681</v>
      </c>
      <c r="C159" s="1" t="str">
        <v>Denise Rodriguez</v>
      </c>
      <c r="D159" s="1" t="s">
        <v>682</v>
      </c>
      <c r="E159" s="1" t="str">
        <v>brentstein@little.com</v>
      </c>
      <c r="F159" t="str">
        <f t="shared" si="28"/>
        <v>Valid</v>
      </c>
      <c r="G159" s="1" t="s">
        <v>88</v>
      </c>
      <c r="H159" s="1" t="str">
        <f t="shared" si="29"/>
        <v>Male</v>
      </c>
      <c r="I159" s="1" t="s">
        <v>156</v>
      </c>
      <c r="J159" t="str">
        <f t="shared" si="30"/>
        <v>IN</v>
      </c>
      <c r="L159" s="1">
        <f t="shared" si="31"/>
        <v>19</v>
      </c>
      <c r="M159" s="1" t="str">
        <f t="shared" si="32"/>
        <v>Student</v>
      </c>
      <c r="N159" s="9">
        <v>44971</v>
      </c>
      <c r="O159" s="1" t="s">
        <v>19</v>
      </c>
      <c r="P159" s="1" t="s">
        <v>20</v>
      </c>
      <c r="Q159" s="4">
        <v>0.23</v>
      </c>
      <c r="R159" s="13">
        <f t="shared" si="33"/>
        <v>23</v>
      </c>
      <c r="S159" s="6">
        <f t="shared" si="27"/>
        <v>0.23</v>
      </c>
      <c r="T159" s="1">
        <v>1.5</v>
      </c>
      <c r="U159" s="1">
        <f t="shared" si="34"/>
        <v>1.5</v>
      </c>
      <c r="V159" s="1">
        <f t="shared" si="35"/>
        <v>16.549999999999997</v>
      </c>
      <c r="W159" s="10" t="str">
        <f t="shared" si="36"/>
        <v>Low</v>
      </c>
      <c r="X159" s="1" t="s">
        <v>38</v>
      </c>
      <c r="Y159" s="1" t="str">
        <f t="shared" si="37"/>
        <v>No</v>
      </c>
      <c r="Z159" s="14">
        <v>6</v>
      </c>
      <c r="AA159" s="18">
        <f t="shared" si="38"/>
        <v>6</v>
      </c>
      <c r="AB159" s="18" t="str">
        <f t="shared" si="39"/>
        <v>No</v>
      </c>
      <c r="AC159" s="9" t="s">
        <v>683</v>
      </c>
      <c r="AD159">
        <f>IF(AC159="",0,LEN(AC159)-LEN(SUBSTITUTE(AC159,",",""))+1)</f>
        <v>8</v>
      </c>
    </row>
    <row r="160" spans="1:30" ht="12.5" x14ac:dyDescent="0.25">
      <c r="A160" s="1" t="s">
        <v>684</v>
      </c>
      <c r="B160" s="1" t="s">
        <v>685</v>
      </c>
      <c r="C160" s="1" t="str">
        <v>Brenda Oconnell</v>
      </c>
      <c r="D160" s="1" t="s">
        <v>686</v>
      </c>
      <c r="E160" s="1" t="str">
        <v>edelgado@santos-avila.com</v>
      </c>
      <c r="F160" t="str">
        <f t="shared" si="28"/>
        <v>Valid</v>
      </c>
      <c r="G160" s="1" t="s">
        <v>109</v>
      </c>
      <c r="H160" s="1" t="str">
        <f t="shared" si="29"/>
        <v>Male</v>
      </c>
      <c r="I160" s="1" t="s">
        <v>89</v>
      </c>
      <c r="J160" t="str">
        <f t="shared" si="30"/>
        <v>GERMANY</v>
      </c>
      <c r="K160" s="14">
        <v>44</v>
      </c>
      <c r="L160" s="1">
        <f t="shared" si="31"/>
        <v>44</v>
      </c>
      <c r="M160" s="1" t="str">
        <f t="shared" si="32"/>
        <v>Senior</v>
      </c>
      <c r="N160" s="2">
        <v>45536</v>
      </c>
      <c r="O160" s="1" t="s">
        <v>158</v>
      </c>
      <c r="P160" s="1" t="s">
        <v>59</v>
      </c>
      <c r="Q160" s="4">
        <v>15</v>
      </c>
      <c r="R160" s="13">
        <f t="shared" si="33"/>
        <v>15</v>
      </c>
      <c r="S160" s="6">
        <f t="shared" si="27"/>
        <v>0.15</v>
      </c>
      <c r="T160" s="1" t="s">
        <v>46</v>
      </c>
      <c r="U160" s="1">
        <f t="shared" si="34"/>
        <v>1</v>
      </c>
      <c r="V160" s="1">
        <f t="shared" si="35"/>
        <v>10.8</v>
      </c>
      <c r="W160" s="10" t="str">
        <f t="shared" si="36"/>
        <v>Low</v>
      </c>
      <c r="X160" s="1" t="s">
        <v>32</v>
      </c>
      <c r="Y160" s="1" t="str">
        <f t="shared" si="37"/>
        <v>Yes</v>
      </c>
      <c r="Z160" s="14">
        <v>2</v>
      </c>
      <c r="AA160" s="18">
        <f t="shared" si="38"/>
        <v>2</v>
      </c>
      <c r="AB160" s="18" t="str">
        <f t="shared" si="39"/>
        <v>No</v>
      </c>
      <c r="AC160" s="9" t="s">
        <v>687</v>
      </c>
      <c r="AD160">
        <f>IF(AC160="",0,LEN(AC160)-LEN(SUBSTITUTE(AC160,",",""))+1)</f>
        <v>3</v>
      </c>
    </row>
    <row r="161" spans="1:30" ht="12.5" x14ac:dyDescent="0.25">
      <c r="A161" s="1" t="s">
        <v>688</v>
      </c>
      <c r="B161" s="1" t="s">
        <v>689</v>
      </c>
      <c r="C161" s="1" t="str">
        <v>Marissa Hall</v>
      </c>
      <c r="D161" s="1" t="s">
        <v>690</v>
      </c>
      <c r="E161" s="1" t="str">
        <v>robertmonroe@osborn.info</v>
      </c>
      <c r="F161" t="str">
        <f t="shared" si="28"/>
        <v>Valid</v>
      </c>
      <c r="G161" s="1" t="s">
        <v>43</v>
      </c>
      <c r="H161" s="1" t="str">
        <f t="shared" si="29"/>
        <v>Female</v>
      </c>
      <c r="I161" s="1" t="s">
        <v>74</v>
      </c>
      <c r="J161" t="str">
        <f t="shared" si="30"/>
        <v>USA</v>
      </c>
      <c r="K161" s="14">
        <v>0</v>
      </c>
      <c r="L161" s="1">
        <f t="shared" si="31"/>
        <v>19</v>
      </c>
      <c r="M161" s="1" t="str">
        <f t="shared" si="32"/>
        <v>Student</v>
      </c>
      <c r="N161" s="9">
        <v>45156</v>
      </c>
      <c r="O161" s="1" t="s">
        <v>114</v>
      </c>
      <c r="P161" s="1" t="s">
        <v>59</v>
      </c>
      <c r="Q161" s="4">
        <v>0.28999999999999998</v>
      </c>
      <c r="R161" s="13">
        <f t="shared" si="33"/>
        <v>28.999999999999996</v>
      </c>
      <c r="S161" s="6">
        <f t="shared" si="27"/>
        <v>0.28999999999999998</v>
      </c>
      <c r="T161" s="1">
        <v>45</v>
      </c>
      <c r="U161" s="1">
        <f t="shared" si="34"/>
        <v>45</v>
      </c>
      <c r="V161" s="1">
        <f t="shared" si="35"/>
        <v>33.799999999999997</v>
      </c>
      <c r="W161" s="10" t="str">
        <f t="shared" si="36"/>
        <v>Low</v>
      </c>
      <c r="X161" s="1" t="s">
        <v>76</v>
      </c>
      <c r="Y161" s="1" t="str">
        <f t="shared" si="37"/>
        <v>Yes</v>
      </c>
      <c r="Z161" s="14">
        <v>2</v>
      </c>
      <c r="AA161" s="18">
        <f t="shared" si="38"/>
        <v>2</v>
      </c>
      <c r="AB161" s="18" t="str">
        <f t="shared" si="39"/>
        <v>No</v>
      </c>
      <c r="AC161" s="9" t="s">
        <v>691</v>
      </c>
      <c r="AD161">
        <f>IF(AC161="",0,LEN(AC161)-LEN(SUBSTITUTE(AC161,",",""))+1)</f>
        <v>7</v>
      </c>
    </row>
    <row r="162" spans="1:30" ht="12.5" x14ac:dyDescent="0.25">
      <c r="A162" s="1" t="s">
        <v>692</v>
      </c>
      <c r="B162" s="1" t="s">
        <v>693</v>
      </c>
      <c r="C162" s="1" t="str">
        <v>Sherri Smith</v>
      </c>
      <c r="D162" s="1" t="s">
        <v>694</v>
      </c>
      <c r="E162" s="1" t="str">
        <v>justin88@small-anderson.net</v>
      </c>
      <c r="F162" t="str">
        <f t="shared" si="28"/>
        <v>Valid</v>
      </c>
      <c r="G162" s="1" t="s">
        <v>43</v>
      </c>
      <c r="H162" s="1" t="str">
        <f t="shared" si="29"/>
        <v>Female</v>
      </c>
      <c r="I162" s="1" t="s">
        <v>28</v>
      </c>
      <c r="J162" t="str">
        <f t="shared" si="30"/>
        <v>INDIA</v>
      </c>
      <c r="L162" s="1">
        <f t="shared" si="31"/>
        <v>19</v>
      </c>
      <c r="M162" s="1" t="str">
        <f t="shared" si="32"/>
        <v>Student</v>
      </c>
      <c r="N162" s="9">
        <v>44947</v>
      </c>
      <c r="O162" s="1" t="s">
        <v>235</v>
      </c>
      <c r="P162" s="1" t="s">
        <v>147</v>
      </c>
      <c r="Q162" s="4">
        <v>0.56999999999999995</v>
      </c>
      <c r="R162" s="13">
        <f t="shared" si="33"/>
        <v>56.999999999999993</v>
      </c>
      <c r="S162" s="6">
        <f t="shared" si="27"/>
        <v>0.56999999999999995</v>
      </c>
      <c r="T162" s="1">
        <v>1.5</v>
      </c>
      <c r="U162" s="1">
        <f t="shared" si="34"/>
        <v>1.5</v>
      </c>
      <c r="V162" s="1">
        <f t="shared" si="35"/>
        <v>40.349999999999994</v>
      </c>
      <c r="W162" s="10" t="str">
        <f t="shared" si="36"/>
        <v>Low</v>
      </c>
      <c r="X162" s="1" t="s">
        <v>22</v>
      </c>
      <c r="Y162" s="1" t="str">
        <f t="shared" si="37"/>
        <v>No</v>
      </c>
      <c r="Z162" s="14">
        <v>5</v>
      </c>
      <c r="AA162" s="18">
        <f t="shared" si="38"/>
        <v>5</v>
      </c>
      <c r="AB162" s="18" t="str">
        <f t="shared" si="39"/>
        <v>No</v>
      </c>
      <c r="AC162" s="9" t="s">
        <v>695</v>
      </c>
      <c r="AD162">
        <f>IF(AC162="",0,LEN(AC162)-LEN(SUBSTITUTE(AC162,",",""))+1)</f>
        <v>2</v>
      </c>
    </row>
    <row r="163" spans="1:30" ht="12.5" x14ac:dyDescent="0.25">
      <c r="A163" s="1" t="s">
        <v>696</v>
      </c>
      <c r="B163" s="1" t="s">
        <v>697</v>
      </c>
      <c r="C163" s="1" t="str">
        <v>Nicholas Wong</v>
      </c>
      <c r="D163" s="1" t="s">
        <v>698</v>
      </c>
      <c r="E163" s="1" t="str">
        <v>doylekrystal@craig.biz</v>
      </c>
      <c r="F163" t="str">
        <f t="shared" si="28"/>
        <v>Valid</v>
      </c>
      <c r="G163" s="1" t="s">
        <v>57</v>
      </c>
      <c r="H163" s="1" t="str">
        <f t="shared" si="29"/>
        <v>Female</v>
      </c>
      <c r="I163" s="1" t="s">
        <v>89</v>
      </c>
      <c r="J163" t="str">
        <f t="shared" si="30"/>
        <v>GERMANY</v>
      </c>
      <c r="K163" s="14">
        <v>27</v>
      </c>
      <c r="L163" s="1">
        <f t="shared" si="31"/>
        <v>27</v>
      </c>
      <c r="M163" s="1" t="str">
        <f t="shared" si="32"/>
        <v>Early Career</v>
      </c>
      <c r="N163" s="2">
        <v>45355</v>
      </c>
      <c r="O163" s="1" t="s">
        <v>19</v>
      </c>
      <c r="P163" s="1" t="s">
        <v>20</v>
      </c>
      <c r="Q163" s="4">
        <v>93</v>
      </c>
      <c r="R163" s="13">
        <f t="shared" si="33"/>
        <v>93</v>
      </c>
      <c r="S163" s="6">
        <f t="shared" si="27"/>
        <v>0.93</v>
      </c>
      <c r="T163" s="1" t="s">
        <v>21</v>
      </c>
      <c r="U163" s="1">
        <f t="shared" si="34"/>
        <v>1.5</v>
      </c>
      <c r="V163" s="1">
        <f t="shared" si="35"/>
        <v>65.55</v>
      </c>
      <c r="W163" s="10" t="str">
        <f t="shared" si="36"/>
        <v>Medium</v>
      </c>
      <c r="X163" s="1">
        <v>1</v>
      </c>
      <c r="Y163" s="1" t="str">
        <f t="shared" si="37"/>
        <v>Yes</v>
      </c>
      <c r="Z163" s="14">
        <v>5</v>
      </c>
      <c r="AA163" s="18">
        <f t="shared" si="38"/>
        <v>5</v>
      </c>
      <c r="AB163" s="18" t="str">
        <f t="shared" si="39"/>
        <v>High Performer</v>
      </c>
      <c r="AC163" s="9" t="s">
        <v>699</v>
      </c>
      <c r="AD163">
        <f>IF(AC163="",0,LEN(AC163)-LEN(SUBSTITUTE(AC163,",",""))+1)</f>
        <v>5</v>
      </c>
    </row>
    <row r="164" spans="1:30" ht="12.5" x14ac:dyDescent="0.25">
      <c r="A164" s="1" t="s">
        <v>700</v>
      </c>
      <c r="B164" s="1" t="s">
        <v>701</v>
      </c>
      <c r="C164" s="1" t="str">
        <v>Cathy Taylor</v>
      </c>
      <c r="D164" s="1" t="s">
        <v>702</v>
      </c>
      <c r="E164" s="1" t="str">
        <v>adamreyes@yahoo.com</v>
      </c>
      <c r="F164" t="str">
        <f t="shared" si="28"/>
        <v>Valid</v>
      </c>
      <c r="G164" s="1" t="s">
        <v>88</v>
      </c>
      <c r="H164" s="1" t="str">
        <f t="shared" si="29"/>
        <v>Male</v>
      </c>
      <c r="I164" s="1" t="s">
        <v>96</v>
      </c>
      <c r="J164" t="str">
        <f t="shared" si="30"/>
        <v>INDIA</v>
      </c>
      <c r="K164" s="14">
        <v>33</v>
      </c>
      <c r="L164" s="1">
        <f t="shared" si="31"/>
        <v>33</v>
      </c>
      <c r="M164" s="1" t="str">
        <f t="shared" si="32"/>
        <v>Mid Career</v>
      </c>
      <c r="N164" s="9">
        <v>45322</v>
      </c>
      <c r="O164" s="1" t="s">
        <v>170</v>
      </c>
      <c r="P164" s="1" t="s">
        <v>147</v>
      </c>
      <c r="Q164" s="4">
        <v>0.75</v>
      </c>
      <c r="R164" s="13">
        <f t="shared" si="33"/>
        <v>75</v>
      </c>
      <c r="S164" s="6">
        <f t="shared" si="27"/>
        <v>0.75</v>
      </c>
      <c r="T164" s="1">
        <v>2</v>
      </c>
      <c r="U164" s="1">
        <f t="shared" si="34"/>
        <v>2</v>
      </c>
      <c r="V164" s="1">
        <f t="shared" si="35"/>
        <v>53.1</v>
      </c>
      <c r="W164" s="10" t="str">
        <f t="shared" si="36"/>
        <v>Medium</v>
      </c>
      <c r="X164" s="1">
        <v>0</v>
      </c>
      <c r="Y164" s="1" t="str">
        <f t="shared" si="37"/>
        <v>No</v>
      </c>
      <c r="AA164" s="18" t="str">
        <f t="shared" si="38"/>
        <v>Invalid</v>
      </c>
      <c r="AB164" s="18" t="str">
        <f t="shared" si="39"/>
        <v>No</v>
      </c>
      <c r="AC164" s="9" t="s">
        <v>704</v>
      </c>
      <c r="AD164">
        <f>IF(AC164="",0,LEN(AC164)-LEN(SUBSTITUTE(AC164,",",""))+1)</f>
        <v>5</v>
      </c>
    </row>
    <row r="165" spans="1:30" ht="12.5" x14ac:dyDescent="0.25">
      <c r="A165" s="1" t="s">
        <v>705</v>
      </c>
      <c r="B165" s="1" t="s">
        <v>706</v>
      </c>
      <c r="C165" s="1" t="str">
        <v>Alexandra Valdez</v>
      </c>
      <c r="D165" s="1" t="s">
        <v>707</v>
      </c>
      <c r="E165" s="1" t="str">
        <v>contrerassteven@sullivan.com</v>
      </c>
      <c r="F165" t="str">
        <f t="shared" si="28"/>
        <v>Valid</v>
      </c>
      <c r="G165" s="1" t="s">
        <v>119</v>
      </c>
      <c r="H165" s="1" t="str">
        <f t="shared" si="29"/>
        <v>Female</v>
      </c>
      <c r="I165" s="1" t="s">
        <v>89</v>
      </c>
      <c r="J165" t="str">
        <f t="shared" si="30"/>
        <v>GERMANY</v>
      </c>
      <c r="K165" s="14">
        <v>45</v>
      </c>
      <c r="L165" s="1">
        <f t="shared" si="31"/>
        <v>45</v>
      </c>
      <c r="M165" s="1" t="str">
        <f t="shared" si="32"/>
        <v>Senior</v>
      </c>
      <c r="N165" s="9">
        <v>45072</v>
      </c>
      <c r="O165" s="1" t="s">
        <v>114</v>
      </c>
      <c r="P165" s="1" t="s">
        <v>59</v>
      </c>
      <c r="Q165" s="4">
        <v>0.19</v>
      </c>
      <c r="R165" s="13">
        <f t="shared" si="33"/>
        <v>19</v>
      </c>
      <c r="S165" s="6">
        <f t="shared" si="27"/>
        <v>0.19</v>
      </c>
      <c r="T165" s="1" t="s">
        <v>46</v>
      </c>
      <c r="U165" s="1">
        <f t="shared" si="34"/>
        <v>1</v>
      </c>
      <c r="V165" s="1">
        <f t="shared" si="35"/>
        <v>13.6</v>
      </c>
      <c r="W165" s="10" t="str">
        <f t="shared" si="36"/>
        <v>Low</v>
      </c>
      <c r="X165" s="1">
        <v>0</v>
      </c>
      <c r="Y165" s="1" t="str">
        <f t="shared" si="37"/>
        <v>No</v>
      </c>
      <c r="Z165" s="14">
        <v>3</v>
      </c>
      <c r="AA165" s="18">
        <f t="shared" si="38"/>
        <v>3</v>
      </c>
      <c r="AB165" s="18" t="str">
        <f t="shared" si="39"/>
        <v>No</v>
      </c>
      <c r="AC165" s="9" t="s">
        <v>708</v>
      </c>
      <c r="AD165">
        <f>IF(AC165="",0,LEN(AC165)-LEN(SUBSTITUTE(AC165,",",""))+1)</f>
        <v>6</v>
      </c>
    </row>
    <row r="166" spans="1:30" ht="12.5" x14ac:dyDescent="0.25">
      <c r="A166" s="1" t="s">
        <v>709</v>
      </c>
      <c r="B166" s="1" t="s">
        <v>710</v>
      </c>
      <c r="C166" s="1" t="str">
        <v>Lucas Robinson</v>
      </c>
      <c r="D166" s="1" t="s">
        <v>711</v>
      </c>
      <c r="E166" s="1" t="str">
        <v>vhernandez@brooks.net</v>
      </c>
      <c r="F166" t="str">
        <f t="shared" si="28"/>
        <v>Valid</v>
      </c>
      <c r="G166" s="1" t="s">
        <v>27</v>
      </c>
      <c r="H166" s="1" t="str">
        <f t="shared" si="29"/>
        <v>Male</v>
      </c>
      <c r="I166" s="1" t="s">
        <v>89</v>
      </c>
      <c r="J166" t="str">
        <f t="shared" si="30"/>
        <v>GERMANY</v>
      </c>
      <c r="K166" s="14">
        <v>0</v>
      </c>
      <c r="L166" s="1">
        <f t="shared" si="31"/>
        <v>19</v>
      </c>
      <c r="M166" s="1" t="str">
        <f t="shared" si="32"/>
        <v>Student</v>
      </c>
      <c r="N166" s="9">
        <v>45730</v>
      </c>
      <c r="O166" s="1" t="s">
        <v>170</v>
      </c>
      <c r="P166" s="1" t="s">
        <v>147</v>
      </c>
      <c r="Q166" s="4">
        <v>0.53</v>
      </c>
      <c r="R166" s="13">
        <f t="shared" si="33"/>
        <v>53</v>
      </c>
      <c r="S166" s="6">
        <f t="shared" si="27"/>
        <v>0.53</v>
      </c>
      <c r="T166" s="1">
        <v>45</v>
      </c>
      <c r="U166" s="1">
        <f t="shared" si="34"/>
        <v>45</v>
      </c>
      <c r="V166" s="1">
        <f t="shared" si="35"/>
        <v>50.599999999999994</v>
      </c>
      <c r="W166" s="10" t="str">
        <f t="shared" si="36"/>
        <v>Medium</v>
      </c>
      <c r="X166" s="1" t="s">
        <v>38</v>
      </c>
      <c r="Y166" s="1" t="str">
        <f t="shared" si="37"/>
        <v>No</v>
      </c>
      <c r="Z166" s="14">
        <v>5</v>
      </c>
      <c r="AA166" s="18">
        <f t="shared" si="38"/>
        <v>5</v>
      </c>
      <c r="AB166" s="18" t="str">
        <f t="shared" si="39"/>
        <v>No</v>
      </c>
      <c r="AC166" s="9" t="s">
        <v>712</v>
      </c>
      <c r="AD166">
        <f>IF(AC166="",0,LEN(AC166)-LEN(SUBSTITUTE(AC166,",",""))+1)</f>
        <v>1</v>
      </c>
    </row>
    <row r="167" spans="1:30" ht="12.5" x14ac:dyDescent="0.25">
      <c r="A167" s="1" t="s">
        <v>713</v>
      </c>
      <c r="B167" s="1" t="s">
        <v>714</v>
      </c>
      <c r="C167" s="1" t="str">
        <v>Linda Cobb</v>
      </c>
      <c r="D167" s="1" t="s">
        <v>715</v>
      </c>
      <c r="E167" s="1" t="str">
        <v>christian91@gmail.com</v>
      </c>
      <c r="F167" t="str">
        <f t="shared" si="28"/>
        <v>Valid</v>
      </c>
      <c r="G167" s="1" t="s">
        <v>43</v>
      </c>
      <c r="H167" s="1" t="str">
        <f t="shared" si="29"/>
        <v>Female</v>
      </c>
      <c r="I167" s="1" t="s">
        <v>96</v>
      </c>
      <c r="J167" t="str">
        <f t="shared" si="30"/>
        <v>INDIA</v>
      </c>
      <c r="L167" s="1">
        <f t="shared" si="31"/>
        <v>19</v>
      </c>
      <c r="M167" s="1" t="str">
        <f t="shared" si="32"/>
        <v>Student</v>
      </c>
      <c r="N167" s="2">
        <v>45659</v>
      </c>
      <c r="O167" s="1" t="s">
        <v>36</v>
      </c>
      <c r="P167" s="1" t="s">
        <v>37</v>
      </c>
      <c r="Q167" s="4">
        <v>0.86</v>
      </c>
      <c r="R167" s="13">
        <f t="shared" si="33"/>
        <v>86</v>
      </c>
      <c r="S167" s="6">
        <f t="shared" si="27"/>
        <v>0.86</v>
      </c>
      <c r="T167" s="1">
        <v>1.5</v>
      </c>
      <c r="U167" s="1">
        <f t="shared" si="34"/>
        <v>1.5</v>
      </c>
      <c r="V167" s="1">
        <f t="shared" si="35"/>
        <v>60.65</v>
      </c>
      <c r="W167" s="10" t="str">
        <f t="shared" si="36"/>
        <v>Medium</v>
      </c>
      <c r="X167" s="1" t="s">
        <v>32</v>
      </c>
      <c r="Y167" s="1" t="str">
        <f t="shared" si="37"/>
        <v>Yes</v>
      </c>
      <c r="Z167" s="14">
        <v>5</v>
      </c>
      <c r="AA167" s="18">
        <f t="shared" si="38"/>
        <v>5</v>
      </c>
      <c r="AB167" s="18" t="str">
        <f t="shared" si="39"/>
        <v>High Performer</v>
      </c>
      <c r="AC167" s="9" t="s">
        <v>716</v>
      </c>
      <c r="AD167">
        <f>IF(AC167="",0,LEN(AC167)-LEN(SUBSTITUTE(AC167,",",""))+1)</f>
        <v>4</v>
      </c>
    </row>
    <row r="168" spans="1:30" ht="12.5" x14ac:dyDescent="0.25">
      <c r="A168" s="1" t="s">
        <v>717</v>
      </c>
      <c r="B168" s="1" t="s">
        <v>718</v>
      </c>
      <c r="C168" s="1" t="str">
        <v>Carmen Bond</v>
      </c>
      <c r="D168" s="1" t="s">
        <v>719</v>
      </c>
      <c r="E168" s="1" t="str">
        <v>frazierjennifer@yahoo.com</v>
      </c>
      <c r="F168" t="str">
        <f t="shared" si="28"/>
        <v>Valid</v>
      </c>
      <c r="G168" s="1" t="s">
        <v>43</v>
      </c>
      <c r="H168" s="1" t="str">
        <f t="shared" si="29"/>
        <v>Female</v>
      </c>
      <c r="I168" s="1" t="s">
        <v>89</v>
      </c>
      <c r="J168" t="str">
        <f t="shared" si="30"/>
        <v>GERMANY</v>
      </c>
      <c r="K168" s="14">
        <v>30</v>
      </c>
      <c r="L168" s="1">
        <f t="shared" si="31"/>
        <v>30</v>
      </c>
      <c r="M168" s="1" t="str">
        <f t="shared" si="32"/>
        <v>Early Career</v>
      </c>
      <c r="N168" s="2">
        <v>45390</v>
      </c>
      <c r="O168" s="1" t="s">
        <v>36</v>
      </c>
      <c r="P168" s="1" t="s">
        <v>37</v>
      </c>
      <c r="Q168" s="4">
        <v>15</v>
      </c>
      <c r="R168" s="13">
        <f t="shared" si="33"/>
        <v>15</v>
      </c>
      <c r="S168" s="6">
        <f t="shared" si="27"/>
        <v>0.15</v>
      </c>
      <c r="T168" s="1" t="s">
        <v>21</v>
      </c>
      <c r="U168" s="1">
        <f t="shared" si="34"/>
        <v>1.5</v>
      </c>
      <c r="V168" s="1">
        <f t="shared" si="35"/>
        <v>10.95</v>
      </c>
      <c r="W168" s="10" t="str">
        <f t="shared" si="36"/>
        <v>Low</v>
      </c>
      <c r="X168" s="1" t="s">
        <v>32</v>
      </c>
      <c r="Y168" s="1" t="str">
        <f t="shared" si="37"/>
        <v>Yes</v>
      </c>
      <c r="AA168" s="18" t="str">
        <f t="shared" si="38"/>
        <v>Invalid</v>
      </c>
      <c r="AB168" s="18" t="str">
        <f t="shared" si="39"/>
        <v>High Performer</v>
      </c>
      <c r="AC168" s="9" t="s">
        <v>720</v>
      </c>
      <c r="AD168">
        <f>IF(AC168="",0,LEN(AC168)-LEN(SUBSTITUTE(AC168,",",""))+1)</f>
        <v>4</v>
      </c>
    </row>
    <row r="169" spans="1:30" ht="12.5" x14ac:dyDescent="0.25">
      <c r="A169" s="1" t="s">
        <v>721</v>
      </c>
      <c r="B169" s="1" t="s">
        <v>722</v>
      </c>
      <c r="C169" s="1" t="str">
        <v>Carlos Perry</v>
      </c>
      <c r="D169" s="1" t="s">
        <v>723</v>
      </c>
      <c r="E169" s="1" t="str">
        <v>tchambers@johnson.com</v>
      </c>
      <c r="F169" t="str">
        <f t="shared" si="28"/>
        <v>Valid</v>
      </c>
      <c r="G169" s="1" t="s">
        <v>119</v>
      </c>
      <c r="H169" s="1" t="str">
        <f t="shared" si="29"/>
        <v>Female</v>
      </c>
      <c r="I169" s="1" t="s">
        <v>156</v>
      </c>
      <c r="J169" t="str">
        <f t="shared" si="30"/>
        <v>IN</v>
      </c>
      <c r="L169" s="1">
        <f t="shared" si="31"/>
        <v>19</v>
      </c>
      <c r="M169" s="1" t="str">
        <f t="shared" si="32"/>
        <v>Student</v>
      </c>
      <c r="N169" s="9">
        <v>44799</v>
      </c>
      <c r="O169" s="1" t="s">
        <v>58</v>
      </c>
      <c r="P169" s="1" t="s">
        <v>59</v>
      </c>
      <c r="Q169" s="4">
        <v>0.65</v>
      </c>
      <c r="R169" s="13">
        <f t="shared" si="33"/>
        <v>65</v>
      </c>
      <c r="S169" s="6">
        <f t="shared" si="27"/>
        <v>0.65</v>
      </c>
      <c r="T169" s="1">
        <v>2</v>
      </c>
      <c r="U169" s="1">
        <f t="shared" si="34"/>
        <v>2</v>
      </c>
      <c r="V169" s="1">
        <f t="shared" si="35"/>
        <v>46.1</v>
      </c>
      <c r="W169" s="10" t="str">
        <f t="shared" si="36"/>
        <v>Medium</v>
      </c>
      <c r="X169" s="1" t="s">
        <v>76</v>
      </c>
      <c r="Y169" s="1" t="str">
        <f t="shared" si="37"/>
        <v>Yes</v>
      </c>
      <c r="Z169" s="14">
        <v>4</v>
      </c>
      <c r="AA169" s="18">
        <f t="shared" si="38"/>
        <v>4</v>
      </c>
      <c r="AB169" s="18" t="str">
        <f t="shared" si="39"/>
        <v>High Performer</v>
      </c>
      <c r="AC169" s="9" t="s">
        <v>724</v>
      </c>
      <c r="AD169">
        <f>IF(AC169="",0,LEN(AC169)-LEN(SUBSTITUTE(AC169,",",""))+1)</f>
        <v>6</v>
      </c>
    </row>
    <row r="170" spans="1:30" ht="12.5" x14ac:dyDescent="0.25">
      <c r="A170" s="1" t="s">
        <v>725</v>
      </c>
      <c r="B170" s="1" t="s">
        <v>726</v>
      </c>
      <c r="C170" s="1" t="str">
        <v>Kimberly Brown</v>
      </c>
      <c r="D170" s="1" t="s">
        <v>727</v>
      </c>
      <c r="E170" s="1" t="str">
        <v>ajohnson@mack.biz</v>
      </c>
      <c r="F170" t="str">
        <f t="shared" si="28"/>
        <v>Valid</v>
      </c>
      <c r="G170" s="1" t="s">
        <v>43</v>
      </c>
      <c r="H170" s="1" t="str">
        <f t="shared" si="29"/>
        <v>Female</v>
      </c>
      <c r="I170" s="1" t="s">
        <v>156</v>
      </c>
      <c r="J170" t="str">
        <f t="shared" si="30"/>
        <v>IN</v>
      </c>
      <c r="L170" s="1">
        <f t="shared" si="31"/>
        <v>19</v>
      </c>
      <c r="M170" s="1" t="str">
        <f t="shared" si="32"/>
        <v>Student</v>
      </c>
      <c r="N170" s="9">
        <v>45556</v>
      </c>
      <c r="O170" s="1" t="s">
        <v>90</v>
      </c>
      <c r="P170" s="1" t="s">
        <v>31</v>
      </c>
      <c r="Q170" s="4">
        <v>0.74</v>
      </c>
      <c r="R170" s="13">
        <f t="shared" si="33"/>
        <v>74</v>
      </c>
      <c r="S170" s="6">
        <f t="shared" si="27"/>
        <v>0.74</v>
      </c>
      <c r="T170" s="1">
        <v>1.5</v>
      </c>
      <c r="U170" s="1">
        <f t="shared" si="34"/>
        <v>1.5</v>
      </c>
      <c r="V170" s="1">
        <f t="shared" si="35"/>
        <v>52.25</v>
      </c>
      <c r="W170" s="10" t="str">
        <f t="shared" si="36"/>
        <v>Medium</v>
      </c>
      <c r="X170" s="1" t="s">
        <v>22</v>
      </c>
      <c r="Y170" s="1" t="str">
        <f t="shared" si="37"/>
        <v>No</v>
      </c>
      <c r="Z170" s="14">
        <v>5</v>
      </c>
      <c r="AA170" s="18">
        <f t="shared" si="38"/>
        <v>5</v>
      </c>
      <c r="AB170" s="18" t="str">
        <f t="shared" si="39"/>
        <v>No</v>
      </c>
      <c r="AC170" s="9" t="s">
        <v>728</v>
      </c>
      <c r="AD170">
        <f>IF(AC170="",0,LEN(AC170)-LEN(SUBSTITUTE(AC170,",",""))+1)</f>
        <v>3</v>
      </c>
    </row>
    <row r="171" spans="1:30" ht="12.5" x14ac:dyDescent="0.25">
      <c r="A171" s="1" t="s">
        <v>729</v>
      </c>
      <c r="B171" s="1" t="s">
        <v>730</v>
      </c>
      <c r="C171" s="1" t="str">
        <v>Susan Bennett</v>
      </c>
      <c r="D171" s="1" t="s">
        <v>731</v>
      </c>
      <c r="E171" s="1" t="str">
        <v>david86@anderson.com</v>
      </c>
      <c r="F171" t="str">
        <f t="shared" si="28"/>
        <v>Valid</v>
      </c>
      <c r="G171" s="1" t="s">
        <v>109</v>
      </c>
      <c r="H171" s="1" t="str">
        <f t="shared" si="29"/>
        <v>Male</v>
      </c>
      <c r="I171" s="1" t="s">
        <v>156</v>
      </c>
      <c r="J171" t="str">
        <f t="shared" si="30"/>
        <v>IN</v>
      </c>
      <c r="K171" s="14">
        <v>23</v>
      </c>
      <c r="L171" s="1">
        <f t="shared" si="31"/>
        <v>23</v>
      </c>
      <c r="M171" s="1" t="str">
        <f t="shared" si="32"/>
        <v>Early Career</v>
      </c>
      <c r="N171" s="2">
        <v>45180</v>
      </c>
      <c r="O171" s="1" t="s">
        <v>114</v>
      </c>
      <c r="P171" s="1" t="s">
        <v>59</v>
      </c>
      <c r="Q171" s="4">
        <v>62</v>
      </c>
      <c r="R171" s="13">
        <f t="shared" si="33"/>
        <v>62</v>
      </c>
      <c r="S171" s="6">
        <f t="shared" si="27"/>
        <v>0.62</v>
      </c>
      <c r="T171" s="1">
        <v>2</v>
      </c>
      <c r="U171" s="1">
        <f t="shared" si="34"/>
        <v>2</v>
      </c>
      <c r="V171" s="1">
        <f t="shared" si="35"/>
        <v>44</v>
      </c>
      <c r="W171" s="10" t="str">
        <f t="shared" si="36"/>
        <v>Medium</v>
      </c>
      <c r="X171" s="1" t="s">
        <v>38</v>
      </c>
      <c r="Y171" s="1" t="str">
        <f t="shared" si="37"/>
        <v>No</v>
      </c>
      <c r="AA171" s="18" t="str">
        <f t="shared" si="38"/>
        <v>Invalid</v>
      </c>
      <c r="AB171" s="18" t="str">
        <f t="shared" si="39"/>
        <v>No</v>
      </c>
      <c r="AC171" s="9" t="s">
        <v>732</v>
      </c>
      <c r="AD171">
        <f>IF(AC171="",0,LEN(AC171)-LEN(SUBSTITUTE(AC171,",",""))+1)</f>
        <v>6</v>
      </c>
    </row>
    <row r="172" spans="1:30" ht="12.5" x14ac:dyDescent="0.25">
      <c r="A172" s="1" t="s">
        <v>733</v>
      </c>
      <c r="B172" s="1" t="s">
        <v>734</v>
      </c>
      <c r="C172" s="1" t="str">
        <v>James Hall</v>
      </c>
      <c r="D172" s="1" t="s">
        <v>735</v>
      </c>
      <c r="E172" s="1" t="str">
        <v>eric31@gmail.com</v>
      </c>
      <c r="F172" t="str">
        <f t="shared" si="28"/>
        <v>Valid</v>
      </c>
      <c r="G172" s="1" t="s">
        <v>88</v>
      </c>
      <c r="H172" s="1" t="str">
        <f t="shared" si="29"/>
        <v>Male</v>
      </c>
      <c r="I172" s="1" t="s">
        <v>51</v>
      </c>
      <c r="J172" t="str">
        <f t="shared" si="30"/>
        <v>UK</v>
      </c>
      <c r="K172" s="14">
        <v>0</v>
      </c>
      <c r="L172" s="1">
        <f t="shared" si="31"/>
        <v>19</v>
      </c>
      <c r="M172" s="1" t="str">
        <f t="shared" si="32"/>
        <v>Student</v>
      </c>
      <c r="N172" s="9">
        <v>45121</v>
      </c>
      <c r="O172" s="1" t="s">
        <v>146</v>
      </c>
      <c r="P172" s="1" t="s">
        <v>147</v>
      </c>
      <c r="Q172" s="4">
        <v>0.09</v>
      </c>
      <c r="R172" s="13">
        <f t="shared" si="33"/>
        <v>9</v>
      </c>
      <c r="S172" s="6">
        <f t="shared" si="27"/>
        <v>0.09</v>
      </c>
      <c r="T172" s="1">
        <v>45</v>
      </c>
      <c r="U172" s="1">
        <f t="shared" si="34"/>
        <v>45</v>
      </c>
      <c r="V172" s="1">
        <f t="shared" si="35"/>
        <v>19.8</v>
      </c>
      <c r="W172" s="10" t="str">
        <f t="shared" si="36"/>
        <v>Low</v>
      </c>
      <c r="X172" s="1">
        <v>0</v>
      </c>
      <c r="Y172" s="1" t="str">
        <f t="shared" si="37"/>
        <v>No</v>
      </c>
      <c r="Z172" s="14">
        <v>6</v>
      </c>
      <c r="AA172" s="18">
        <f t="shared" si="38"/>
        <v>6</v>
      </c>
      <c r="AB172" s="18" t="str">
        <f t="shared" si="39"/>
        <v>No</v>
      </c>
      <c r="AC172" s="9" t="s">
        <v>736</v>
      </c>
      <c r="AD172">
        <f>IF(AC172="",0,LEN(AC172)-LEN(SUBSTITUTE(AC172,",",""))+1)</f>
        <v>1</v>
      </c>
    </row>
    <row r="173" spans="1:30" ht="12.5" x14ac:dyDescent="0.25">
      <c r="A173" s="1" t="s">
        <v>737</v>
      </c>
      <c r="B173" s="1" t="s">
        <v>738</v>
      </c>
      <c r="C173" s="1" t="str">
        <v>Alexis Harris</v>
      </c>
      <c r="D173" s="1" t="s">
        <v>739</v>
      </c>
      <c r="E173" s="1" t="str">
        <v>griffinemily@sanchez.biz</v>
      </c>
      <c r="F173" t="str">
        <f t="shared" si="28"/>
        <v>Valid</v>
      </c>
      <c r="G173" s="1" t="s">
        <v>119</v>
      </c>
      <c r="H173" s="1" t="str">
        <f t="shared" si="29"/>
        <v>Female</v>
      </c>
      <c r="I173" s="1" t="s">
        <v>136</v>
      </c>
      <c r="J173" t="str">
        <f t="shared" si="30"/>
        <v>UK</v>
      </c>
      <c r="K173" s="14">
        <v>18</v>
      </c>
      <c r="L173" s="1">
        <f t="shared" si="31"/>
        <v>18</v>
      </c>
      <c r="M173" s="1" t="str">
        <f t="shared" si="32"/>
        <v>Student</v>
      </c>
      <c r="N173" s="9">
        <v>45683</v>
      </c>
      <c r="O173" s="1" t="s">
        <v>235</v>
      </c>
      <c r="P173" s="1" t="s">
        <v>147</v>
      </c>
      <c r="Q173" s="4">
        <v>7.0000000000000007E-2</v>
      </c>
      <c r="R173" s="13">
        <f t="shared" si="33"/>
        <v>7.0000000000000009</v>
      </c>
      <c r="S173" s="6">
        <f t="shared" si="27"/>
        <v>7.0000000000000007E-2</v>
      </c>
      <c r="T173" s="1">
        <v>45</v>
      </c>
      <c r="U173" s="1">
        <f t="shared" si="34"/>
        <v>45</v>
      </c>
      <c r="V173" s="1">
        <f t="shared" si="35"/>
        <v>18.399999999999999</v>
      </c>
      <c r="W173" s="10" t="str">
        <f t="shared" si="36"/>
        <v>Low</v>
      </c>
      <c r="X173" s="1" t="s">
        <v>38</v>
      </c>
      <c r="Y173" s="1" t="str">
        <f t="shared" si="37"/>
        <v>No</v>
      </c>
      <c r="Z173" s="14">
        <v>5</v>
      </c>
      <c r="AA173" s="18">
        <f t="shared" si="38"/>
        <v>5</v>
      </c>
      <c r="AB173" s="18" t="str">
        <f t="shared" si="39"/>
        <v>No</v>
      </c>
      <c r="AC173" s="9" t="s">
        <v>740</v>
      </c>
      <c r="AD173">
        <f>IF(AC173="",0,LEN(AC173)-LEN(SUBSTITUTE(AC173,",",""))+1)</f>
        <v>4</v>
      </c>
    </row>
    <row r="174" spans="1:30" ht="12.5" x14ac:dyDescent="0.25">
      <c r="A174" s="1" t="s">
        <v>741</v>
      </c>
      <c r="B174" s="1" t="s">
        <v>742</v>
      </c>
      <c r="C174" s="1" t="str">
        <v>Amy Gordon</v>
      </c>
      <c r="D174" s="1" t="s">
        <v>743</v>
      </c>
      <c r="E174" s="1" t="str">
        <v>lisadennis@yahoo.com</v>
      </c>
      <c r="F174" t="str">
        <f t="shared" si="28"/>
        <v>Valid</v>
      </c>
      <c r="G174" s="1" t="s">
        <v>109</v>
      </c>
      <c r="H174" s="1" t="str">
        <f t="shared" si="29"/>
        <v>Male</v>
      </c>
      <c r="I174" s="1" t="s">
        <v>74</v>
      </c>
      <c r="J174" t="str">
        <f t="shared" si="30"/>
        <v>USA</v>
      </c>
      <c r="K174" s="14">
        <v>0</v>
      </c>
      <c r="L174" s="1">
        <f t="shared" si="31"/>
        <v>19</v>
      </c>
      <c r="M174" s="1" t="str">
        <f t="shared" si="32"/>
        <v>Student</v>
      </c>
      <c r="N174" s="9">
        <v>45339</v>
      </c>
      <c r="O174" s="1" t="s">
        <v>19</v>
      </c>
      <c r="P174" s="1" t="s">
        <v>20</v>
      </c>
      <c r="Q174" s="4">
        <v>2</v>
      </c>
      <c r="R174" s="13">
        <f t="shared" si="33"/>
        <v>2</v>
      </c>
      <c r="S174" s="6">
        <f t="shared" si="27"/>
        <v>0.02</v>
      </c>
      <c r="T174" s="1">
        <v>45</v>
      </c>
      <c r="U174" s="1">
        <f t="shared" si="34"/>
        <v>45</v>
      </c>
      <c r="V174" s="1">
        <f t="shared" si="35"/>
        <v>14.9</v>
      </c>
      <c r="W174" s="10" t="str">
        <f t="shared" si="36"/>
        <v>Low</v>
      </c>
      <c r="X174" s="1" t="s">
        <v>22</v>
      </c>
      <c r="Y174" s="1" t="str">
        <f t="shared" si="37"/>
        <v>No</v>
      </c>
      <c r="Z174" s="14">
        <v>5</v>
      </c>
      <c r="AA174" s="18">
        <f t="shared" si="38"/>
        <v>5</v>
      </c>
      <c r="AB174" s="18" t="str">
        <f t="shared" si="39"/>
        <v>No</v>
      </c>
      <c r="AC174" s="9" t="s">
        <v>744</v>
      </c>
      <c r="AD174">
        <f>IF(AC174="",0,LEN(AC174)-LEN(SUBSTITUTE(AC174,",",""))+1)</f>
        <v>5</v>
      </c>
    </row>
    <row r="175" spans="1:30" ht="12.5" x14ac:dyDescent="0.25">
      <c r="A175" s="1" t="s">
        <v>745</v>
      </c>
      <c r="B175" s="1" t="s">
        <v>746</v>
      </c>
      <c r="C175" s="1" t="str">
        <v>Eric Thomas</v>
      </c>
      <c r="D175" s="1" t="s">
        <v>747</v>
      </c>
      <c r="E175" s="1" t="str">
        <v>dturner@fry.biz</v>
      </c>
      <c r="F175" t="str">
        <f t="shared" si="28"/>
        <v>Valid</v>
      </c>
      <c r="G175" s="1" t="s">
        <v>43</v>
      </c>
      <c r="H175" s="1" t="str">
        <f t="shared" si="29"/>
        <v>Female</v>
      </c>
      <c r="I175" s="1" t="s">
        <v>89</v>
      </c>
      <c r="J175" t="str">
        <f t="shared" si="30"/>
        <v>GERMANY</v>
      </c>
      <c r="K175" s="14">
        <v>0</v>
      </c>
      <c r="L175" s="1">
        <f t="shared" si="31"/>
        <v>19</v>
      </c>
      <c r="M175" s="1" t="str">
        <f t="shared" si="32"/>
        <v>Student</v>
      </c>
      <c r="N175" s="9">
        <v>45555</v>
      </c>
      <c r="O175" s="1" t="s">
        <v>30</v>
      </c>
      <c r="P175" s="1" t="s">
        <v>31</v>
      </c>
      <c r="Q175" s="4">
        <v>0.5</v>
      </c>
      <c r="R175" s="13">
        <f t="shared" si="33"/>
        <v>50</v>
      </c>
      <c r="S175" s="6">
        <f t="shared" si="27"/>
        <v>0.5</v>
      </c>
      <c r="T175" s="1">
        <v>2</v>
      </c>
      <c r="U175" s="1">
        <f t="shared" si="34"/>
        <v>2</v>
      </c>
      <c r="V175" s="1">
        <f t="shared" si="35"/>
        <v>35.6</v>
      </c>
      <c r="W175" s="10" t="str">
        <f t="shared" si="36"/>
        <v>Low</v>
      </c>
      <c r="X175" s="1" t="s">
        <v>76</v>
      </c>
      <c r="Y175" s="1" t="str">
        <f t="shared" si="37"/>
        <v>Yes</v>
      </c>
      <c r="Z175" s="14">
        <v>1</v>
      </c>
      <c r="AA175" s="18">
        <f t="shared" si="38"/>
        <v>1</v>
      </c>
      <c r="AB175" s="18" t="str">
        <f t="shared" si="39"/>
        <v>No</v>
      </c>
      <c r="AC175" s="9" t="s">
        <v>635</v>
      </c>
      <c r="AD175">
        <f>IF(AC175="",0,LEN(AC175)-LEN(SUBSTITUTE(AC175,",",""))+1)</f>
        <v>5</v>
      </c>
    </row>
    <row r="176" spans="1:30" ht="12.5" x14ac:dyDescent="0.25">
      <c r="A176" s="1" t="s">
        <v>748</v>
      </c>
      <c r="B176" s="1" t="s">
        <v>749</v>
      </c>
      <c r="C176" s="1" t="str">
        <v>Megan Floyd</v>
      </c>
      <c r="D176" s="1" t="s">
        <v>750</v>
      </c>
      <c r="E176" s="1" t="str">
        <v>trussell@yahoo.com</v>
      </c>
      <c r="F176" t="str">
        <f t="shared" si="28"/>
        <v>Valid</v>
      </c>
      <c r="G176" s="1" t="s">
        <v>17</v>
      </c>
      <c r="H176" s="1" t="str">
        <f t="shared" si="29"/>
        <v>Female</v>
      </c>
      <c r="I176" s="1" t="s">
        <v>136</v>
      </c>
      <c r="J176" t="str">
        <f t="shared" si="30"/>
        <v>UK</v>
      </c>
      <c r="L176" s="1">
        <f t="shared" si="31"/>
        <v>19</v>
      </c>
      <c r="M176" s="1" t="str">
        <f t="shared" si="32"/>
        <v>Student</v>
      </c>
      <c r="N176" s="9">
        <v>45521</v>
      </c>
      <c r="O176" s="1" t="s">
        <v>19</v>
      </c>
      <c r="P176" s="1" t="s">
        <v>20</v>
      </c>
      <c r="Q176" s="4">
        <v>0.6</v>
      </c>
      <c r="R176" s="13">
        <f t="shared" si="33"/>
        <v>60</v>
      </c>
      <c r="S176" s="6">
        <f t="shared" si="27"/>
        <v>0.6</v>
      </c>
      <c r="T176" s="1" t="s">
        <v>64</v>
      </c>
      <c r="U176" s="1">
        <f t="shared" si="34"/>
        <v>2</v>
      </c>
      <c r="V176" s="1">
        <f t="shared" si="35"/>
        <v>42.6</v>
      </c>
      <c r="W176" s="10" t="str">
        <f t="shared" si="36"/>
        <v>Medium</v>
      </c>
      <c r="X176" s="1" t="s">
        <v>32</v>
      </c>
      <c r="Y176" s="1" t="str">
        <f t="shared" si="37"/>
        <v>Yes</v>
      </c>
      <c r="Z176" s="14">
        <v>1</v>
      </c>
      <c r="AA176" s="18">
        <f t="shared" si="38"/>
        <v>1</v>
      </c>
      <c r="AB176" s="18" t="str">
        <f t="shared" si="39"/>
        <v>No</v>
      </c>
      <c r="AC176" s="9" t="s">
        <v>752</v>
      </c>
      <c r="AD176">
        <f>IF(AC176="",0,LEN(AC176)-LEN(SUBSTITUTE(AC176,",",""))+1)</f>
        <v>7</v>
      </c>
    </row>
    <row r="177" spans="1:30" ht="12.5" x14ac:dyDescent="0.25">
      <c r="A177" s="1" t="s">
        <v>753</v>
      </c>
      <c r="B177" s="1" t="s">
        <v>754</v>
      </c>
      <c r="C177" s="1" t="str">
        <v>Elizabeth Zimmerman</v>
      </c>
      <c r="D177" s="1" t="s">
        <v>127</v>
      </c>
      <c r="E177" s="1" t="str">
        <v>invalid-email</v>
      </c>
      <c r="F177" t="str">
        <f t="shared" si="28"/>
        <v>Invalid</v>
      </c>
      <c r="G177" s="1" t="s">
        <v>17</v>
      </c>
      <c r="H177" s="1" t="str">
        <f t="shared" si="29"/>
        <v>Female</v>
      </c>
      <c r="I177" s="1" t="s">
        <v>44</v>
      </c>
      <c r="J177" t="str">
        <f t="shared" si="30"/>
        <v>CANADA</v>
      </c>
      <c r="K177" s="14">
        <v>0</v>
      </c>
      <c r="L177" s="1">
        <f t="shared" si="31"/>
        <v>19</v>
      </c>
      <c r="M177" s="1" t="str">
        <f t="shared" si="32"/>
        <v>Student</v>
      </c>
      <c r="N177" s="9">
        <v>44943</v>
      </c>
      <c r="O177" s="1" t="s">
        <v>90</v>
      </c>
      <c r="P177" s="1" t="s">
        <v>31</v>
      </c>
      <c r="Q177" s="4">
        <v>0.88</v>
      </c>
      <c r="R177" s="13">
        <f t="shared" si="33"/>
        <v>88</v>
      </c>
      <c r="S177" s="6">
        <f t="shared" si="27"/>
        <v>0.88</v>
      </c>
      <c r="T177" s="1" t="s">
        <v>21</v>
      </c>
      <c r="U177" s="1">
        <f t="shared" si="34"/>
        <v>1.5</v>
      </c>
      <c r="V177" s="1">
        <f t="shared" si="35"/>
        <v>62.05</v>
      </c>
      <c r="W177" s="10" t="str">
        <f t="shared" si="36"/>
        <v>Medium</v>
      </c>
      <c r="X177" s="1" t="s">
        <v>22</v>
      </c>
      <c r="Y177" s="1" t="str">
        <f t="shared" si="37"/>
        <v>No</v>
      </c>
      <c r="Z177" s="14">
        <v>5</v>
      </c>
      <c r="AA177" s="18">
        <f t="shared" si="38"/>
        <v>5</v>
      </c>
      <c r="AB177" s="18" t="str">
        <f t="shared" si="39"/>
        <v>No</v>
      </c>
      <c r="AC177" s="9" t="s">
        <v>755</v>
      </c>
      <c r="AD177">
        <f>IF(AC177="",0,LEN(AC177)-LEN(SUBSTITUTE(AC177,",",""))+1)</f>
        <v>1</v>
      </c>
    </row>
    <row r="178" spans="1:30" ht="12.5" x14ac:dyDescent="0.25">
      <c r="A178" s="1" t="s">
        <v>756</v>
      </c>
      <c r="B178" s="1" t="s">
        <v>757</v>
      </c>
      <c r="C178" s="1" t="str">
        <v>Kristin Anderson</v>
      </c>
      <c r="D178" s="1" t="s">
        <v>758</v>
      </c>
      <c r="E178" s="1" t="str">
        <v>james17@davis-hardy.com</v>
      </c>
      <c r="F178" t="str">
        <f t="shared" si="28"/>
        <v>Valid</v>
      </c>
      <c r="G178" s="1" t="s">
        <v>109</v>
      </c>
      <c r="H178" s="1" t="str">
        <f t="shared" si="29"/>
        <v>Male</v>
      </c>
      <c r="I178" s="1" t="s">
        <v>89</v>
      </c>
      <c r="J178" t="str">
        <f t="shared" si="30"/>
        <v>GERMANY</v>
      </c>
      <c r="L178" s="1">
        <f t="shared" si="31"/>
        <v>19</v>
      </c>
      <c r="M178" s="1" t="str">
        <f t="shared" si="32"/>
        <v>Student</v>
      </c>
      <c r="N178" s="9">
        <v>45377</v>
      </c>
      <c r="O178" s="1" t="s">
        <v>36</v>
      </c>
      <c r="P178" s="1" t="s">
        <v>37</v>
      </c>
      <c r="Q178" s="4">
        <v>0.91</v>
      </c>
      <c r="R178" s="13">
        <f t="shared" si="33"/>
        <v>91</v>
      </c>
      <c r="S178" s="6">
        <f t="shared" si="27"/>
        <v>0.91</v>
      </c>
      <c r="T178" s="1">
        <v>45</v>
      </c>
      <c r="U178" s="1">
        <f t="shared" si="34"/>
        <v>45</v>
      </c>
      <c r="V178" s="1">
        <f t="shared" si="35"/>
        <v>77.199999999999989</v>
      </c>
      <c r="W178" s="10" t="str">
        <f t="shared" si="36"/>
        <v>High</v>
      </c>
      <c r="X178" s="1">
        <v>1</v>
      </c>
      <c r="Y178" s="1" t="str">
        <f t="shared" si="37"/>
        <v>Yes</v>
      </c>
      <c r="Z178" s="14">
        <v>6</v>
      </c>
      <c r="AA178" s="18">
        <f t="shared" si="38"/>
        <v>6</v>
      </c>
      <c r="AB178" s="18" t="str">
        <f t="shared" si="39"/>
        <v>High Performer</v>
      </c>
      <c r="AC178" s="9" t="s">
        <v>759</v>
      </c>
      <c r="AD178">
        <f>IF(AC178="",0,LEN(AC178)-LEN(SUBSTITUTE(AC178,",",""))+1)</f>
        <v>4</v>
      </c>
    </row>
    <row r="179" spans="1:30" ht="12.5" x14ac:dyDescent="0.25">
      <c r="A179" s="1" t="s">
        <v>760</v>
      </c>
      <c r="B179" s="1" t="s">
        <v>761</v>
      </c>
      <c r="C179" s="1" t="str">
        <v>Shelly Lopez</v>
      </c>
      <c r="D179" s="1" t="s">
        <v>762</v>
      </c>
      <c r="E179" s="1" t="str">
        <v>vclark@krueger-smith.com</v>
      </c>
      <c r="F179" t="str">
        <f t="shared" si="28"/>
        <v>Valid</v>
      </c>
      <c r="G179" s="1" t="s">
        <v>88</v>
      </c>
      <c r="H179" s="1" t="str">
        <f t="shared" si="29"/>
        <v>Male</v>
      </c>
      <c r="I179" s="1" t="s">
        <v>89</v>
      </c>
      <c r="J179" t="str">
        <f t="shared" si="30"/>
        <v>GERMANY</v>
      </c>
      <c r="K179" s="14">
        <v>44</v>
      </c>
      <c r="L179" s="1">
        <f t="shared" si="31"/>
        <v>44</v>
      </c>
      <c r="M179" s="1" t="str">
        <f t="shared" si="32"/>
        <v>Senior</v>
      </c>
      <c r="N179" s="9">
        <v>44738</v>
      </c>
      <c r="O179" s="1" t="s">
        <v>52</v>
      </c>
      <c r="P179" s="1" t="s">
        <v>37</v>
      </c>
      <c r="Q179" s="4">
        <v>64</v>
      </c>
      <c r="R179" s="13">
        <f t="shared" si="33"/>
        <v>64</v>
      </c>
      <c r="S179" s="6">
        <f t="shared" si="27"/>
        <v>0.64</v>
      </c>
      <c r="T179" s="1" t="s">
        <v>46</v>
      </c>
      <c r="U179" s="1">
        <f t="shared" si="34"/>
        <v>1</v>
      </c>
      <c r="V179" s="1">
        <f t="shared" si="35"/>
        <v>45.099999999999994</v>
      </c>
      <c r="W179" s="10" t="str">
        <f t="shared" si="36"/>
        <v>Medium</v>
      </c>
      <c r="X179" s="1">
        <v>1</v>
      </c>
      <c r="Y179" s="1" t="str">
        <f t="shared" si="37"/>
        <v>Yes</v>
      </c>
      <c r="AA179" s="18" t="str">
        <f t="shared" si="38"/>
        <v>Invalid</v>
      </c>
      <c r="AB179" s="18" t="str">
        <f t="shared" si="39"/>
        <v>High Performer</v>
      </c>
      <c r="AC179" s="9" t="s">
        <v>763</v>
      </c>
      <c r="AD179">
        <f>IF(AC179="",0,LEN(AC179)-LEN(SUBSTITUTE(AC179,",",""))+1)</f>
        <v>3</v>
      </c>
    </row>
    <row r="180" spans="1:30" ht="12.5" x14ac:dyDescent="0.25">
      <c r="A180" s="1" t="s">
        <v>764</v>
      </c>
      <c r="B180" s="1" t="s">
        <v>765</v>
      </c>
      <c r="C180" s="1" t="str">
        <v>Melissa Padilla</v>
      </c>
      <c r="D180" s="1" t="s">
        <v>766</v>
      </c>
      <c r="E180" s="1" t="str">
        <v>andrearowe@yahoo.com</v>
      </c>
      <c r="F180" t="str">
        <f t="shared" si="28"/>
        <v>Valid</v>
      </c>
      <c r="G180" s="1" t="s">
        <v>88</v>
      </c>
      <c r="H180" s="1" t="str">
        <f t="shared" si="29"/>
        <v>Male</v>
      </c>
      <c r="I180" s="1" t="s">
        <v>18</v>
      </c>
      <c r="J180" t="str">
        <f t="shared" si="30"/>
        <v>US</v>
      </c>
      <c r="K180" s="14">
        <v>0</v>
      </c>
      <c r="L180" s="1">
        <f t="shared" si="31"/>
        <v>19</v>
      </c>
      <c r="M180" s="1" t="str">
        <f t="shared" si="32"/>
        <v>Student</v>
      </c>
      <c r="N180" s="2">
        <v>44722</v>
      </c>
      <c r="O180" s="1" t="s">
        <v>69</v>
      </c>
      <c r="P180" s="1" t="s">
        <v>31</v>
      </c>
      <c r="Q180" s="4">
        <v>1</v>
      </c>
      <c r="R180" s="13">
        <f t="shared" si="33"/>
        <v>100</v>
      </c>
      <c r="S180" s="6">
        <f t="shared" si="27"/>
        <v>1</v>
      </c>
      <c r="T180" s="1">
        <v>1.5</v>
      </c>
      <c r="U180" s="1">
        <f t="shared" si="34"/>
        <v>1.5</v>
      </c>
      <c r="V180" s="1">
        <f t="shared" si="35"/>
        <v>70.45</v>
      </c>
      <c r="W180" s="10" t="str">
        <f t="shared" si="36"/>
        <v>Medium</v>
      </c>
      <c r="X180" s="1" t="s">
        <v>38</v>
      </c>
      <c r="Y180" s="1" t="str">
        <f t="shared" si="37"/>
        <v>No</v>
      </c>
      <c r="Z180" s="14">
        <v>4</v>
      </c>
      <c r="AA180" s="18">
        <f t="shared" si="38"/>
        <v>4</v>
      </c>
      <c r="AB180" s="18" t="str">
        <f t="shared" si="39"/>
        <v>No</v>
      </c>
      <c r="AC180" s="9" t="s">
        <v>767</v>
      </c>
      <c r="AD180">
        <f>IF(AC180="",0,LEN(AC180)-LEN(SUBSTITUTE(AC180,",",""))+1)</f>
        <v>6</v>
      </c>
    </row>
    <row r="181" spans="1:30" ht="12.5" x14ac:dyDescent="0.25">
      <c r="A181" s="1" t="s">
        <v>768</v>
      </c>
      <c r="B181" s="1" t="s">
        <v>769</v>
      </c>
      <c r="C181" s="1" t="str">
        <v>Jose Crawford</v>
      </c>
      <c r="D181" s="1" t="s">
        <v>770</v>
      </c>
      <c r="E181" s="1" t="str">
        <v>ugill@wood.com</v>
      </c>
      <c r="F181" t="str">
        <f t="shared" si="28"/>
        <v>Valid</v>
      </c>
      <c r="G181" s="1" t="s">
        <v>109</v>
      </c>
      <c r="H181" s="1" t="str">
        <f t="shared" si="29"/>
        <v>Male</v>
      </c>
      <c r="I181" s="1" t="s">
        <v>18</v>
      </c>
      <c r="J181" t="str">
        <f t="shared" si="30"/>
        <v>US</v>
      </c>
      <c r="L181" s="1">
        <f t="shared" si="31"/>
        <v>19</v>
      </c>
      <c r="M181" s="1" t="str">
        <f t="shared" si="32"/>
        <v>Student</v>
      </c>
      <c r="N181" s="9">
        <v>45382</v>
      </c>
      <c r="O181" s="1" t="s">
        <v>45</v>
      </c>
      <c r="P181" s="1" t="s">
        <v>20</v>
      </c>
      <c r="Q181" s="4">
        <v>10</v>
      </c>
      <c r="R181" s="13">
        <f t="shared" si="33"/>
        <v>10</v>
      </c>
      <c r="S181" s="6">
        <f t="shared" si="27"/>
        <v>0.1</v>
      </c>
      <c r="T181" s="1" t="s">
        <v>21</v>
      </c>
      <c r="U181" s="1">
        <f t="shared" si="34"/>
        <v>1.5</v>
      </c>
      <c r="V181" s="1">
        <f t="shared" si="35"/>
        <v>7.45</v>
      </c>
      <c r="W181" s="10" t="str">
        <f t="shared" si="36"/>
        <v>Low</v>
      </c>
      <c r="X181" s="1" t="s">
        <v>76</v>
      </c>
      <c r="Y181" s="1" t="str">
        <f t="shared" si="37"/>
        <v>Yes</v>
      </c>
      <c r="Z181" s="14">
        <v>3</v>
      </c>
      <c r="AA181" s="18">
        <f t="shared" si="38"/>
        <v>3</v>
      </c>
      <c r="AB181" s="18" t="str">
        <f t="shared" si="39"/>
        <v>No</v>
      </c>
      <c r="AC181" s="9" t="s">
        <v>771</v>
      </c>
      <c r="AD181">
        <f>IF(AC181="",0,LEN(AC181)-LEN(SUBSTITUTE(AC181,",",""))+1)</f>
        <v>5</v>
      </c>
    </row>
    <row r="182" spans="1:30" ht="12.5" x14ac:dyDescent="0.25">
      <c r="A182" s="1" t="s">
        <v>772</v>
      </c>
      <c r="B182" s="1" t="s">
        <v>773</v>
      </c>
      <c r="C182" s="1" t="str">
        <v>Juan Silva</v>
      </c>
      <c r="D182" s="1" t="s">
        <v>774</v>
      </c>
      <c r="E182" s="1" t="str">
        <v>elijah53@yahoo.com</v>
      </c>
      <c r="F182" t="str">
        <f t="shared" si="28"/>
        <v>Valid</v>
      </c>
      <c r="G182" s="1" t="s">
        <v>88</v>
      </c>
      <c r="H182" s="1" t="str">
        <f t="shared" si="29"/>
        <v>Male</v>
      </c>
      <c r="I182" s="1" t="s">
        <v>74</v>
      </c>
      <c r="J182" t="str">
        <f t="shared" si="30"/>
        <v>USA</v>
      </c>
      <c r="K182" s="14">
        <v>18</v>
      </c>
      <c r="L182" s="1">
        <f t="shared" si="31"/>
        <v>18</v>
      </c>
      <c r="M182" s="1" t="str">
        <f t="shared" si="32"/>
        <v>Student</v>
      </c>
      <c r="N182" s="9">
        <v>45531</v>
      </c>
      <c r="O182" s="1" t="s">
        <v>52</v>
      </c>
      <c r="P182" s="1" t="s">
        <v>37</v>
      </c>
      <c r="Q182" s="4">
        <v>0.11</v>
      </c>
      <c r="R182" s="13">
        <f t="shared" si="33"/>
        <v>11</v>
      </c>
      <c r="S182" s="6">
        <f t="shared" si="27"/>
        <v>0.11</v>
      </c>
      <c r="T182" s="1">
        <v>2</v>
      </c>
      <c r="U182" s="1">
        <f t="shared" si="34"/>
        <v>2</v>
      </c>
      <c r="V182" s="1">
        <f t="shared" si="35"/>
        <v>8.2999999999999989</v>
      </c>
      <c r="W182" s="10" t="str">
        <f t="shared" si="36"/>
        <v>Low</v>
      </c>
      <c r="X182" s="1" t="s">
        <v>76</v>
      </c>
      <c r="Y182" s="1" t="str">
        <f t="shared" si="37"/>
        <v>Yes</v>
      </c>
      <c r="Z182" s="14">
        <v>2</v>
      </c>
      <c r="AA182" s="18">
        <f t="shared" si="38"/>
        <v>2</v>
      </c>
      <c r="AB182" s="18" t="str">
        <f t="shared" si="39"/>
        <v>No</v>
      </c>
      <c r="AC182" s="9" t="s">
        <v>775</v>
      </c>
      <c r="AD182">
        <f>IF(AC182="",0,LEN(AC182)-LEN(SUBSTITUTE(AC182,",",""))+1)</f>
        <v>6</v>
      </c>
    </row>
    <row r="183" spans="1:30" ht="12.5" x14ac:dyDescent="0.25">
      <c r="A183" s="1" t="s">
        <v>776</v>
      </c>
      <c r="B183" s="1" t="s">
        <v>777</v>
      </c>
      <c r="C183" s="1" t="str">
        <v>Melinda Scott</v>
      </c>
      <c r="D183" s="1" t="s">
        <v>778</v>
      </c>
      <c r="E183" s="1" t="str">
        <v>umurray@yahoo.com</v>
      </c>
      <c r="F183" t="str">
        <f t="shared" si="28"/>
        <v>Valid</v>
      </c>
      <c r="G183" s="1" t="s">
        <v>43</v>
      </c>
      <c r="H183" s="1" t="str">
        <f t="shared" si="29"/>
        <v>Female</v>
      </c>
      <c r="I183" s="1" t="s">
        <v>96</v>
      </c>
      <c r="J183" t="str">
        <f t="shared" si="30"/>
        <v>INDIA</v>
      </c>
      <c r="K183" s="14">
        <v>0</v>
      </c>
      <c r="L183" s="1">
        <f t="shared" si="31"/>
        <v>19</v>
      </c>
      <c r="M183" s="1" t="str">
        <f t="shared" si="32"/>
        <v>Student</v>
      </c>
      <c r="N183" s="2">
        <v>45513</v>
      </c>
      <c r="O183" s="1" t="s">
        <v>30</v>
      </c>
      <c r="P183" s="1" t="s">
        <v>31</v>
      </c>
      <c r="Q183" s="4">
        <v>0.52</v>
      </c>
      <c r="R183" s="13">
        <f t="shared" si="33"/>
        <v>52</v>
      </c>
      <c r="S183" s="6">
        <f t="shared" si="27"/>
        <v>0.52</v>
      </c>
      <c r="T183" s="1" t="s">
        <v>64</v>
      </c>
      <c r="U183" s="1">
        <f t="shared" si="34"/>
        <v>2</v>
      </c>
      <c r="V183" s="1">
        <f t="shared" si="35"/>
        <v>37</v>
      </c>
      <c r="W183" s="10" t="str">
        <f t="shared" si="36"/>
        <v>Low</v>
      </c>
      <c r="X183" s="1" t="s">
        <v>22</v>
      </c>
      <c r="Y183" s="1" t="str">
        <f t="shared" si="37"/>
        <v>No</v>
      </c>
      <c r="Z183" s="14">
        <v>4</v>
      </c>
      <c r="AA183" s="18">
        <f t="shared" si="38"/>
        <v>4</v>
      </c>
      <c r="AB183" s="18" t="str">
        <f t="shared" si="39"/>
        <v>No</v>
      </c>
      <c r="AC183" s="9" t="s">
        <v>779</v>
      </c>
      <c r="AD183">
        <f>IF(AC183="",0,LEN(AC183)-LEN(SUBSTITUTE(AC183,",",""))+1)</f>
        <v>6</v>
      </c>
    </row>
    <row r="184" spans="1:30" ht="12.5" x14ac:dyDescent="0.25">
      <c r="A184" s="1" t="s">
        <v>780</v>
      </c>
      <c r="B184" s="1" t="s">
        <v>781</v>
      </c>
      <c r="C184" s="1" t="str">
        <v>Steve Mooney</v>
      </c>
      <c r="D184" s="1" t="s">
        <v>782</v>
      </c>
      <c r="E184" s="1" t="str">
        <v>combscharles@williams.com</v>
      </c>
      <c r="F184" t="str">
        <f t="shared" si="28"/>
        <v>Valid</v>
      </c>
      <c r="G184" s="1" t="s">
        <v>17</v>
      </c>
      <c r="H184" s="1" t="str">
        <f t="shared" si="29"/>
        <v>Female</v>
      </c>
      <c r="I184" s="1" t="s">
        <v>156</v>
      </c>
      <c r="J184" t="str">
        <f t="shared" si="30"/>
        <v>IN</v>
      </c>
      <c r="K184" s="14">
        <v>26</v>
      </c>
      <c r="L184" s="1">
        <f t="shared" si="31"/>
        <v>26</v>
      </c>
      <c r="M184" s="1" t="str">
        <f t="shared" si="32"/>
        <v>Early Career</v>
      </c>
      <c r="N184" s="9">
        <v>44920</v>
      </c>
      <c r="O184" s="1" t="s">
        <v>52</v>
      </c>
      <c r="P184" s="1" t="s">
        <v>37</v>
      </c>
      <c r="Q184" s="4">
        <v>0.21</v>
      </c>
      <c r="R184" s="13">
        <f t="shared" si="33"/>
        <v>21</v>
      </c>
      <c r="S184" s="6">
        <f t="shared" si="27"/>
        <v>0.21</v>
      </c>
      <c r="T184" s="1" t="s">
        <v>64</v>
      </c>
      <c r="U184" s="1">
        <f t="shared" si="34"/>
        <v>2</v>
      </c>
      <c r="V184" s="1">
        <f t="shared" si="35"/>
        <v>15.299999999999999</v>
      </c>
      <c r="W184" s="10" t="str">
        <f t="shared" si="36"/>
        <v>Low</v>
      </c>
      <c r="X184" s="1" t="s">
        <v>38</v>
      </c>
      <c r="Y184" s="1" t="str">
        <f t="shared" si="37"/>
        <v>No</v>
      </c>
      <c r="Z184" s="14">
        <v>4</v>
      </c>
      <c r="AA184" s="18">
        <f t="shared" si="38"/>
        <v>4</v>
      </c>
      <c r="AB184" s="18" t="str">
        <f t="shared" si="39"/>
        <v>No</v>
      </c>
      <c r="AC184" s="9" t="s">
        <v>783</v>
      </c>
      <c r="AD184">
        <f>IF(AC184="",0,LEN(AC184)-LEN(SUBSTITUTE(AC184,",",""))+1)</f>
        <v>5</v>
      </c>
    </row>
    <row r="185" spans="1:30" ht="12.5" x14ac:dyDescent="0.25">
      <c r="A185" s="1" t="s">
        <v>784</v>
      </c>
      <c r="B185" s="1" t="s">
        <v>785</v>
      </c>
      <c r="C185" s="1" t="str">
        <v>Jacqueline Williamson</v>
      </c>
      <c r="D185" s="1" t="s">
        <v>786</v>
      </c>
      <c r="E185" s="1" t="str">
        <v>ismith@hotmail.com</v>
      </c>
      <c r="F185" t="str">
        <f t="shared" si="28"/>
        <v>Valid</v>
      </c>
      <c r="G185" s="1" t="s">
        <v>88</v>
      </c>
      <c r="H185" s="1" t="str">
        <f t="shared" si="29"/>
        <v>Male</v>
      </c>
      <c r="I185" s="1" t="s">
        <v>156</v>
      </c>
      <c r="J185" t="str">
        <f t="shared" si="30"/>
        <v>IN</v>
      </c>
      <c r="L185" s="1">
        <f t="shared" si="31"/>
        <v>19</v>
      </c>
      <c r="M185" s="1" t="str">
        <f t="shared" si="32"/>
        <v>Student</v>
      </c>
      <c r="N185" s="9">
        <v>44763</v>
      </c>
      <c r="O185" s="1" t="s">
        <v>30</v>
      </c>
      <c r="P185" s="1" t="s">
        <v>31</v>
      </c>
      <c r="Q185" s="4">
        <v>0.38</v>
      </c>
      <c r="R185" s="13">
        <f t="shared" si="33"/>
        <v>38</v>
      </c>
      <c r="S185" s="6">
        <f t="shared" si="27"/>
        <v>0.38</v>
      </c>
      <c r="T185" s="1" t="s">
        <v>64</v>
      </c>
      <c r="U185" s="1">
        <f t="shared" si="34"/>
        <v>2</v>
      </c>
      <c r="V185" s="1">
        <f t="shared" si="35"/>
        <v>27.2</v>
      </c>
      <c r="W185" s="10" t="str">
        <f t="shared" si="36"/>
        <v>Low</v>
      </c>
      <c r="X185" s="1">
        <v>0</v>
      </c>
      <c r="Y185" s="1" t="str">
        <f t="shared" si="37"/>
        <v>No</v>
      </c>
      <c r="Z185" s="14">
        <v>1</v>
      </c>
      <c r="AA185" s="18">
        <f t="shared" si="38"/>
        <v>1</v>
      </c>
      <c r="AB185" s="18" t="str">
        <f t="shared" si="39"/>
        <v>No</v>
      </c>
      <c r="AC185" s="9" t="s">
        <v>787</v>
      </c>
      <c r="AD185">
        <f>IF(AC185="",0,LEN(AC185)-LEN(SUBSTITUTE(AC185,",",""))+1)</f>
        <v>4</v>
      </c>
    </row>
    <row r="186" spans="1:30" ht="12.5" x14ac:dyDescent="0.25">
      <c r="A186" s="1" t="s">
        <v>788</v>
      </c>
      <c r="B186" s="1" t="s">
        <v>789</v>
      </c>
      <c r="C186" s="1" t="str">
        <v>William Smith</v>
      </c>
      <c r="D186" s="1" t="s">
        <v>790</v>
      </c>
      <c r="E186" s="1" t="str">
        <v>danieldavis@gmail.com</v>
      </c>
      <c r="F186" t="str">
        <f t="shared" si="28"/>
        <v>Valid</v>
      </c>
      <c r="G186" s="1" t="s">
        <v>88</v>
      </c>
      <c r="H186" s="1" t="str">
        <f t="shared" si="29"/>
        <v>Male</v>
      </c>
      <c r="I186" s="1" t="s">
        <v>156</v>
      </c>
      <c r="J186" t="str">
        <f t="shared" si="30"/>
        <v>IN</v>
      </c>
      <c r="K186" s="14">
        <v>0</v>
      </c>
      <c r="L186" s="1">
        <f t="shared" si="31"/>
        <v>19</v>
      </c>
      <c r="M186" s="1" t="str">
        <f t="shared" si="32"/>
        <v>Student</v>
      </c>
      <c r="N186" s="2">
        <v>45413</v>
      </c>
      <c r="O186" s="1" t="s">
        <v>90</v>
      </c>
      <c r="P186" s="1" t="s">
        <v>31</v>
      </c>
      <c r="Q186" s="4">
        <v>0.88</v>
      </c>
      <c r="R186" s="13">
        <f t="shared" si="33"/>
        <v>88</v>
      </c>
      <c r="S186" s="6">
        <f t="shared" si="27"/>
        <v>0.88</v>
      </c>
      <c r="T186" s="1">
        <v>2</v>
      </c>
      <c r="U186" s="1">
        <f t="shared" si="34"/>
        <v>2</v>
      </c>
      <c r="V186" s="1">
        <f t="shared" si="35"/>
        <v>62.199999999999996</v>
      </c>
      <c r="W186" s="10" t="str">
        <f t="shared" si="36"/>
        <v>Medium</v>
      </c>
      <c r="X186" s="1" t="s">
        <v>38</v>
      </c>
      <c r="Y186" s="1" t="str">
        <f t="shared" si="37"/>
        <v>No</v>
      </c>
      <c r="Z186" s="14">
        <v>2</v>
      </c>
      <c r="AA186" s="18">
        <f t="shared" si="38"/>
        <v>2</v>
      </c>
      <c r="AB186" s="18" t="str">
        <f t="shared" si="39"/>
        <v>No</v>
      </c>
      <c r="AC186" s="9" t="s">
        <v>791</v>
      </c>
      <c r="AD186">
        <f>IF(AC186="",0,LEN(AC186)-LEN(SUBSTITUTE(AC186,",",""))+1)</f>
        <v>5</v>
      </c>
    </row>
    <row r="187" spans="1:30" ht="12.5" x14ac:dyDescent="0.25">
      <c r="A187" s="1" t="s">
        <v>792</v>
      </c>
      <c r="B187" s="1" t="s">
        <v>793</v>
      </c>
      <c r="C187" s="1" t="str">
        <v>Debra Sanders</v>
      </c>
      <c r="D187" s="1" t="s">
        <v>794</v>
      </c>
      <c r="E187" s="1" t="str">
        <v>pstevens@hotmail.com</v>
      </c>
      <c r="F187" t="str">
        <f t="shared" si="28"/>
        <v>Valid</v>
      </c>
      <c r="G187" s="1" t="s">
        <v>43</v>
      </c>
      <c r="H187" s="1" t="str">
        <f t="shared" si="29"/>
        <v>Female</v>
      </c>
      <c r="I187" s="1" t="s">
        <v>96</v>
      </c>
      <c r="J187" t="str">
        <f t="shared" si="30"/>
        <v>INDIA</v>
      </c>
      <c r="K187" s="14">
        <v>0</v>
      </c>
      <c r="L187" s="1">
        <f t="shared" si="31"/>
        <v>19</v>
      </c>
      <c r="M187" s="1" t="str">
        <f t="shared" si="32"/>
        <v>Student</v>
      </c>
      <c r="N187" s="9">
        <v>45032</v>
      </c>
      <c r="O187" s="1" t="s">
        <v>90</v>
      </c>
      <c r="P187" s="1" t="s">
        <v>31</v>
      </c>
      <c r="Q187" s="4">
        <v>1</v>
      </c>
      <c r="R187" s="13">
        <f t="shared" si="33"/>
        <v>100</v>
      </c>
      <c r="S187" s="6">
        <f t="shared" si="27"/>
        <v>1</v>
      </c>
      <c r="T187" s="1" t="s">
        <v>64</v>
      </c>
      <c r="U187" s="1">
        <f t="shared" si="34"/>
        <v>2</v>
      </c>
      <c r="V187" s="1">
        <f t="shared" si="35"/>
        <v>70.599999999999994</v>
      </c>
      <c r="W187" s="10" t="str">
        <f t="shared" si="36"/>
        <v>Medium</v>
      </c>
      <c r="X187" s="1" t="s">
        <v>76</v>
      </c>
      <c r="Y187" s="1" t="str">
        <f t="shared" si="37"/>
        <v>Yes</v>
      </c>
      <c r="Z187" s="14">
        <v>4</v>
      </c>
      <c r="AA187" s="18">
        <f t="shared" si="38"/>
        <v>4</v>
      </c>
      <c r="AB187" s="18" t="str">
        <f t="shared" si="39"/>
        <v>High Performer</v>
      </c>
      <c r="AC187" s="9" t="s">
        <v>795</v>
      </c>
      <c r="AD187">
        <f>IF(AC187="",0,LEN(AC187)-LEN(SUBSTITUTE(AC187,",",""))+1)</f>
        <v>6</v>
      </c>
    </row>
    <row r="188" spans="1:30" ht="12.5" x14ac:dyDescent="0.25">
      <c r="A188" s="1" t="s">
        <v>796</v>
      </c>
      <c r="B188" s="1" t="s">
        <v>797</v>
      </c>
      <c r="C188" s="1" t="str">
        <v>William Santos</v>
      </c>
      <c r="D188" s="1" t="s">
        <v>798</v>
      </c>
      <c r="E188" s="1" t="str">
        <v>sullivannicholas@brown-smith.com</v>
      </c>
      <c r="F188" t="str">
        <f t="shared" si="28"/>
        <v>Valid</v>
      </c>
      <c r="G188" s="1" t="s">
        <v>88</v>
      </c>
      <c r="H188" s="1" t="str">
        <f t="shared" si="29"/>
        <v>Male</v>
      </c>
      <c r="I188" s="1" t="s">
        <v>136</v>
      </c>
      <c r="J188" t="str">
        <f t="shared" si="30"/>
        <v>UK</v>
      </c>
      <c r="K188" s="14">
        <v>0</v>
      </c>
      <c r="L188" s="1">
        <f t="shared" si="31"/>
        <v>19</v>
      </c>
      <c r="M188" s="1" t="str">
        <f t="shared" si="32"/>
        <v>Student</v>
      </c>
      <c r="N188" s="9">
        <v>45008</v>
      </c>
      <c r="O188" s="1" t="s">
        <v>114</v>
      </c>
      <c r="P188" s="1" t="s">
        <v>59</v>
      </c>
      <c r="Q188" s="4">
        <v>88</v>
      </c>
      <c r="R188" s="13">
        <f t="shared" si="33"/>
        <v>88</v>
      </c>
      <c r="S188" s="6">
        <f t="shared" si="27"/>
        <v>0.88</v>
      </c>
      <c r="T188" s="1" t="s">
        <v>64</v>
      </c>
      <c r="U188" s="1">
        <f t="shared" si="34"/>
        <v>2</v>
      </c>
      <c r="V188" s="1">
        <f t="shared" si="35"/>
        <v>62.199999999999996</v>
      </c>
      <c r="W188" s="10" t="str">
        <f t="shared" si="36"/>
        <v>Medium</v>
      </c>
      <c r="X188" s="1" t="s">
        <v>32</v>
      </c>
      <c r="Y188" s="1" t="str">
        <f t="shared" si="37"/>
        <v>Yes</v>
      </c>
      <c r="Z188" s="14">
        <v>1</v>
      </c>
      <c r="AA188" s="18">
        <f t="shared" si="38"/>
        <v>1</v>
      </c>
      <c r="AB188" s="18" t="str">
        <f t="shared" si="39"/>
        <v>No</v>
      </c>
      <c r="AC188" s="9" t="s">
        <v>799</v>
      </c>
      <c r="AD188">
        <f>IF(AC188="",0,LEN(AC188)-LEN(SUBSTITUTE(AC188,",",""))+1)</f>
        <v>4</v>
      </c>
    </row>
    <row r="189" spans="1:30" ht="12.5" x14ac:dyDescent="0.25">
      <c r="A189" s="1" t="s">
        <v>800</v>
      </c>
      <c r="B189" s="1" t="s">
        <v>801</v>
      </c>
      <c r="C189" s="1" t="str">
        <v>Kylie Hodge</v>
      </c>
      <c r="D189" s="1" t="s">
        <v>802</v>
      </c>
      <c r="E189" s="1" t="str">
        <v>hallrachel@clay.com</v>
      </c>
      <c r="F189" t="str">
        <f t="shared" si="28"/>
        <v>Valid</v>
      </c>
      <c r="G189" s="1" t="s">
        <v>88</v>
      </c>
      <c r="H189" s="1" t="str">
        <f t="shared" si="29"/>
        <v>Male</v>
      </c>
      <c r="I189" s="1" t="s">
        <v>96</v>
      </c>
      <c r="J189" t="str">
        <f t="shared" si="30"/>
        <v>INDIA</v>
      </c>
      <c r="L189" s="1">
        <f t="shared" si="31"/>
        <v>19</v>
      </c>
      <c r="M189" s="1" t="str">
        <f t="shared" si="32"/>
        <v>Student</v>
      </c>
      <c r="N189" s="9">
        <v>44786</v>
      </c>
      <c r="O189" s="1" t="s">
        <v>146</v>
      </c>
      <c r="P189" s="1" t="s">
        <v>147</v>
      </c>
      <c r="Q189" s="4">
        <v>0.76</v>
      </c>
      <c r="R189" s="13">
        <f t="shared" si="33"/>
        <v>76</v>
      </c>
      <c r="S189" s="6">
        <f t="shared" si="27"/>
        <v>0.76</v>
      </c>
      <c r="T189" s="1" t="s">
        <v>64</v>
      </c>
      <c r="U189" s="1">
        <f t="shared" si="34"/>
        <v>2</v>
      </c>
      <c r="V189" s="1">
        <f t="shared" si="35"/>
        <v>53.8</v>
      </c>
      <c r="W189" s="10" t="str">
        <f t="shared" si="36"/>
        <v>Medium</v>
      </c>
      <c r="X189" s="1">
        <v>1</v>
      </c>
      <c r="Y189" s="1" t="str">
        <f t="shared" si="37"/>
        <v>Yes</v>
      </c>
      <c r="Z189" s="14">
        <v>4</v>
      </c>
      <c r="AA189" s="18">
        <f t="shared" si="38"/>
        <v>4</v>
      </c>
      <c r="AB189" s="18" t="str">
        <f t="shared" si="39"/>
        <v>High Performer</v>
      </c>
      <c r="AC189" s="9" t="s">
        <v>803</v>
      </c>
      <c r="AD189">
        <f>IF(AC189="",0,LEN(AC189)-LEN(SUBSTITUTE(AC189,",",""))+1)</f>
        <v>7</v>
      </c>
    </row>
    <row r="190" spans="1:30" ht="12.5" x14ac:dyDescent="0.25">
      <c r="A190" s="1" t="s">
        <v>804</v>
      </c>
      <c r="B190" s="1" t="s">
        <v>805</v>
      </c>
      <c r="C190" s="1" t="str">
        <v>Amanda Mcfarland</v>
      </c>
      <c r="D190" s="1" t="s">
        <v>806</v>
      </c>
      <c r="E190" s="1" t="str">
        <v>alibrenda@hotmail.com</v>
      </c>
      <c r="F190" t="str">
        <f t="shared" si="28"/>
        <v>Valid</v>
      </c>
      <c r="G190" s="1" t="s">
        <v>95</v>
      </c>
      <c r="H190" s="1" t="str">
        <f t="shared" si="29"/>
        <v>Male</v>
      </c>
      <c r="I190" s="1" t="s">
        <v>18</v>
      </c>
      <c r="J190" t="str">
        <f t="shared" si="30"/>
        <v>US</v>
      </c>
      <c r="L190" s="1">
        <f t="shared" si="31"/>
        <v>19</v>
      </c>
      <c r="M190" s="1" t="str">
        <f t="shared" si="32"/>
        <v>Student</v>
      </c>
      <c r="N190" s="2">
        <v>45780</v>
      </c>
      <c r="O190" s="1" t="s">
        <v>30</v>
      </c>
      <c r="P190" s="1" t="s">
        <v>31</v>
      </c>
      <c r="Q190" s="4">
        <v>84</v>
      </c>
      <c r="R190" s="13">
        <f t="shared" si="33"/>
        <v>84</v>
      </c>
      <c r="S190" s="6">
        <f t="shared" si="27"/>
        <v>0.84</v>
      </c>
      <c r="T190" s="1">
        <v>1.5</v>
      </c>
      <c r="U190" s="1">
        <f t="shared" si="34"/>
        <v>1.5</v>
      </c>
      <c r="V190" s="1">
        <f t="shared" si="35"/>
        <v>59.25</v>
      </c>
      <c r="W190" s="10" t="str">
        <f t="shared" si="36"/>
        <v>Medium</v>
      </c>
      <c r="X190" s="1" t="s">
        <v>38</v>
      </c>
      <c r="Y190" s="1" t="str">
        <f t="shared" si="37"/>
        <v>No</v>
      </c>
      <c r="AA190" s="18" t="str">
        <f t="shared" si="38"/>
        <v>Invalid</v>
      </c>
      <c r="AB190" s="18" t="str">
        <f t="shared" si="39"/>
        <v>No</v>
      </c>
      <c r="AC190" s="9" t="s">
        <v>807</v>
      </c>
      <c r="AD190">
        <f>IF(AC190="",0,LEN(AC190)-LEN(SUBSTITUTE(AC190,",",""))+1)</f>
        <v>2</v>
      </c>
    </row>
    <row r="191" spans="1:30" ht="12.5" x14ac:dyDescent="0.25">
      <c r="A191" s="1" t="s">
        <v>808</v>
      </c>
      <c r="B191" s="1" t="s">
        <v>809</v>
      </c>
      <c r="C191" s="1" t="str">
        <v>Lacey Atkinson</v>
      </c>
      <c r="D191" s="1" t="s">
        <v>810</v>
      </c>
      <c r="E191" s="1" t="str">
        <v>icampos@hotmail.com</v>
      </c>
      <c r="F191" t="str">
        <f t="shared" si="28"/>
        <v>Valid</v>
      </c>
      <c r="G191" s="1" t="s">
        <v>43</v>
      </c>
      <c r="H191" s="1" t="str">
        <f t="shared" si="29"/>
        <v>Female</v>
      </c>
      <c r="I191" s="1" t="s">
        <v>136</v>
      </c>
      <c r="J191" t="str">
        <f t="shared" si="30"/>
        <v>UK</v>
      </c>
      <c r="L191" s="1">
        <f t="shared" si="31"/>
        <v>19</v>
      </c>
      <c r="M191" s="1" t="str">
        <f t="shared" si="32"/>
        <v>Student</v>
      </c>
      <c r="N191" s="9">
        <v>45276</v>
      </c>
      <c r="O191" s="1" t="s">
        <v>19</v>
      </c>
      <c r="P191" s="1" t="s">
        <v>20</v>
      </c>
      <c r="Q191" s="4">
        <v>0.95</v>
      </c>
      <c r="R191" s="13">
        <f t="shared" si="33"/>
        <v>95</v>
      </c>
      <c r="S191" s="6">
        <f t="shared" si="27"/>
        <v>0.95</v>
      </c>
      <c r="T191" s="1">
        <v>2</v>
      </c>
      <c r="U191" s="1">
        <f t="shared" si="34"/>
        <v>2</v>
      </c>
      <c r="V191" s="1">
        <f t="shared" si="35"/>
        <v>67.099999999999994</v>
      </c>
      <c r="W191" s="10" t="str">
        <f t="shared" si="36"/>
        <v>Medium</v>
      </c>
      <c r="X191" s="1">
        <v>0</v>
      </c>
      <c r="Y191" s="1" t="str">
        <f t="shared" si="37"/>
        <v>No</v>
      </c>
      <c r="Z191" s="14">
        <v>5</v>
      </c>
      <c r="AA191" s="18">
        <f t="shared" si="38"/>
        <v>5</v>
      </c>
      <c r="AB191" s="18" t="str">
        <f t="shared" si="39"/>
        <v>No</v>
      </c>
      <c r="AC191" s="9" t="s">
        <v>811</v>
      </c>
      <c r="AD191">
        <f>IF(AC191="",0,LEN(AC191)-LEN(SUBSTITUTE(AC191,",",""))+1)</f>
        <v>2</v>
      </c>
    </row>
    <row r="192" spans="1:30" ht="12.5" x14ac:dyDescent="0.25">
      <c r="A192" s="1" t="s">
        <v>812</v>
      </c>
      <c r="B192" s="1" t="s">
        <v>813</v>
      </c>
      <c r="C192" s="1" t="str">
        <v>Jeffrey Roberson</v>
      </c>
      <c r="D192" s="1" t="s">
        <v>814</v>
      </c>
      <c r="E192" s="1" t="str">
        <v>unovak@gmail.com</v>
      </c>
      <c r="F192" t="str">
        <f t="shared" si="28"/>
        <v>Valid</v>
      </c>
      <c r="G192" s="1" t="s">
        <v>17</v>
      </c>
      <c r="H192" s="1" t="str">
        <f t="shared" si="29"/>
        <v>Female</v>
      </c>
      <c r="I192" s="1" t="s">
        <v>74</v>
      </c>
      <c r="J192" t="str">
        <f t="shared" si="30"/>
        <v>USA</v>
      </c>
      <c r="K192" s="14">
        <v>0</v>
      </c>
      <c r="L192" s="1">
        <f t="shared" si="31"/>
        <v>19</v>
      </c>
      <c r="M192" s="1" t="str">
        <f t="shared" si="32"/>
        <v>Student</v>
      </c>
      <c r="N192" s="2">
        <v>44720</v>
      </c>
      <c r="O192" s="1" t="s">
        <v>30</v>
      </c>
      <c r="P192" s="1" t="s">
        <v>31</v>
      </c>
      <c r="Q192" s="4">
        <v>61</v>
      </c>
      <c r="R192" s="13">
        <f t="shared" si="33"/>
        <v>61</v>
      </c>
      <c r="S192" s="6">
        <f t="shared" si="27"/>
        <v>0.61</v>
      </c>
      <c r="T192" s="1">
        <v>2</v>
      </c>
      <c r="U192" s="1">
        <f t="shared" si="34"/>
        <v>2</v>
      </c>
      <c r="V192" s="1">
        <f t="shared" si="35"/>
        <v>43.3</v>
      </c>
      <c r="W192" s="10" t="str">
        <f t="shared" si="36"/>
        <v>Medium</v>
      </c>
      <c r="X192" s="1" t="s">
        <v>32</v>
      </c>
      <c r="Y192" s="1" t="str">
        <f t="shared" si="37"/>
        <v>Yes</v>
      </c>
      <c r="Z192" s="14">
        <v>1</v>
      </c>
      <c r="AA192" s="18">
        <f t="shared" si="38"/>
        <v>1</v>
      </c>
      <c r="AB192" s="18" t="str">
        <f t="shared" si="39"/>
        <v>No</v>
      </c>
      <c r="AC192" s="9" t="s">
        <v>815</v>
      </c>
      <c r="AD192">
        <f>IF(AC192="",0,LEN(AC192)-LEN(SUBSTITUTE(AC192,",",""))+1)</f>
        <v>3</v>
      </c>
    </row>
    <row r="193" spans="1:30" ht="12.5" x14ac:dyDescent="0.25">
      <c r="A193" s="1" t="s">
        <v>816</v>
      </c>
      <c r="B193" s="1" t="s">
        <v>817</v>
      </c>
      <c r="C193" s="1" t="str">
        <v>Henry Pugh Md</v>
      </c>
      <c r="D193" s="1" t="s">
        <v>818</v>
      </c>
      <c r="E193" s="1" t="str">
        <v>bartonkenneth@gmail.com</v>
      </c>
      <c r="F193" t="str">
        <f t="shared" si="28"/>
        <v>Valid</v>
      </c>
      <c r="G193" s="1" t="s">
        <v>57</v>
      </c>
      <c r="H193" s="1" t="str">
        <f t="shared" si="29"/>
        <v>Female</v>
      </c>
      <c r="I193" s="1" t="s">
        <v>74</v>
      </c>
      <c r="J193" t="str">
        <f t="shared" si="30"/>
        <v>USA</v>
      </c>
      <c r="K193" s="14">
        <v>27</v>
      </c>
      <c r="L193" s="1">
        <f t="shared" si="31"/>
        <v>27</v>
      </c>
      <c r="M193" s="1" t="str">
        <f t="shared" si="32"/>
        <v>Early Career</v>
      </c>
      <c r="N193" s="9">
        <v>45643</v>
      </c>
      <c r="O193" s="1" t="s">
        <v>52</v>
      </c>
      <c r="P193" s="1" t="s">
        <v>37</v>
      </c>
      <c r="Q193" s="4">
        <v>0.6</v>
      </c>
      <c r="R193" s="13">
        <f t="shared" si="33"/>
        <v>60</v>
      </c>
      <c r="S193" s="6">
        <f t="shared" si="27"/>
        <v>0.6</v>
      </c>
      <c r="T193" s="1">
        <v>45</v>
      </c>
      <c r="U193" s="1">
        <f t="shared" si="34"/>
        <v>45</v>
      </c>
      <c r="V193" s="1">
        <f t="shared" si="35"/>
        <v>55.5</v>
      </c>
      <c r="W193" s="10" t="str">
        <f t="shared" si="36"/>
        <v>Medium</v>
      </c>
      <c r="X193" s="1" t="s">
        <v>76</v>
      </c>
      <c r="Y193" s="1" t="str">
        <f t="shared" si="37"/>
        <v>Yes</v>
      </c>
      <c r="Z193" s="14">
        <v>1</v>
      </c>
      <c r="AA193" s="18">
        <f t="shared" si="38"/>
        <v>1</v>
      </c>
      <c r="AB193" s="18" t="str">
        <f t="shared" si="39"/>
        <v>No</v>
      </c>
      <c r="AC193" s="9" t="s">
        <v>819</v>
      </c>
      <c r="AD193">
        <f>IF(AC193="",0,LEN(AC193)-LEN(SUBSTITUTE(AC193,",",""))+1)</f>
        <v>4</v>
      </c>
    </row>
    <row r="194" spans="1:30" ht="12.5" x14ac:dyDescent="0.25">
      <c r="A194" s="1" t="s">
        <v>820</v>
      </c>
      <c r="B194" s="1" t="s">
        <v>821</v>
      </c>
      <c r="C194" s="1" t="str">
        <v>Madison Singh</v>
      </c>
      <c r="D194" s="1" t="s">
        <v>822</v>
      </c>
      <c r="E194" s="1" t="str">
        <v>daniel04@yahoo.com</v>
      </c>
      <c r="F194" t="str">
        <f t="shared" si="28"/>
        <v>Valid</v>
      </c>
      <c r="G194" s="1" t="s">
        <v>57</v>
      </c>
      <c r="H194" s="1" t="str">
        <f t="shared" si="29"/>
        <v>Female</v>
      </c>
      <c r="I194" s="1" t="s">
        <v>96</v>
      </c>
      <c r="J194" t="str">
        <f t="shared" si="30"/>
        <v>INDIA</v>
      </c>
      <c r="L194" s="1">
        <f t="shared" si="31"/>
        <v>19</v>
      </c>
      <c r="M194" s="1" t="str">
        <f t="shared" si="32"/>
        <v>Student</v>
      </c>
      <c r="N194" s="9">
        <v>44772</v>
      </c>
      <c r="O194" s="1" t="s">
        <v>301</v>
      </c>
      <c r="P194" s="1" t="s">
        <v>20</v>
      </c>
      <c r="Q194" s="4">
        <v>94</v>
      </c>
      <c r="R194" s="13">
        <f t="shared" si="33"/>
        <v>94</v>
      </c>
      <c r="S194" s="6">
        <f t="shared" ref="S194:S257" si="40">R194/100</f>
        <v>0.94</v>
      </c>
      <c r="T194" s="1" t="s">
        <v>46</v>
      </c>
      <c r="U194" s="1">
        <f t="shared" si="34"/>
        <v>1</v>
      </c>
      <c r="V194" s="1">
        <f t="shared" si="35"/>
        <v>66.099999999999994</v>
      </c>
      <c r="W194" s="10" t="str">
        <f t="shared" si="36"/>
        <v>Medium</v>
      </c>
      <c r="X194" s="1" t="s">
        <v>38</v>
      </c>
      <c r="Y194" s="1" t="str">
        <f t="shared" si="37"/>
        <v>No</v>
      </c>
      <c r="Z194" s="14">
        <v>2</v>
      </c>
      <c r="AA194" s="18">
        <f t="shared" si="38"/>
        <v>2</v>
      </c>
      <c r="AB194" s="18" t="str">
        <f t="shared" si="39"/>
        <v>No</v>
      </c>
      <c r="AC194" s="9" t="s">
        <v>823</v>
      </c>
      <c r="AD194">
        <f>IF(AC194="",0,LEN(AC194)-LEN(SUBSTITUTE(AC194,",",""))+1)</f>
        <v>2</v>
      </c>
    </row>
    <row r="195" spans="1:30" ht="12.5" x14ac:dyDescent="0.25">
      <c r="A195" s="1" t="s">
        <v>824</v>
      </c>
      <c r="B195" s="1" t="s">
        <v>825</v>
      </c>
      <c r="C195" s="1" t="str">
        <v>Jeffrey Hawkins</v>
      </c>
      <c r="D195" s="1" t="s">
        <v>826</v>
      </c>
      <c r="E195" s="1" t="str">
        <v>johnsonmichael@gmail.com</v>
      </c>
      <c r="F195" t="str">
        <f t="shared" ref="F195:F258" si="41">IF(ISNUMBER(SEARCH("@", E195)), "Valid", "Invalid")</f>
        <v>Valid</v>
      </c>
      <c r="G195" s="1" t="s">
        <v>95</v>
      </c>
      <c r="H195" s="1" t="str">
        <f t="shared" ref="H195:H258" si="42">IF(OR(LOWER(G195)="m", LOWER(G195)="male"), "Male", IF(OR(LOWER(G195)="f", LOWER(G195)="female"), "Female","Other"))</f>
        <v>Male</v>
      </c>
      <c r="I195" s="1" t="s">
        <v>89</v>
      </c>
      <c r="J195" t="str">
        <f t="shared" ref="J195:J258" si="43">UPPER(TRIM(I195))</f>
        <v>GERMANY</v>
      </c>
      <c r="L195" s="1">
        <f t="shared" ref="L195:L258" si="44">IF(OR(K195=0,K195&lt;10,K195&gt;100), $L$1202, K195)</f>
        <v>19</v>
      </c>
      <c r="M195" s="1" t="str">
        <f t="shared" ref="M195:M258" si="45">IF(K195&lt;22,"Student",
IF(K195&lt;=30,"Early Career",
IF(K195&lt;=40,"Mid Career",
IF(K195&lt;=50,"Senior","Expert"))))</f>
        <v>Student</v>
      </c>
      <c r="N195" s="9">
        <v>45217</v>
      </c>
      <c r="O195" s="1" t="s">
        <v>235</v>
      </c>
      <c r="P195" s="1" t="s">
        <v>147</v>
      </c>
      <c r="Q195" s="4">
        <v>0.78</v>
      </c>
      <c r="R195" s="13">
        <f t="shared" ref="R195:R258" si="46">IF(Q195&lt;=1, Q195*100, Q195)</f>
        <v>78</v>
      </c>
      <c r="S195" s="6">
        <f t="shared" si="40"/>
        <v>0.78</v>
      </c>
      <c r="T195" s="1" t="s">
        <v>64</v>
      </c>
      <c r="U195" s="1">
        <f t="shared" ref="U195:U258" si="47">IF(ISNUMBER(T195), T195,
IF(ISNUMBER(SEARCH("min", T195)), VALUE(LEFT(T195, FIND(" ", T195)-1))/60,
IF(ISNUMBER(SEARCH("hour", T195)), VALUE(LEFT(T195, FIND(" ", T195)-1)),
"")))</f>
        <v>2</v>
      </c>
      <c r="V195" s="1">
        <f t="shared" ref="V195:V258" si="48">MIN( (0.7*R195 + 0.3*(U195)), 100 )</f>
        <v>55.199999999999996</v>
      </c>
      <c r="W195" s="10" t="str">
        <f t="shared" ref="W195:W258" si="49">IF(V195&lt;41,"Low",IF(V195&lt;71,"Medium","High"))</f>
        <v>Medium</v>
      </c>
      <c r="X195" s="1" t="s">
        <v>76</v>
      </c>
      <c r="Y195" s="1" t="str">
        <f t="shared" ref="Y195:Y258" si="50">IF(OR(X195="Yes", X195="Y", X195=1), "Yes", "No")</f>
        <v>Yes</v>
      </c>
      <c r="Z195" s="14">
        <v>2</v>
      </c>
      <c r="AA195" s="18">
        <f t="shared" ref="AA195:AA258" si="51">IF(AND(Z195&gt;=1,Z195&lt;=6),Z195,"Invalid")</f>
        <v>2</v>
      </c>
      <c r="AB195" s="18" t="str">
        <f t="shared" ref="AB195:AB258" si="52">IF(AND(Y195="Yes",AA195&gt;=4),"High Performer","No")</f>
        <v>No</v>
      </c>
      <c r="AC195" s="9" t="s">
        <v>827</v>
      </c>
      <c r="AD195">
        <f>IF(AC195="",0,LEN(AC195)-LEN(SUBSTITUTE(AC195,",",""))+1)</f>
        <v>7</v>
      </c>
    </row>
    <row r="196" spans="1:30" ht="12.5" x14ac:dyDescent="0.25">
      <c r="A196" s="1" t="s">
        <v>828</v>
      </c>
      <c r="B196" s="1" t="s">
        <v>829</v>
      </c>
      <c r="C196" s="1" t="str">
        <v>Edgar Hughes</v>
      </c>
      <c r="D196" s="1" t="s">
        <v>830</v>
      </c>
      <c r="E196" s="1" t="str">
        <v>ashleyjackson@jackson-adams.com</v>
      </c>
      <c r="F196" t="str">
        <f t="shared" si="41"/>
        <v>Valid</v>
      </c>
      <c r="G196" s="1" t="s">
        <v>57</v>
      </c>
      <c r="H196" s="1" t="str">
        <f t="shared" si="42"/>
        <v>Female</v>
      </c>
      <c r="I196" s="1" t="s">
        <v>18</v>
      </c>
      <c r="J196" t="str">
        <f t="shared" si="43"/>
        <v>US</v>
      </c>
      <c r="L196" s="1">
        <f t="shared" si="44"/>
        <v>19</v>
      </c>
      <c r="M196" s="1" t="str">
        <f t="shared" si="45"/>
        <v>Student</v>
      </c>
      <c r="N196" s="9">
        <v>45585</v>
      </c>
      <c r="O196" s="1" t="s">
        <v>90</v>
      </c>
      <c r="P196" s="1" t="s">
        <v>31</v>
      </c>
      <c r="Q196" s="4">
        <v>0.57999999999999996</v>
      </c>
      <c r="R196" s="13">
        <f t="shared" si="46"/>
        <v>57.999999999999993</v>
      </c>
      <c r="S196" s="6">
        <f t="shared" si="40"/>
        <v>0.57999999999999996</v>
      </c>
      <c r="T196" s="1">
        <v>2</v>
      </c>
      <c r="U196" s="1">
        <f t="shared" si="47"/>
        <v>2</v>
      </c>
      <c r="V196" s="1">
        <f t="shared" si="48"/>
        <v>41.199999999999996</v>
      </c>
      <c r="W196" s="10" t="str">
        <f t="shared" si="49"/>
        <v>Medium</v>
      </c>
      <c r="X196" s="1" t="s">
        <v>32</v>
      </c>
      <c r="Y196" s="1" t="str">
        <f t="shared" si="50"/>
        <v>Yes</v>
      </c>
      <c r="Z196" s="14">
        <v>1</v>
      </c>
      <c r="AA196" s="18">
        <f t="shared" si="51"/>
        <v>1</v>
      </c>
      <c r="AB196" s="18" t="str">
        <f t="shared" si="52"/>
        <v>No</v>
      </c>
      <c r="AC196" s="9" t="s">
        <v>831</v>
      </c>
      <c r="AD196">
        <f>IF(AC196="",0,LEN(AC196)-LEN(SUBSTITUTE(AC196,",",""))+1)</f>
        <v>3</v>
      </c>
    </row>
    <row r="197" spans="1:30" ht="12.5" x14ac:dyDescent="0.25">
      <c r="A197" s="1" t="s">
        <v>832</v>
      </c>
      <c r="B197" s="1" t="s">
        <v>833</v>
      </c>
      <c r="C197" s="1" t="str">
        <v>Elijah Patton</v>
      </c>
      <c r="D197" s="1" t="s">
        <v>834</v>
      </c>
      <c r="E197" s="1" t="str">
        <v>sheryl79@hotmail.com</v>
      </c>
      <c r="F197" t="str">
        <f t="shared" si="41"/>
        <v>Valid</v>
      </c>
      <c r="G197" s="1" t="s">
        <v>57</v>
      </c>
      <c r="H197" s="1" t="str">
        <f t="shared" si="42"/>
        <v>Female</v>
      </c>
      <c r="I197" s="1" t="s">
        <v>74</v>
      </c>
      <c r="J197" t="str">
        <f t="shared" si="43"/>
        <v>USA</v>
      </c>
      <c r="L197" s="1">
        <f t="shared" si="44"/>
        <v>19</v>
      </c>
      <c r="M197" s="1" t="str">
        <f t="shared" si="45"/>
        <v>Student</v>
      </c>
      <c r="N197" s="2">
        <v>45631</v>
      </c>
      <c r="O197" s="1" t="s">
        <v>52</v>
      </c>
      <c r="P197" s="1" t="s">
        <v>37</v>
      </c>
      <c r="Q197" s="4">
        <v>38</v>
      </c>
      <c r="R197" s="13">
        <f t="shared" si="46"/>
        <v>38</v>
      </c>
      <c r="S197" s="6">
        <f t="shared" si="40"/>
        <v>0.38</v>
      </c>
      <c r="T197" s="1" t="s">
        <v>46</v>
      </c>
      <c r="U197" s="1">
        <f t="shared" si="47"/>
        <v>1</v>
      </c>
      <c r="V197" s="1">
        <f t="shared" si="48"/>
        <v>26.9</v>
      </c>
      <c r="W197" s="10" t="str">
        <f t="shared" si="49"/>
        <v>Low</v>
      </c>
      <c r="X197" s="1" t="s">
        <v>32</v>
      </c>
      <c r="Y197" s="1" t="str">
        <f t="shared" si="50"/>
        <v>Yes</v>
      </c>
      <c r="Z197" s="14">
        <v>5</v>
      </c>
      <c r="AA197" s="18">
        <f t="shared" si="51"/>
        <v>5</v>
      </c>
      <c r="AB197" s="18" t="str">
        <f t="shared" si="52"/>
        <v>High Performer</v>
      </c>
      <c r="AC197" s="9" t="s">
        <v>835</v>
      </c>
      <c r="AD197">
        <f>IF(AC197="",0,LEN(AC197)-LEN(SUBSTITUTE(AC197,",",""))+1)</f>
        <v>3</v>
      </c>
    </row>
    <row r="198" spans="1:30" ht="12.5" x14ac:dyDescent="0.25">
      <c r="A198" s="1" t="s">
        <v>836</v>
      </c>
      <c r="B198" s="1" t="s">
        <v>837</v>
      </c>
      <c r="C198" s="1" t="str">
        <v>James Skinner</v>
      </c>
      <c r="D198" s="1" t="s">
        <v>838</v>
      </c>
      <c r="E198" s="1" t="str">
        <v>scott69@gmail.com</v>
      </c>
      <c r="F198" t="str">
        <f t="shared" si="41"/>
        <v>Valid</v>
      </c>
      <c r="G198" s="1" t="s">
        <v>109</v>
      </c>
      <c r="H198" s="1" t="str">
        <f t="shared" si="42"/>
        <v>Male</v>
      </c>
      <c r="I198" s="1" t="s">
        <v>96</v>
      </c>
      <c r="J198" t="str">
        <f t="shared" si="43"/>
        <v>INDIA</v>
      </c>
      <c r="L198" s="1">
        <f t="shared" si="44"/>
        <v>19</v>
      </c>
      <c r="M198" s="1" t="str">
        <f t="shared" si="45"/>
        <v>Student</v>
      </c>
      <c r="N198" s="2">
        <v>45018</v>
      </c>
      <c r="O198" s="1" t="s">
        <v>146</v>
      </c>
      <c r="P198" s="1" t="s">
        <v>147</v>
      </c>
      <c r="Q198" s="4">
        <v>0.73</v>
      </c>
      <c r="R198" s="13">
        <f t="shared" si="46"/>
        <v>73</v>
      </c>
      <c r="S198" s="6">
        <f t="shared" si="40"/>
        <v>0.73</v>
      </c>
      <c r="T198" s="1" t="s">
        <v>64</v>
      </c>
      <c r="U198" s="1">
        <f t="shared" si="47"/>
        <v>2</v>
      </c>
      <c r="V198" s="1">
        <f t="shared" si="48"/>
        <v>51.699999999999996</v>
      </c>
      <c r="W198" s="10" t="str">
        <f t="shared" si="49"/>
        <v>Medium</v>
      </c>
      <c r="X198" s="1" t="s">
        <v>22</v>
      </c>
      <c r="Y198" s="1" t="str">
        <f t="shared" si="50"/>
        <v>No</v>
      </c>
      <c r="Z198" s="14">
        <v>4</v>
      </c>
      <c r="AA198" s="18">
        <f t="shared" si="51"/>
        <v>4</v>
      </c>
      <c r="AB198" s="18" t="str">
        <f t="shared" si="52"/>
        <v>No</v>
      </c>
      <c r="AC198" s="9" t="s">
        <v>839</v>
      </c>
      <c r="AD198">
        <f>IF(AC198="",0,LEN(AC198)-LEN(SUBSTITUTE(AC198,",",""))+1)</f>
        <v>7</v>
      </c>
    </row>
    <row r="199" spans="1:30" ht="12.5" x14ac:dyDescent="0.25">
      <c r="A199" s="1" t="s">
        <v>840</v>
      </c>
      <c r="B199" s="1" t="s">
        <v>841</v>
      </c>
      <c r="C199" s="1" t="str">
        <v>Ernest Oconnell</v>
      </c>
      <c r="D199" s="1" t="s">
        <v>842</v>
      </c>
      <c r="E199" s="1" t="str">
        <v>jessica79@gmail.com</v>
      </c>
      <c r="F199" t="str">
        <f t="shared" si="41"/>
        <v>Valid</v>
      </c>
      <c r="G199" s="1" t="s">
        <v>119</v>
      </c>
      <c r="H199" s="1" t="str">
        <f t="shared" si="42"/>
        <v>Female</v>
      </c>
      <c r="I199" s="1" t="s">
        <v>18</v>
      </c>
      <c r="J199" t="str">
        <f t="shared" si="43"/>
        <v>US</v>
      </c>
      <c r="L199" s="1">
        <f t="shared" si="44"/>
        <v>19</v>
      </c>
      <c r="M199" s="1" t="str">
        <f t="shared" si="45"/>
        <v>Student</v>
      </c>
      <c r="N199" s="9">
        <v>45124</v>
      </c>
      <c r="O199" s="1" t="s">
        <v>52</v>
      </c>
      <c r="P199" s="1" t="s">
        <v>37</v>
      </c>
      <c r="Q199" s="4">
        <v>62</v>
      </c>
      <c r="R199" s="13">
        <f t="shared" si="46"/>
        <v>62</v>
      </c>
      <c r="S199" s="6">
        <f t="shared" si="40"/>
        <v>0.62</v>
      </c>
      <c r="T199" s="1">
        <v>2</v>
      </c>
      <c r="U199" s="1">
        <f t="shared" si="47"/>
        <v>2</v>
      </c>
      <c r="V199" s="1">
        <f t="shared" si="48"/>
        <v>44</v>
      </c>
      <c r="W199" s="10" t="str">
        <f t="shared" si="49"/>
        <v>Medium</v>
      </c>
      <c r="X199" s="1" t="s">
        <v>38</v>
      </c>
      <c r="Y199" s="1" t="str">
        <f t="shared" si="50"/>
        <v>No</v>
      </c>
      <c r="Z199" s="14">
        <v>2</v>
      </c>
      <c r="AA199" s="18">
        <f t="shared" si="51"/>
        <v>2</v>
      </c>
      <c r="AB199" s="18" t="str">
        <f t="shared" si="52"/>
        <v>No</v>
      </c>
      <c r="AC199" s="9" t="s">
        <v>141</v>
      </c>
      <c r="AD199">
        <f>IF(AC199="",0,LEN(AC199)-LEN(SUBSTITUTE(AC199,",",""))+1)</f>
        <v>1</v>
      </c>
    </row>
    <row r="200" spans="1:30" ht="12.5" x14ac:dyDescent="0.25">
      <c r="A200" s="1" t="s">
        <v>843</v>
      </c>
      <c r="B200" s="1" t="s">
        <v>844</v>
      </c>
      <c r="C200" s="1" t="str">
        <v>Brian Elliott</v>
      </c>
      <c r="D200" s="1" t="s">
        <v>845</v>
      </c>
      <c r="E200" s="1" t="str">
        <v>bentonsteven@clark.com</v>
      </c>
      <c r="F200" t="str">
        <f t="shared" si="41"/>
        <v>Valid</v>
      </c>
      <c r="G200" s="1" t="s">
        <v>27</v>
      </c>
      <c r="H200" s="1" t="str">
        <f t="shared" si="42"/>
        <v>Male</v>
      </c>
      <c r="I200" s="1" t="s">
        <v>51</v>
      </c>
      <c r="J200" t="str">
        <f t="shared" si="43"/>
        <v>UK</v>
      </c>
      <c r="L200" s="1">
        <f t="shared" si="44"/>
        <v>19</v>
      </c>
      <c r="M200" s="1" t="str">
        <f t="shared" si="45"/>
        <v>Student</v>
      </c>
      <c r="N200" s="9">
        <v>45164</v>
      </c>
      <c r="O200" s="1" t="s">
        <v>158</v>
      </c>
      <c r="P200" s="1" t="s">
        <v>59</v>
      </c>
      <c r="Q200" s="4">
        <v>0.97</v>
      </c>
      <c r="R200" s="13">
        <f t="shared" si="46"/>
        <v>97</v>
      </c>
      <c r="S200" s="6">
        <f t="shared" si="40"/>
        <v>0.97</v>
      </c>
      <c r="T200" s="1">
        <v>45</v>
      </c>
      <c r="U200" s="1">
        <f t="shared" si="47"/>
        <v>45</v>
      </c>
      <c r="V200" s="1">
        <f t="shared" si="48"/>
        <v>81.399999999999991</v>
      </c>
      <c r="W200" s="10" t="str">
        <f t="shared" si="49"/>
        <v>High</v>
      </c>
      <c r="X200" s="1" t="s">
        <v>38</v>
      </c>
      <c r="Y200" s="1" t="str">
        <f t="shared" si="50"/>
        <v>No</v>
      </c>
      <c r="Z200" s="14">
        <v>2</v>
      </c>
      <c r="AA200" s="18">
        <f t="shared" si="51"/>
        <v>2</v>
      </c>
      <c r="AB200" s="18" t="str">
        <f t="shared" si="52"/>
        <v>No</v>
      </c>
      <c r="AC200" s="9" t="s">
        <v>846</v>
      </c>
      <c r="AD200">
        <f>IF(AC200="",0,LEN(AC200)-LEN(SUBSTITUTE(AC200,",",""))+1)</f>
        <v>2</v>
      </c>
    </row>
    <row r="201" spans="1:30" ht="12.5" x14ac:dyDescent="0.25">
      <c r="A201" s="1" t="s">
        <v>847</v>
      </c>
      <c r="B201" s="1" t="s">
        <v>848</v>
      </c>
      <c r="C201" s="1" t="str">
        <v>David Moore</v>
      </c>
      <c r="D201" s="1" t="s">
        <v>849</v>
      </c>
      <c r="E201" s="1" t="str">
        <v>mjones@yahoo.com</v>
      </c>
      <c r="F201" t="str">
        <f t="shared" si="41"/>
        <v>Valid</v>
      </c>
      <c r="G201" s="1" t="s">
        <v>95</v>
      </c>
      <c r="H201" s="1" t="str">
        <f t="shared" si="42"/>
        <v>Male</v>
      </c>
      <c r="I201" s="1" t="s">
        <v>136</v>
      </c>
      <c r="J201" t="str">
        <f t="shared" si="43"/>
        <v>UK</v>
      </c>
      <c r="K201" s="14">
        <v>35</v>
      </c>
      <c r="L201" s="1">
        <f t="shared" si="44"/>
        <v>35</v>
      </c>
      <c r="M201" s="1" t="str">
        <f t="shared" si="45"/>
        <v>Mid Career</v>
      </c>
      <c r="N201" s="2">
        <v>45323</v>
      </c>
      <c r="O201" s="1" t="s">
        <v>30</v>
      </c>
      <c r="P201" s="1" t="s">
        <v>31</v>
      </c>
      <c r="Q201" s="4">
        <v>0.99</v>
      </c>
      <c r="R201" s="13">
        <f t="shared" si="46"/>
        <v>99</v>
      </c>
      <c r="S201" s="6">
        <f t="shared" si="40"/>
        <v>0.99</v>
      </c>
      <c r="T201" s="1">
        <v>45</v>
      </c>
      <c r="U201" s="1">
        <f t="shared" si="47"/>
        <v>45</v>
      </c>
      <c r="V201" s="1">
        <f t="shared" si="48"/>
        <v>82.8</v>
      </c>
      <c r="W201" s="10" t="str">
        <f t="shared" si="49"/>
        <v>High</v>
      </c>
      <c r="X201" s="1" t="s">
        <v>76</v>
      </c>
      <c r="Y201" s="1" t="str">
        <f t="shared" si="50"/>
        <v>Yes</v>
      </c>
      <c r="Z201" s="14">
        <v>5</v>
      </c>
      <c r="AA201" s="18">
        <f t="shared" si="51"/>
        <v>5</v>
      </c>
      <c r="AB201" s="18" t="str">
        <f t="shared" si="52"/>
        <v>High Performer</v>
      </c>
      <c r="AC201" s="9" t="s">
        <v>850</v>
      </c>
      <c r="AD201">
        <f>IF(AC201="",0,LEN(AC201)-LEN(SUBSTITUTE(AC201,",",""))+1)</f>
        <v>2</v>
      </c>
    </row>
    <row r="202" spans="1:30" ht="12.5" x14ac:dyDescent="0.25">
      <c r="A202" s="1" t="s">
        <v>851</v>
      </c>
      <c r="B202" s="1" t="s">
        <v>852</v>
      </c>
      <c r="C202" s="1" t="str">
        <v>Melissa Stephens</v>
      </c>
      <c r="D202" s="1" t="s">
        <v>853</v>
      </c>
      <c r="E202" s="1" t="str">
        <v>rodriguezjohn@hotmail.com</v>
      </c>
      <c r="F202" t="str">
        <f t="shared" si="41"/>
        <v>Valid</v>
      </c>
      <c r="G202" s="1" t="s">
        <v>43</v>
      </c>
      <c r="H202" s="1" t="str">
        <f t="shared" si="42"/>
        <v>Female</v>
      </c>
      <c r="I202" s="1" t="s">
        <v>89</v>
      </c>
      <c r="J202" t="str">
        <f t="shared" si="43"/>
        <v>GERMANY</v>
      </c>
      <c r="K202" s="14">
        <v>0</v>
      </c>
      <c r="L202" s="1">
        <f t="shared" si="44"/>
        <v>19</v>
      </c>
      <c r="M202" s="1" t="str">
        <f t="shared" si="45"/>
        <v>Student</v>
      </c>
      <c r="N202" s="9">
        <v>45562</v>
      </c>
      <c r="O202" s="1" t="s">
        <v>170</v>
      </c>
      <c r="P202" s="1" t="s">
        <v>147</v>
      </c>
      <c r="Q202" s="4">
        <v>0.11</v>
      </c>
      <c r="R202" s="13">
        <f t="shared" si="46"/>
        <v>11</v>
      </c>
      <c r="S202" s="6">
        <f t="shared" si="40"/>
        <v>0.11</v>
      </c>
      <c r="T202" s="1" t="s">
        <v>64</v>
      </c>
      <c r="U202" s="1">
        <f t="shared" si="47"/>
        <v>2</v>
      </c>
      <c r="V202" s="1">
        <f t="shared" si="48"/>
        <v>8.2999999999999989</v>
      </c>
      <c r="W202" s="10" t="str">
        <f t="shared" si="49"/>
        <v>Low</v>
      </c>
      <c r="X202" s="1" t="s">
        <v>32</v>
      </c>
      <c r="Y202" s="1" t="str">
        <f t="shared" si="50"/>
        <v>Yes</v>
      </c>
      <c r="Z202" s="14">
        <v>4</v>
      </c>
      <c r="AA202" s="18">
        <f t="shared" si="51"/>
        <v>4</v>
      </c>
      <c r="AB202" s="18" t="str">
        <f t="shared" si="52"/>
        <v>High Performer</v>
      </c>
      <c r="AC202" s="9" t="s">
        <v>854</v>
      </c>
      <c r="AD202">
        <f>IF(AC202="",0,LEN(AC202)-LEN(SUBSTITUTE(AC202,",",""))+1)</f>
        <v>1</v>
      </c>
    </row>
    <row r="203" spans="1:30" ht="12.5" x14ac:dyDescent="0.25">
      <c r="A203" s="1" t="s">
        <v>855</v>
      </c>
      <c r="B203" s="1" t="s">
        <v>856</v>
      </c>
      <c r="C203" s="1" t="str">
        <v>Maria Lucas</v>
      </c>
      <c r="D203" s="1" t="s">
        <v>857</v>
      </c>
      <c r="E203" s="1" t="str">
        <v>grodriguez@yahoo.com</v>
      </c>
      <c r="F203" t="str">
        <f t="shared" si="41"/>
        <v>Valid</v>
      </c>
      <c r="G203" s="1" t="s">
        <v>57</v>
      </c>
      <c r="H203" s="1" t="str">
        <f t="shared" si="42"/>
        <v>Female</v>
      </c>
      <c r="I203" s="1" t="s">
        <v>96</v>
      </c>
      <c r="J203" t="str">
        <f t="shared" si="43"/>
        <v>INDIA</v>
      </c>
      <c r="K203" s="14">
        <v>0</v>
      </c>
      <c r="L203" s="1">
        <f t="shared" si="44"/>
        <v>19</v>
      </c>
      <c r="M203" s="1" t="str">
        <f t="shared" si="45"/>
        <v>Student</v>
      </c>
      <c r="N203" s="3">
        <v>45209</v>
      </c>
      <c r="O203" s="1" t="s">
        <v>30</v>
      </c>
      <c r="P203" s="1" t="s">
        <v>31</v>
      </c>
      <c r="Q203" s="4">
        <v>1</v>
      </c>
      <c r="R203" s="13">
        <f t="shared" si="46"/>
        <v>100</v>
      </c>
      <c r="S203" s="6">
        <f t="shared" si="40"/>
        <v>1</v>
      </c>
      <c r="T203" s="1" t="s">
        <v>21</v>
      </c>
      <c r="U203" s="1">
        <f t="shared" si="47"/>
        <v>1.5</v>
      </c>
      <c r="V203" s="1">
        <f t="shared" si="48"/>
        <v>70.45</v>
      </c>
      <c r="W203" s="10" t="str">
        <f t="shared" si="49"/>
        <v>Medium</v>
      </c>
      <c r="X203" s="1" t="s">
        <v>32</v>
      </c>
      <c r="Y203" s="1" t="str">
        <f t="shared" si="50"/>
        <v>Yes</v>
      </c>
      <c r="Z203" s="14">
        <v>2</v>
      </c>
      <c r="AA203" s="18">
        <f t="shared" si="51"/>
        <v>2</v>
      </c>
      <c r="AB203" s="18" t="str">
        <f t="shared" si="52"/>
        <v>No</v>
      </c>
      <c r="AC203" s="9" t="s">
        <v>858</v>
      </c>
      <c r="AD203">
        <f>IF(AC203="",0,LEN(AC203)-LEN(SUBSTITUTE(AC203,",",""))+1)</f>
        <v>7</v>
      </c>
    </row>
    <row r="204" spans="1:30" ht="12.5" x14ac:dyDescent="0.25">
      <c r="A204" s="1" t="s">
        <v>859</v>
      </c>
      <c r="B204" s="1" t="s">
        <v>860</v>
      </c>
      <c r="C204" s="1" t="str">
        <v>Laura Griffin</v>
      </c>
      <c r="D204" s="1" t="s">
        <v>861</v>
      </c>
      <c r="E204" s="1" t="str">
        <v>lbarton@hotmail.com</v>
      </c>
      <c r="F204" t="str">
        <f t="shared" si="41"/>
        <v>Valid</v>
      </c>
      <c r="G204" s="1" t="s">
        <v>88</v>
      </c>
      <c r="H204" s="1" t="str">
        <f t="shared" si="42"/>
        <v>Male</v>
      </c>
      <c r="I204" s="1" t="s">
        <v>28</v>
      </c>
      <c r="J204" t="str">
        <f t="shared" si="43"/>
        <v>INDIA</v>
      </c>
      <c r="K204" s="14">
        <v>0</v>
      </c>
      <c r="L204" s="1">
        <f t="shared" si="44"/>
        <v>19</v>
      </c>
      <c r="M204" s="1" t="str">
        <f t="shared" si="45"/>
        <v>Student</v>
      </c>
      <c r="N204" s="9">
        <v>45002</v>
      </c>
      <c r="O204" s="1" t="s">
        <v>52</v>
      </c>
      <c r="P204" s="1" t="s">
        <v>37</v>
      </c>
      <c r="Q204" s="4">
        <v>86</v>
      </c>
      <c r="R204" s="13">
        <f t="shared" si="46"/>
        <v>86</v>
      </c>
      <c r="S204" s="6">
        <f t="shared" si="40"/>
        <v>0.86</v>
      </c>
      <c r="T204" s="1">
        <v>45</v>
      </c>
      <c r="U204" s="1">
        <f t="shared" si="47"/>
        <v>45</v>
      </c>
      <c r="V204" s="1">
        <f t="shared" si="48"/>
        <v>73.699999999999989</v>
      </c>
      <c r="W204" s="10" t="str">
        <f t="shared" si="49"/>
        <v>High</v>
      </c>
      <c r="X204" s="1" t="s">
        <v>22</v>
      </c>
      <c r="Y204" s="1" t="str">
        <f t="shared" si="50"/>
        <v>No</v>
      </c>
      <c r="Z204" s="14">
        <v>6</v>
      </c>
      <c r="AA204" s="18">
        <f t="shared" si="51"/>
        <v>6</v>
      </c>
      <c r="AB204" s="18" t="str">
        <f t="shared" si="52"/>
        <v>No</v>
      </c>
      <c r="AC204" s="9" t="s">
        <v>862</v>
      </c>
      <c r="AD204">
        <f>IF(AC204="",0,LEN(AC204)-LEN(SUBSTITUTE(AC204,",",""))+1)</f>
        <v>5</v>
      </c>
    </row>
    <row r="205" spans="1:30" ht="12.5" x14ac:dyDescent="0.25">
      <c r="A205" s="1" t="s">
        <v>863</v>
      </c>
      <c r="B205" s="1" t="s">
        <v>864</v>
      </c>
      <c r="C205" s="1" t="str">
        <v>Mr. Thomas Miller</v>
      </c>
      <c r="D205" s="1" t="s">
        <v>865</v>
      </c>
      <c r="E205" s="1" t="str">
        <v>larry73@webb.info</v>
      </c>
      <c r="F205" t="str">
        <f t="shared" si="41"/>
        <v>Valid</v>
      </c>
      <c r="G205" s="1" t="s">
        <v>27</v>
      </c>
      <c r="H205" s="1" t="str">
        <f t="shared" si="42"/>
        <v>Male</v>
      </c>
      <c r="I205" s="1" t="s">
        <v>18</v>
      </c>
      <c r="J205" t="str">
        <f t="shared" si="43"/>
        <v>US</v>
      </c>
      <c r="L205" s="1">
        <f t="shared" si="44"/>
        <v>19</v>
      </c>
      <c r="M205" s="1" t="str">
        <f t="shared" si="45"/>
        <v>Student</v>
      </c>
      <c r="N205" s="9">
        <v>45435</v>
      </c>
      <c r="O205" s="1" t="s">
        <v>235</v>
      </c>
      <c r="P205" s="1" t="s">
        <v>147</v>
      </c>
      <c r="Q205" s="4">
        <v>86</v>
      </c>
      <c r="R205" s="13">
        <f t="shared" si="46"/>
        <v>86</v>
      </c>
      <c r="S205" s="6">
        <f t="shared" si="40"/>
        <v>0.86</v>
      </c>
      <c r="T205" s="1" t="s">
        <v>21</v>
      </c>
      <c r="U205" s="1">
        <f t="shared" si="47"/>
        <v>1.5</v>
      </c>
      <c r="V205" s="1">
        <f t="shared" si="48"/>
        <v>60.65</v>
      </c>
      <c r="W205" s="10" t="str">
        <f t="shared" si="49"/>
        <v>Medium</v>
      </c>
      <c r="X205" s="1" t="s">
        <v>76</v>
      </c>
      <c r="Y205" s="1" t="str">
        <f t="shared" si="50"/>
        <v>Yes</v>
      </c>
      <c r="Z205" s="14">
        <v>4</v>
      </c>
      <c r="AA205" s="18">
        <f t="shared" si="51"/>
        <v>4</v>
      </c>
      <c r="AB205" s="18" t="str">
        <f t="shared" si="52"/>
        <v>High Performer</v>
      </c>
      <c r="AC205" s="9" t="s">
        <v>866</v>
      </c>
      <c r="AD205">
        <f>IF(AC205="",0,LEN(AC205)-LEN(SUBSTITUTE(AC205,",",""))+1)</f>
        <v>6</v>
      </c>
    </row>
    <row r="206" spans="1:30" ht="12.5" x14ac:dyDescent="0.25">
      <c r="A206" s="1" t="s">
        <v>867</v>
      </c>
      <c r="B206" s="1" t="s">
        <v>868</v>
      </c>
      <c r="C206" s="1" t="str">
        <v>Alison Cooper</v>
      </c>
      <c r="D206" s="1" t="s">
        <v>869</v>
      </c>
      <c r="E206" s="1" t="str">
        <v>sarahyang@thompson.info</v>
      </c>
      <c r="F206" t="str">
        <f t="shared" si="41"/>
        <v>Valid</v>
      </c>
      <c r="G206" s="1" t="s">
        <v>95</v>
      </c>
      <c r="H206" s="1" t="str">
        <f t="shared" si="42"/>
        <v>Male</v>
      </c>
      <c r="I206" s="1" t="s">
        <v>74</v>
      </c>
      <c r="J206" t="str">
        <f t="shared" si="43"/>
        <v>USA</v>
      </c>
      <c r="L206" s="1">
        <f t="shared" si="44"/>
        <v>19</v>
      </c>
      <c r="M206" s="1" t="str">
        <f t="shared" si="45"/>
        <v>Student</v>
      </c>
      <c r="N206" s="9">
        <v>45153</v>
      </c>
      <c r="O206" s="1" t="s">
        <v>114</v>
      </c>
      <c r="P206" s="1" t="s">
        <v>59</v>
      </c>
      <c r="Q206" s="4">
        <v>47</v>
      </c>
      <c r="R206" s="13">
        <f t="shared" si="46"/>
        <v>47</v>
      </c>
      <c r="S206" s="6">
        <f t="shared" si="40"/>
        <v>0.47</v>
      </c>
      <c r="T206" s="1" t="s">
        <v>46</v>
      </c>
      <c r="U206" s="1">
        <f t="shared" si="47"/>
        <v>1</v>
      </c>
      <c r="V206" s="1">
        <f t="shared" si="48"/>
        <v>33.199999999999996</v>
      </c>
      <c r="W206" s="10" t="str">
        <f t="shared" si="49"/>
        <v>Low</v>
      </c>
      <c r="X206" s="1">
        <v>0</v>
      </c>
      <c r="Y206" s="1" t="str">
        <f t="shared" si="50"/>
        <v>No</v>
      </c>
      <c r="Z206" s="14">
        <v>4</v>
      </c>
      <c r="AA206" s="18">
        <f t="shared" si="51"/>
        <v>4</v>
      </c>
      <c r="AB206" s="18" t="str">
        <f t="shared" si="52"/>
        <v>No</v>
      </c>
      <c r="AC206" s="9" t="s">
        <v>870</v>
      </c>
      <c r="AD206">
        <f>IF(AC206="",0,LEN(AC206)-LEN(SUBSTITUTE(AC206,",",""))+1)</f>
        <v>5</v>
      </c>
    </row>
    <row r="207" spans="1:30" ht="12.5" x14ac:dyDescent="0.25">
      <c r="A207" s="1" t="s">
        <v>871</v>
      </c>
      <c r="B207" s="1" t="s">
        <v>872</v>
      </c>
      <c r="C207" s="1" t="str">
        <v>Matthew Foster</v>
      </c>
      <c r="D207" s="1" t="s">
        <v>873</v>
      </c>
      <c r="E207" s="1" t="str">
        <v>yvargas@bush.com</v>
      </c>
      <c r="F207" t="str">
        <f t="shared" si="41"/>
        <v>Valid</v>
      </c>
      <c r="G207" s="1" t="s">
        <v>57</v>
      </c>
      <c r="H207" s="1" t="str">
        <f t="shared" si="42"/>
        <v>Female</v>
      </c>
      <c r="I207" s="1" t="s">
        <v>96</v>
      </c>
      <c r="J207" t="str">
        <f t="shared" si="43"/>
        <v>INDIA</v>
      </c>
      <c r="K207" s="14">
        <v>36</v>
      </c>
      <c r="L207" s="1">
        <f t="shared" si="44"/>
        <v>36</v>
      </c>
      <c r="M207" s="1" t="str">
        <f t="shared" si="45"/>
        <v>Mid Career</v>
      </c>
      <c r="N207" s="2">
        <v>44961</v>
      </c>
      <c r="O207" s="1" t="s">
        <v>36</v>
      </c>
      <c r="P207" s="1" t="s">
        <v>37</v>
      </c>
      <c r="Q207" s="4">
        <v>27</v>
      </c>
      <c r="R207" s="13">
        <f t="shared" si="46"/>
        <v>27</v>
      </c>
      <c r="S207" s="6">
        <f t="shared" si="40"/>
        <v>0.27</v>
      </c>
      <c r="T207" s="1" t="s">
        <v>21</v>
      </c>
      <c r="U207" s="1">
        <f t="shared" si="47"/>
        <v>1.5</v>
      </c>
      <c r="V207" s="1">
        <f t="shared" si="48"/>
        <v>19.349999999999998</v>
      </c>
      <c r="W207" s="10" t="str">
        <f t="shared" si="49"/>
        <v>Low</v>
      </c>
      <c r="X207" s="1" t="s">
        <v>38</v>
      </c>
      <c r="Y207" s="1" t="str">
        <f t="shared" si="50"/>
        <v>No</v>
      </c>
      <c r="Z207" s="14">
        <v>4</v>
      </c>
      <c r="AA207" s="18">
        <f t="shared" si="51"/>
        <v>4</v>
      </c>
      <c r="AB207" s="18" t="str">
        <f t="shared" si="52"/>
        <v>No</v>
      </c>
      <c r="AC207" s="9" t="s">
        <v>874</v>
      </c>
      <c r="AD207">
        <f>IF(AC207="",0,LEN(AC207)-LEN(SUBSTITUTE(AC207,",",""))+1)</f>
        <v>7</v>
      </c>
    </row>
    <row r="208" spans="1:30" ht="12.5" x14ac:dyDescent="0.25">
      <c r="A208" s="1" t="s">
        <v>875</v>
      </c>
      <c r="B208" s="1" t="s">
        <v>876</v>
      </c>
      <c r="C208" s="1" t="str">
        <v>Shane Lopez</v>
      </c>
      <c r="D208" s="1" t="s">
        <v>877</v>
      </c>
      <c r="E208" s="1" t="str">
        <v>stephenbaker@yahoo.com</v>
      </c>
      <c r="F208" t="str">
        <f t="shared" si="41"/>
        <v>Valid</v>
      </c>
      <c r="G208" s="1" t="s">
        <v>109</v>
      </c>
      <c r="H208" s="1" t="str">
        <f t="shared" si="42"/>
        <v>Male</v>
      </c>
      <c r="I208" s="1" t="s">
        <v>136</v>
      </c>
      <c r="J208" t="str">
        <f t="shared" si="43"/>
        <v>UK</v>
      </c>
      <c r="K208" s="14">
        <v>32</v>
      </c>
      <c r="L208" s="1">
        <f t="shared" si="44"/>
        <v>32</v>
      </c>
      <c r="M208" s="1" t="str">
        <f t="shared" si="45"/>
        <v>Mid Career</v>
      </c>
      <c r="N208" s="2">
        <v>45751</v>
      </c>
      <c r="O208" s="1" t="s">
        <v>75</v>
      </c>
      <c r="P208" s="1" t="s">
        <v>37</v>
      </c>
      <c r="Q208" s="4">
        <v>1</v>
      </c>
      <c r="R208" s="13">
        <f t="shared" si="46"/>
        <v>100</v>
      </c>
      <c r="S208" s="6">
        <f t="shared" si="40"/>
        <v>1</v>
      </c>
      <c r="T208" s="1">
        <v>1.5</v>
      </c>
      <c r="U208" s="1">
        <f t="shared" si="47"/>
        <v>1.5</v>
      </c>
      <c r="V208" s="1">
        <f t="shared" si="48"/>
        <v>70.45</v>
      </c>
      <c r="W208" s="10" t="str">
        <f t="shared" si="49"/>
        <v>Medium</v>
      </c>
      <c r="X208" s="1" t="s">
        <v>38</v>
      </c>
      <c r="Y208" s="1" t="str">
        <f t="shared" si="50"/>
        <v>No</v>
      </c>
      <c r="Z208" s="14">
        <v>6</v>
      </c>
      <c r="AA208" s="18">
        <f t="shared" si="51"/>
        <v>6</v>
      </c>
      <c r="AB208" s="18" t="str">
        <f t="shared" si="52"/>
        <v>No</v>
      </c>
      <c r="AC208" s="9">
        <v>45751</v>
      </c>
      <c r="AD208">
        <f>IF(AC208="",0,LEN(AC208)-LEN(SUBSTITUTE(AC208,",",""))+1)</f>
        <v>1</v>
      </c>
    </row>
    <row r="209" spans="1:30" ht="12.5" x14ac:dyDescent="0.25">
      <c r="A209" s="1" t="s">
        <v>878</v>
      </c>
      <c r="B209" s="1" t="s">
        <v>879</v>
      </c>
      <c r="C209" s="1" t="str">
        <v>James Wilson</v>
      </c>
      <c r="D209" s="1" t="s">
        <v>880</v>
      </c>
      <c r="E209" s="1" t="str">
        <v>rwilliamson@hotmail.com</v>
      </c>
      <c r="F209" t="str">
        <f t="shared" si="41"/>
        <v>Valid</v>
      </c>
      <c r="G209" s="1" t="s">
        <v>57</v>
      </c>
      <c r="H209" s="1" t="str">
        <f t="shared" si="42"/>
        <v>Female</v>
      </c>
      <c r="I209" s="1" t="s">
        <v>51</v>
      </c>
      <c r="J209" t="str">
        <f t="shared" si="43"/>
        <v>UK</v>
      </c>
      <c r="L209" s="1">
        <f t="shared" si="44"/>
        <v>19</v>
      </c>
      <c r="M209" s="1" t="str">
        <f t="shared" si="45"/>
        <v>Student</v>
      </c>
      <c r="N209" s="2">
        <v>45389</v>
      </c>
      <c r="O209" s="1" t="s">
        <v>146</v>
      </c>
      <c r="P209" s="1" t="s">
        <v>147</v>
      </c>
      <c r="Q209" s="4">
        <v>0.35</v>
      </c>
      <c r="R209" s="13">
        <f t="shared" si="46"/>
        <v>35</v>
      </c>
      <c r="S209" s="6">
        <f t="shared" si="40"/>
        <v>0.35</v>
      </c>
      <c r="T209" s="1" t="s">
        <v>46</v>
      </c>
      <c r="U209" s="1">
        <f t="shared" si="47"/>
        <v>1</v>
      </c>
      <c r="V209" s="1">
        <f t="shared" si="48"/>
        <v>24.8</v>
      </c>
      <c r="W209" s="10" t="str">
        <f t="shared" si="49"/>
        <v>Low</v>
      </c>
      <c r="X209" s="1">
        <v>0</v>
      </c>
      <c r="Y209" s="1" t="str">
        <f t="shared" si="50"/>
        <v>No</v>
      </c>
      <c r="Z209" s="14">
        <v>1</v>
      </c>
      <c r="AA209" s="18">
        <f t="shared" si="51"/>
        <v>1</v>
      </c>
      <c r="AB209" s="18" t="str">
        <f t="shared" si="52"/>
        <v>No</v>
      </c>
      <c r="AC209" s="9" t="s">
        <v>881</v>
      </c>
      <c r="AD209">
        <f>IF(AC209="",0,LEN(AC209)-LEN(SUBSTITUTE(AC209,",",""))+1)</f>
        <v>3</v>
      </c>
    </row>
    <row r="210" spans="1:30" ht="12.5" x14ac:dyDescent="0.25">
      <c r="A210" s="1" t="s">
        <v>882</v>
      </c>
      <c r="B210" s="1" t="s">
        <v>883</v>
      </c>
      <c r="C210" s="1" t="str">
        <v>Emily Allen</v>
      </c>
      <c r="D210" s="1" t="s">
        <v>884</v>
      </c>
      <c r="E210" s="1" t="str">
        <v>nathanielthomas@barnes-taylor.biz</v>
      </c>
      <c r="F210" t="str">
        <f t="shared" si="41"/>
        <v>Valid</v>
      </c>
      <c r="G210" s="1" t="s">
        <v>119</v>
      </c>
      <c r="H210" s="1" t="str">
        <f t="shared" si="42"/>
        <v>Female</v>
      </c>
      <c r="I210" s="1" t="s">
        <v>28</v>
      </c>
      <c r="J210" t="str">
        <f t="shared" si="43"/>
        <v>INDIA</v>
      </c>
      <c r="K210" s="14">
        <v>0</v>
      </c>
      <c r="L210" s="1">
        <f t="shared" si="44"/>
        <v>19</v>
      </c>
      <c r="M210" s="1" t="str">
        <f t="shared" si="45"/>
        <v>Student</v>
      </c>
      <c r="N210" s="9">
        <v>45120</v>
      </c>
      <c r="O210" s="1" t="s">
        <v>170</v>
      </c>
      <c r="P210" s="1" t="s">
        <v>147</v>
      </c>
      <c r="Q210" s="4">
        <v>0.27</v>
      </c>
      <c r="R210" s="13">
        <f t="shared" si="46"/>
        <v>27</v>
      </c>
      <c r="S210" s="6">
        <f t="shared" si="40"/>
        <v>0.27</v>
      </c>
      <c r="T210" s="1" t="s">
        <v>46</v>
      </c>
      <c r="U210" s="1">
        <f t="shared" si="47"/>
        <v>1</v>
      </c>
      <c r="V210" s="1">
        <f t="shared" si="48"/>
        <v>19.2</v>
      </c>
      <c r="W210" s="10" t="str">
        <f t="shared" si="49"/>
        <v>Low</v>
      </c>
      <c r="X210" s="1" t="s">
        <v>76</v>
      </c>
      <c r="Y210" s="1" t="str">
        <f t="shared" si="50"/>
        <v>Yes</v>
      </c>
      <c r="Z210" s="14">
        <v>4</v>
      </c>
      <c r="AA210" s="18">
        <f t="shared" si="51"/>
        <v>4</v>
      </c>
      <c r="AB210" s="18" t="str">
        <f t="shared" si="52"/>
        <v>High Performer</v>
      </c>
      <c r="AC210" s="9" t="s">
        <v>885</v>
      </c>
      <c r="AD210">
        <f>IF(AC210="",0,LEN(AC210)-LEN(SUBSTITUTE(AC210,",",""))+1)</f>
        <v>2</v>
      </c>
    </row>
    <row r="211" spans="1:30" ht="12.5" x14ac:dyDescent="0.25">
      <c r="A211" s="1" t="s">
        <v>886</v>
      </c>
      <c r="B211" s="1" t="s">
        <v>887</v>
      </c>
      <c r="C211" s="1" t="str">
        <v>Maria Cooke</v>
      </c>
      <c r="D211" s="1" t="s">
        <v>888</v>
      </c>
      <c r="E211" s="1" t="str">
        <v>lroberts@wilkinson-harvey.com</v>
      </c>
      <c r="F211" t="str">
        <f t="shared" si="41"/>
        <v>Valid</v>
      </c>
      <c r="G211" s="1" t="s">
        <v>57</v>
      </c>
      <c r="H211" s="1" t="str">
        <f t="shared" si="42"/>
        <v>Female</v>
      </c>
      <c r="I211" s="1" t="s">
        <v>156</v>
      </c>
      <c r="J211" t="str">
        <f t="shared" si="43"/>
        <v>IN</v>
      </c>
      <c r="K211" s="14">
        <v>27</v>
      </c>
      <c r="L211" s="1">
        <f t="shared" si="44"/>
        <v>27</v>
      </c>
      <c r="M211" s="1" t="str">
        <f t="shared" si="45"/>
        <v>Early Career</v>
      </c>
      <c r="N211" s="9">
        <v>45315</v>
      </c>
      <c r="O211" s="1" t="s">
        <v>114</v>
      </c>
      <c r="P211" s="1" t="s">
        <v>59</v>
      </c>
      <c r="Q211" s="4">
        <v>0.49</v>
      </c>
      <c r="R211" s="13">
        <f t="shared" si="46"/>
        <v>49</v>
      </c>
      <c r="S211" s="6">
        <f t="shared" si="40"/>
        <v>0.49</v>
      </c>
      <c r="T211" s="1" t="s">
        <v>64</v>
      </c>
      <c r="U211" s="1">
        <f t="shared" si="47"/>
        <v>2</v>
      </c>
      <c r="V211" s="1">
        <f t="shared" si="48"/>
        <v>34.9</v>
      </c>
      <c r="W211" s="10" t="str">
        <f t="shared" si="49"/>
        <v>Low</v>
      </c>
      <c r="X211" s="1" t="s">
        <v>22</v>
      </c>
      <c r="Y211" s="1" t="str">
        <f t="shared" si="50"/>
        <v>No</v>
      </c>
      <c r="Z211" s="14">
        <v>1</v>
      </c>
      <c r="AA211" s="18">
        <f t="shared" si="51"/>
        <v>1</v>
      </c>
      <c r="AB211" s="18" t="str">
        <f t="shared" si="52"/>
        <v>No</v>
      </c>
      <c r="AC211" s="9" t="s">
        <v>889</v>
      </c>
      <c r="AD211">
        <f>IF(AC211="",0,LEN(AC211)-LEN(SUBSTITUTE(AC211,",",""))+1)</f>
        <v>3</v>
      </c>
    </row>
    <row r="212" spans="1:30" ht="12.5" x14ac:dyDescent="0.25">
      <c r="A212" s="1" t="s">
        <v>890</v>
      </c>
      <c r="B212" s="1" t="s">
        <v>891</v>
      </c>
      <c r="C212" s="1" t="str">
        <v>Justin Delgado</v>
      </c>
      <c r="D212" s="1" t="s">
        <v>892</v>
      </c>
      <c r="E212" s="1" t="str">
        <v>cperry@yahoo.com</v>
      </c>
      <c r="F212" t="str">
        <f t="shared" si="41"/>
        <v>Valid</v>
      </c>
      <c r="G212" s="1" t="s">
        <v>109</v>
      </c>
      <c r="H212" s="1" t="str">
        <f t="shared" si="42"/>
        <v>Male</v>
      </c>
      <c r="I212" s="1" t="s">
        <v>18</v>
      </c>
      <c r="J212" t="str">
        <f t="shared" si="43"/>
        <v>US</v>
      </c>
      <c r="K212" s="14">
        <v>0</v>
      </c>
      <c r="L212" s="1">
        <f t="shared" si="44"/>
        <v>19</v>
      </c>
      <c r="M212" s="1" t="str">
        <f t="shared" si="45"/>
        <v>Student</v>
      </c>
      <c r="N212" s="9">
        <v>44672</v>
      </c>
      <c r="O212" s="1" t="s">
        <v>235</v>
      </c>
      <c r="P212" s="1" t="s">
        <v>147</v>
      </c>
      <c r="Q212" s="4">
        <v>0.56000000000000005</v>
      </c>
      <c r="R212" s="13">
        <f t="shared" si="46"/>
        <v>56.000000000000007</v>
      </c>
      <c r="S212" s="6">
        <f t="shared" si="40"/>
        <v>0.56000000000000005</v>
      </c>
      <c r="T212" s="1">
        <v>45</v>
      </c>
      <c r="U212" s="1">
        <f t="shared" si="47"/>
        <v>45</v>
      </c>
      <c r="V212" s="1">
        <f t="shared" si="48"/>
        <v>52.7</v>
      </c>
      <c r="W212" s="10" t="str">
        <f t="shared" si="49"/>
        <v>Medium</v>
      </c>
      <c r="X212" s="1" t="s">
        <v>22</v>
      </c>
      <c r="Y212" s="1" t="str">
        <f t="shared" si="50"/>
        <v>No</v>
      </c>
      <c r="Z212" s="14">
        <v>3</v>
      </c>
      <c r="AA212" s="18">
        <f t="shared" si="51"/>
        <v>3</v>
      </c>
      <c r="AB212" s="18" t="str">
        <f t="shared" si="52"/>
        <v>No</v>
      </c>
      <c r="AC212" s="9" t="s">
        <v>893</v>
      </c>
      <c r="AD212">
        <f>IF(AC212="",0,LEN(AC212)-LEN(SUBSTITUTE(AC212,",",""))+1)</f>
        <v>1</v>
      </c>
    </row>
    <row r="213" spans="1:30" ht="12.5" x14ac:dyDescent="0.25">
      <c r="A213" s="1" t="s">
        <v>894</v>
      </c>
      <c r="B213" s="1" t="s">
        <v>895</v>
      </c>
      <c r="C213" s="1" t="str">
        <v>Dorothy Hill</v>
      </c>
      <c r="D213" s="1" t="s">
        <v>896</v>
      </c>
      <c r="E213" s="1" t="str">
        <v>kimberlycunningham@yahoo.com</v>
      </c>
      <c r="F213" t="str">
        <f t="shared" si="41"/>
        <v>Valid</v>
      </c>
      <c r="G213" s="1" t="s">
        <v>109</v>
      </c>
      <c r="H213" s="1" t="str">
        <f t="shared" si="42"/>
        <v>Male</v>
      </c>
      <c r="I213" s="1" t="s">
        <v>89</v>
      </c>
      <c r="J213" t="str">
        <f t="shared" si="43"/>
        <v>GERMANY</v>
      </c>
      <c r="K213" s="14">
        <v>0</v>
      </c>
      <c r="L213" s="1">
        <f t="shared" si="44"/>
        <v>19</v>
      </c>
      <c r="M213" s="1" t="str">
        <f t="shared" si="45"/>
        <v>Student</v>
      </c>
      <c r="N213" s="9">
        <v>44917</v>
      </c>
      <c r="O213" s="1" t="s">
        <v>19</v>
      </c>
      <c r="P213" s="1" t="s">
        <v>20</v>
      </c>
      <c r="Q213" s="4">
        <v>0.49</v>
      </c>
      <c r="R213" s="13">
        <f t="shared" si="46"/>
        <v>49</v>
      </c>
      <c r="S213" s="6">
        <f t="shared" si="40"/>
        <v>0.49</v>
      </c>
      <c r="T213" s="1">
        <v>1.5</v>
      </c>
      <c r="U213" s="1">
        <f t="shared" si="47"/>
        <v>1.5</v>
      </c>
      <c r="V213" s="1">
        <f t="shared" si="48"/>
        <v>34.75</v>
      </c>
      <c r="W213" s="10" t="str">
        <f t="shared" si="49"/>
        <v>Low</v>
      </c>
      <c r="X213" s="1">
        <v>1</v>
      </c>
      <c r="Y213" s="1" t="str">
        <f t="shared" si="50"/>
        <v>Yes</v>
      </c>
      <c r="Z213" s="14">
        <v>3</v>
      </c>
      <c r="AA213" s="18">
        <f t="shared" si="51"/>
        <v>3</v>
      </c>
      <c r="AB213" s="18" t="str">
        <f t="shared" si="52"/>
        <v>No</v>
      </c>
      <c r="AC213" s="9" t="s">
        <v>898</v>
      </c>
      <c r="AD213">
        <f>IF(AC213="",0,LEN(AC213)-LEN(SUBSTITUTE(AC213,",",""))+1)</f>
        <v>3</v>
      </c>
    </row>
    <row r="214" spans="1:30" ht="12.5" x14ac:dyDescent="0.25">
      <c r="A214" s="1" t="s">
        <v>899</v>
      </c>
      <c r="B214" s="1" t="s">
        <v>900</v>
      </c>
      <c r="C214" s="1" t="str">
        <v>Joshua Ritter</v>
      </c>
      <c r="D214" s="1" t="s">
        <v>901</v>
      </c>
      <c r="E214" s="1" t="str">
        <v>bpayne@fitzgerald.com</v>
      </c>
      <c r="F214" t="str">
        <f t="shared" si="41"/>
        <v>Valid</v>
      </c>
      <c r="G214" s="1" t="s">
        <v>43</v>
      </c>
      <c r="H214" s="1" t="str">
        <f t="shared" si="42"/>
        <v>Female</v>
      </c>
      <c r="I214" s="1" t="s">
        <v>18</v>
      </c>
      <c r="J214" t="str">
        <f t="shared" si="43"/>
        <v>US</v>
      </c>
      <c r="K214" s="14">
        <v>0</v>
      </c>
      <c r="L214" s="1">
        <f t="shared" si="44"/>
        <v>19</v>
      </c>
      <c r="M214" s="1" t="str">
        <f t="shared" si="45"/>
        <v>Student</v>
      </c>
      <c r="N214" s="2">
        <v>45481</v>
      </c>
      <c r="O214" s="1" t="s">
        <v>30</v>
      </c>
      <c r="P214" s="1" t="s">
        <v>31</v>
      </c>
      <c r="Q214" s="4">
        <v>0.84</v>
      </c>
      <c r="R214" s="13">
        <f t="shared" si="46"/>
        <v>84</v>
      </c>
      <c r="S214" s="6">
        <f t="shared" si="40"/>
        <v>0.84</v>
      </c>
      <c r="T214" s="1" t="s">
        <v>46</v>
      </c>
      <c r="U214" s="1">
        <f t="shared" si="47"/>
        <v>1</v>
      </c>
      <c r="V214" s="1">
        <f t="shared" si="48"/>
        <v>59.099999999999994</v>
      </c>
      <c r="W214" s="10" t="str">
        <f t="shared" si="49"/>
        <v>Medium</v>
      </c>
      <c r="X214" s="1" t="s">
        <v>22</v>
      </c>
      <c r="Y214" s="1" t="str">
        <f t="shared" si="50"/>
        <v>No</v>
      </c>
      <c r="Z214" s="14">
        <v>3</v>
      </c>
      <c r="AA214" s="18">
        <f t="shared" si="51"/>
        <v>3</v>
      </c>
      <c r="AB214" s="18" t="str">
        <f t="shared" si="52"/>
        <v>No</v>
      </c>
      <c r="AC214" s="9" t="s">
        <v>902</v>
      </c>
      <c r="AD214">
        <f>IF(AC214="",0,LEN(AC214)-LEN(SUBSTITUTE(AC214,",",""))+1)</f>
        <v>5</v>
      </c>
    </row>
    <row r="215" spans="1:30" ht="12.5" x14ac:dyDescent="0.25">
      <c r="A215" s="1" t="s">
        <v>903</v>
      </c>
      <c r="B215" s="1" t="s">
        <v>904</v>
      </c>
      <c r="C215" s="1" t="str">
        <v>Scott Miller</v>
      </c>
      <c r="D215" s="1" t="s">
        <v>905</v>
      </c>
      <c r="E215" s="1" t="str">
        <v>jasonrojas@bell.com</v>
      </c>
      <c r="F215" t="str">
        <f t="shared" si="41"/>
        <v>Valid</v>
      </c>
      <c r="G215" s="1" t="s">
        <v>57</v>
      </c>
      <c r="H215" s="1" t="str">
        <f t="shared" si="42"/>
        <v>Female</v>
      </c>
      <c r="I215" s="1" t="s">
        <v>156</v>
      </c>
      <c r="J215" t="str">
        <f t="shared" si="43"/>
        <v>IN</v>
      </c>
      <c r="L215" s="1">
        <f t="shared" si="44"/>
        <v>19</v>
      </c>
      <c r="M215" s="1" t="str">
        <f t="shared" si="45"/>
        <v>Student</v>
      </c>
      <c r="N215" s="9">
        <v>45120</v>
      </c>
      <c r="O215" s="1" t="s">
        <v>58</v>
      </c>
      <c r="P215" s="1" t="s">
        <v>59</v>
      </c>
      <c r="Q215" s="4">
        <v>0.76</v>
      </c>
      <c r="R215" s="13">
        <f t="shared" si="46"/>
        <v>76</v>
      </c>
      <c r="S215" s="6">
        <f t="shared" si="40"/>
        <v>0.76</v>
      </c>
      <c r="T215" s="1" t="s">
        <v>21</v>
      </c>
      <c r="U215" s="1">
        <f t="shared" si="47"/>
        <v>1.5</v>
      </c>
      <c r="V215" s="1">
        <f t="shared" si="48"/>
        <v>53.65</v>
      </c>
      <c r="W215" s="10" t="str">
        <f t="shared" si="49"/>
        <v>Medium</v>
      </c>
      <c r="X215" s="1">
        <v>1</v>
      </c>
      <c r="Y215" s="1" t="str">
        <f t="shared" si="50"/>
        <v>Yes</v>
      </c>
      <c r="Z215" s="14">
        <v>1</v>
      </c>
      <c r="AA215" s="18">
        <f t="shared" si="51"/>
        <v>1</v>
      </c>
      <c r="AB215" s="18" t="str">
        <f t="shared" si="52"/>
        <v>No</v>
      </c>
      <c r="AC215" s="9" t="s">
        <v>885</v>
      </c>
      <c r="AD215">
        <f>IF(AC215="",0,LEN(AC215)-LEN(SUBSTITUTE(AC215,",",""))+1)</f>
        <v>2</v>
      </c>
    </row>
    <row r="216" spans="1:30" ht="12.5" x14ac:dyDescent="0.25">
      <c r="A216" s="1" t="s">
        <v>906</v>
      </c>
      <c r="B216" s="1" t="s">
        <v>907</v>
      </c>
      <c r="C216" s="1" t="str">
        <v>Anthony Bell</v>
      </c>
      <c r="D216" s="1" t="s">
        <v>908</v>
      </c>
      <c r="E216" s="1" t="str">
        <v>mariopadilla@yahoo.com</v>
      </c>
      <c r="F216" t="str">
        <f t="shared" si="41"/>
        <v>Valid</v>
      </c>
      <c r="G216" s="1" t="s">
        <v>27</v>
      </c>
      <c r="H216" s="1" t="str">
        <f t="shared" si="42"/>
        <v>Male</v>
      </c>
      <c r="I216" s="1" t="s">
        <v>89</v>
      </c>
      <c r="J216" t="str">
        <f t="shared" si="43"/>
        <v>GERMANY</v>
      </c>
      <c r="K216" s="14">
        <v>19</v>
      </c>
      <c r="L216" s="1">
        <f t="shared" si="44"/>
        <v>19</v>
      </c>
      <c r="M216" s="1" t="str">
        <f t="shared" si="45"/>
        <v>Student</v>
      </c>
      <c r="N216" s="9">
        <v>45615</v>
      </c>
      <c r="O216" s="1" t="s">
        <v>58</v>
      </c>
      <c r="P216" s="1" t="s">
        <v>59</v>
      </c>
      <c r="Q216" s="4">
        <v>98</v>
      </c>
      <c r="R216" s="13">
        <f t="shared" si="46"/>
        <v>98</v>
      </c>
      <c r="S216" s="6">
        <f t="shared" si="40"/>
        <v>0.98</v>
      </c>
      <c r="T216" s="1" t="s">
        <v>64</v>
      </c>
      <c r="U216" s="1">
        <f t="shared" si="47"/>
        <v>2</v>
      </c>
      <c r="V216" s="1">
        <f t="shared" si="48"/>
        <v>69.199999999999989</v>
      </c>
      <c r="W216" s="10" t="str">
        <f t="shared" si="49"/>
        <v>Medium</v>
      </c>
      <c r="X216" s="1" t="s">
        <v>38</v>
      </c>
      <c r="Y216" s="1" t="str">
        <f t="shared" si="50"/>
        <v>No</v>
      </c>
      <c r="Z216" s="14">
        <v>1</v>
      </c>
      <c r="AA216" s="18">
        <f t="shared" si="51"/>
        <v>1</v>
      </c>
      <c r="AB216" s="18" t="str">
        <f t="shared" si="52"/>
        <v>No</v>
      </c>
      <c r="AC216" s="9" t="s">
        <v>909</v>
      </c>
      <c r="AD216">
        <f>IF(AC216="",0,LEN(AC216)-LEN(SUBSTITUTE(AC216,",",""))+1)</f>
        <v>3</v>
      </c>
    </row>
    <row r="217" spans="1:30" ht="12.5" x14ac:dyDescent="0.25">
      <c r="A217" s="1" t="s">
        <v>910</v>
      </c>
      <c r="B217" s="1" t="s">
        <v>911</v>
      </c>
      <c r="C217" s="1" t="str">
        <v>Miss Anna Estes</v>
      </c>
      <c r="D217" s="1" t="s">
        <v>912</v>
      </c>
      <c r="E217" s="1" t="str">
        <v>riddlemichelle@gmail.com</v>
      </c>
      <c r="F217" t="str">
        <f t="shared" si="41"/>
        <v>Valid</v>
      </c>
      <c r="G217" s="1" t="s">
        <v>27</v>
      </c>
      <c r="H217" s="1" t="str">
        <f t="shared" si="42"/>
        <v>Male</v>
      </c>
      <c r="I217" s="1" t="s">
        <v>74</v>
      </c>
      <c r="J217" t="str">
        <f t="shared" si="43"/>
        <v>USA</v>
      </c>
      <c r="K217" s="14">
        <v>27</v>
      </c>
      <c r="L217" s="1">
        <f t="shared" si="44"/>
        <v>27</v>
      </c>
      <c r="M217" s="1" t="str">
        <f t="shared" si="45"/>
        <v>Early Career</v>
      </c>
      <c r="N217" s="2">
        <v>45635</v>
      </c>
      <c r="O217" s="1" t="s">
        <v>69</v>
      </c>
      <c r="P217" s="1" t="s">
        <v>31</v>
      </c>
      <c r="Q217" s="4">
        <v>10</v>
      </c>
      <c r="R217" s="13">
        <f t="shared" si="46"/>
        <v>10</v>
      </c>
      <c r="S217" s="6">
        <f t="shared" si="40"/>
        <v>0.1</v>
      </c>
      <c r="T217" s="1" t="s">
        <v>64</v>
      </c>
      <c r="U217" s="1">
        <f t="shared" si="47"/>
        <v>2</v>
      </c>
      <c r="V217" s="1">
        <f t="shared" si="48"/>
        <v>7.6</v>
      </c>
      <c r="W217" s="10" t="str">
        <f t="shared" si="49"/>
        <v>Low</v>
      </c>
      <c r="X217" s="1" t="s">
        <v>22</v>
      </c>
      <c r="Y217" s="1" t="str">
        <f t="shared" si="50"/>
        <v>No</v>
      </c>
      <c r="AA217" s="18" t="str">
        <f t="shared" si="51"/>
        <v>Invalid</v>
      </c>
      <c r="AB217" s="18" t="str">
        <f t="shared" si="52"/>
        <v>No</v>
      </c>
      <c r="AC217" s="9" t="s">
        <v>913</v>
      </c>
      <c r="AD217">
        <f>IF(AC217="",0,LEN(AC217)-LEN(SUBSTITUTE(AC217,",",""))+1)</f>
        <v>7</v>
      </c>
    </row>
    <row r="218" spans="1:30" ht="12.5" x14ac:dyDescent="0.25">
      <c r="A218" s="1" t="s">
        <v>914</v>
      </c>
      <c r="B218" s="1" t="s">
        <v>915</v>
      </c>
      <c r="C218" s="1" t="str">
        <v>Sandra Juarez</v>
      </c>
      <c r="D218" s="1" t="s">
        <v>916</v>
      </c>
      <c r="E218" s="1" t="str">
        <v>othomas@yahoo.com</v>
      </c>
      <c r="F218" t="str">
        <f t="shared" si="41"/>
        <v>Valid</v>
      </c>
      <c r="G218" s="1" t="s">
        <v>27</v>
      </c>
      <c r="H218" s="1" t="str">
        <f t="shared" si="42"/>
        <v>Male</v>
      </c>
      <c r="I218" s="1" t="s">
        <v>18</v>
      </c>
      <c r="J218" t="str">
        <f t="shared" si="43"/>
        <v>US</v>
      </c>
      <c r="K218" s="14">
        <v>41</v>
      </c>
      <c r="L218" s="1">
        <f t="shared" si="44"/>
        <v>41</v>
      </c>
      <c r="M218" s="1" t="str">
        <f t="shared" si="45"/>
        <v>Senior</v>
      </c>
      <c r="N218" s="9">
        <v>45747</v>
      </c>
      <c r="O218" s="1" t="s">
        <v>146</v>
      </c>
      <c r="P218" s="1" t="s">
        <v>147</v>
      </c>
      <c r="Q218" s="4">
        <v>0.97</v>
      </c>
      <c r="R218" s="13">
        <f t="shared" si="46"/>
        <v>97</v>
      </c>
      <c r="S218" s="6">
        <f t="shared" si="40"/>
        <v>0.97</v>
      </c>
      <c r="T218" s="1" t="s">
        <v>64</v>
      </c>
      <c r="U218" s="1">
        <f t="shared" si="47"/>
        <v>2</v>
      </c>
      <c r="V218" s="1">
        <f t="shared" si="48"/>
        <v>68.499999999999986</v>
      </c>
      <c r="W218" s="10" t="str">
        <f t="shared" si="49"/>
        <v>Medium</v>
      </c>
      <c r="X218" s="1" t="s">
        <v>76</v>
      </c>
      <c r="Y218" s="1" t="str">
        <f t="shared" si="50"/>
        <v>Yes</v>
      </c>
      <c r="Z218" s="14">
        <v>6</v>
      </c>
      <c r="AA218" s="18">
        <f t="shared" si="51"/>
        <v>6</v>
      </c>
      <c r="AB218" s="18" t="str">
        <f t="shared" si="52"/>
        <v>High Performer</v>
      </c>
      <c r="AC218" s="9" t="s">
        <v>917</v>
      </c>
      <c r="AD218">
        <f>IF(AC218="",0,LEN(AC218)-LEN(SUBSTITUTE(AC218,",",""))+1)</f>
        <v>6</v>
      </c>
    </row>
    <row r="219" spans="1:30" ht="12.5" x14ac:dyDescent="0.25">
      <c r="A219" s="1" t="s">
        <v>918</v>
      </c>
      <c r="B219" s="1" t="s">
        <v>919</v>
      </c>
      <c r="C219" s="1" t="str">
        <v>Sheryl Davis</v>
      </c>
      <c r="D219" s="1" t="s">
        <v>920</v>
      </c>
      <c r="E219" s="1" t="str">
        <v>shawn75@hotmail.com</v>
      </c>
      <c r="F219" t="str">
        <f t="shared" si="41"/>
        <v>Valid</v>
      </c>
      <c r="G219" s="1" t="s">
        <v>17</v>
      </c>
      <c r="H219" s="1" t="str">
        <f t="shared" si="42"/>
        <v>Female</v>
      </c>
      <c r="I219" s="1" t="s">
        <v>28</v>
      </c>
      <c r="J219" t="str">
        <f t="shared" si="43"/>
        <v>INDIA</v>
      </c>
      <c r="K219" s="14">
        <v>40</v>
      </c>
      <c r="L219" s="1">
        <f t="shared" si="44"/>
        <v>40</v>
      </c>
      <c r="M219" s="1" t="str">
        <f t="shared" si="45"/>
        <v>Mid Career</v>
      </c>
      <c r="N219" s="2">
        <v>45485</v>
      </c>
      <c r="O219" s="1" t="s">
        <v>158</v>
      </c>
      <c r="P219" s="1" t="s">
        <v>59</v>
      </c>
      <c r="Q219" s="4">
        <v>0.39</v>
      </c>
      <c r="R219" s="13">
        <f t="shared" si="46"/>
        <v>39</v>
      </c>
      <c r="S219" s="6">
        <f t="shared" si="40"/>
        <v>0.39</v>
      </c>
      <c r="T219" s="1">
        <v>45</v>
      </c>
      <c r="U219" s="1">
        <f t="shared" si="47"/>
        <v>45</v>
      </c>
      <c r="V219" s="1">
        <f t="shared" si="48"/>
        <v>40.799999999999997</v>
      </c>
      <c r="W219" s="10" t="str">
        <f t="shared" si="49"/>
        <v>Low</v>
      </c>
      <c r="X219" s="1" t="s">
        <v>22</v>
      </c>
      <c r="Y219" s="1" t="str">
        <f t="shared" si="50"/>
        <v>No</v>
      </c>
      <c r="AA219" s="18" t="str">
        <f t="shared" si="51"/>
        <v>Invalid</v>
      </c>
      <c r="AB219" s="18" t="str">
        <f t="shared" si="52"/>
        <v>No</v>
      </c>
      <c r="AC219" s="9" t="s">
        <v>921</v>
      </c>
      <c r="AD219">
        <f>IF(AC219="",0,LEN(AC219)-LEN(SUBSTITUTE(AC219,",",""))+1)</f>
        <v>8</v>
      </c>
    </row>
    <row r="220" spans="1:30" ht="12.5" x14ac:dyDescent="0.25">
      <c r="A220" s="1" t="s">
        <v>922</v>
      </c>
      <c r="B220" s="1" t="s">
        <v>923</v>
      </c>
      <c r="C220" s="1" t="str">
        <v>William Reid</v>
      </c>
      <c r="D220" s="1" t="s">
        <v>924</v>
      </c>
      <c r="E220" s="1" t="str">
        <v>flynnraymond@yahoo.com</v>
      </c>
      <c r="F220" t="str">
        <f t="shared" si="41"/>
        <v>Valid</v>
      </c>
      <c r="G220" s="1" t="s">
        <v>17</v>
      </c>
      <c r="H220" s="1" t="str">
        <f t="shared" si="42"/>
        <v>Female</v>
      </c>
      <c r="I220" s="1" t="s">
        <v>28</v>
      </c>
      <c r="J220" t="str">
        <f t="shared" si="43"/>
        <v>INDIA</v>
      </c>
      <c r="L220" s="1">
        <f t="shared" si="44"/>
        <v>19</v>
      </c>
      <c r="M220" s="1" t="str">
        <f t="shared" si="45"/>
        <v>Student</v>
      </c>
      <c r="N220" s="2">
        <v>44838</v>
      </c>
      <c r="O220" s="1" t="s">
        <v>58</v>
      </c>
      <c r="P220" s="1" t="s">
        <v>59</v>
      </c>
      <c r="Q220" s="4">
        <v>0.95</v>
      </c>
      <c r="R220" s="13">
        <f t="shared" si="46"/>
        <v>95</v>
      </c>
      <c r="S220" s="6">
        <f t="shared" si="40"/>
        <v>0.95</v>
      </c>
      <c r="T220" s="1" t="s">
        <v>21</v>
      </c>
      <c r="U220" s="1">
        <f t="shared" si="47"/>
        <v>1.5</v>
      </c>
      <c r="V220" s="1">
        <f t="shared" si="48"/>
        <v>66.95</v>
      </c>
      <c r="W220" s="10" t="str">
        <f t="shared" si="49"/>
        <v>Medium</v>
      </c>
      <c r="X220" s="1" t="s">
        <v>76</v>
      </c>
      <c r="Y220" s="1" t="str">
        <f t="shared" si="50"/>
        <v>Yes</v>
      </c>
      <c r="Z220" s="14">
        <v>6</v>
      </c>
      <c r="AA220" s="18">
        <f t="shared" si="51"/>
        <v>6</v>
      </c>
      <c r="AB220" s="18" t="str">
        <f t="shared" si="52"/>
        <v>High Performer</v>
      </c>
      <c r="AC220" s="9" t="s">
        <v>925</v>
      </c>
      <c r="AD220">
        <f>IF(AC220="",0,LEN(AC220)-LEN(SUBSTITUTE(AC220,",",""))+1)</f>
        <v>5</v>
      </c>
    </row>
    <row r="221" spans="1:30" ht="12.5" x14ac:dyDescent="0.25">
      <c r="A221" s="1" t="s">
        <v>926</v>
      </c>
      <c r="B221" s="1" t="s">
        <v>927</v>
      </c>
      <c r="C221" s="1" t="str">
        <v>Joshua Anderson</v>
      </c>
      <c r="D221" s="1" t="s">
        <v>928</v>
      </c>
      <c r="E221" s="1" t="str">
        <v>patricia00@gmail.com</v>
      </c>
      <c r="F221" t="str">
        <f t="shared" si="41"/>
        <v>Valid</v>
      </c>
      <c r="G221" s="1" t="s">
        <v>57</v>
      </c>
      <c r="H221" s="1" t="str">
        <f t="shared" si="42"/>
        <v>Female</v>
      </c>
      <c r="I221" s="1" t="s">
        <v>51</v>
      </c>
      <c r="J221" t="str">
        <f t="shared" si="43"/>
        <v>UK</v>
      </c>
      <c r="K221" s="14">
        <v>26</v>
      </c>
      <c r="L221" s="1">
        <f t="shared" si="44"/>
        <v>26</v>
      </c>
      <c r="M221" s="1" t="str">
        <f t="shared" si="45"/>
        <v>Early Career</v>
      </c>
      <c r="N221" s="2">
        <v>44960</v>
      </c>
      <c r="O221" s="1" t="s">
        <v>75</v>
      </c>
      <c r="P221" s="1" t="s">
        <v>37</v>
      </c>
      <c r="Q221" s="4">
        <v>0.46</v>
      </c>
      <c r="R221" s="13">
        <f t="shared" si="46"/>
        <v>46</v>
      </c>
      <c r="S221" s="6">
        <f t="shared" si="40"/>
        <v>0.46</v>
      </c>
      <c r="T221" s="1" t="s">
        <v>64</v>
      </c>
      <c r="U221" s="1">
        <f t="shared" si="47"/>
        <v>2</v>
      </c>
      <c r="V221" s="1">
        <f t="shared" si="48"/>
        <v>32.799999999999997</v>
      </c>
      <c r="W221" s="10" t="str">
        <f t="shared" si="49"/>
        <v>Low</v>
      </c>
      <c r="X221" s="1">
        <v>0</v>
      </c>
      <c r="Y221" s="1" t="str">
        <f t="shared" si="50"/>
        <v>No</v>
      </c>
      <c r="Z221" s="14">
        <v>1</v>
      </c>
      <c r="AA221" s="18">
        <f t="shared" si="51"/>
        <v>1</v>
      </c>
      <c r="AB221" s="18" t="str">
        <f t="shared" si="52"/>
        <v>No</v>
      </c>
      <c r="AC221" s="9" t="s">
        <v>929</v>
      </c>
      <c r="AD221">
        <f>IF(AC221="",0,LEN(AC221)-LEN(SUBSTITUTE(AC221,",",""))+1)</f>
        <v>2</v>
      </c>
    </row>
    <row r="222" spans="1:30" ht="12.5" x14ac:dyDescent="0.25">
      <c r="A222" s="1" t="s">
        <v>930</v>
      </c>
      <c r="B222" s="1" t="s">
        <v>931</v>
      </c>
      <c r="C222" s="1" t="str">
        <v>Scott Alexander</v>
      </c>
      <c r="D222" s="1" t="s">
        <v>932</v>
      </c>
      <c r="E222" s="1" t="str">
        <v>sharris@khan.com</v>
      </c>
      <c r="F222" t="str">
        <f t="shared" si="41"/>
        <v>Valid</v>
      </c>
      <c r="G222" s="1" t="s">
        <v>109</v>
      </c>
      <c r="H222" s="1" t="str">
        <f t="shared" si="42"/>
        <v>Male</v>
      </c>
      <c r="I222" s="1" t="s">
        <v>51</v>
      </c>
      <c r="J222" t="str">
        <f t="shared" si="43"/>
        <v>UK</v>
      </c>
      <c r="K222" s="14">
        <v>45</v>
      </c>
      <c r="L222" s="1">
        <f t="shared" si="44"/>
        <v>45</v>
      </c>
      <c r="M222" s="1" t="str">
        <f t="shared" si="45"/>
        <v>Senior</v>
      </c>
      <c r="N222" s="2">
        <v>45394</v>
      </c>
      <c r="O222" s="1" t="s">
        <v>19</v>
      </c>
      <c r="P222" s="1" t="s">
        <v>20</v>
      </c>
      <c r="Q222" s="4">
        <v>1</v>
      </c>
      <c r="R222" s="13">
        <f t="shared" si="46"/>
        <v>100</v>
      </c>
      <c r="S222" s="6">
        <f t="shared" si="40"/>
        <v>1</v>
      </c>
      <c r="T222" s="1">
        <v>1.5</v>
      </c>
      <c r="U222" s="1">
        <f t="shared" si="47"/>
        <v>1.5</v>
      </c>
      <c r="V222" s="1">
        <f t="shared" si="48"/>
        <v>70.45</v>
      </c>
      <c r="W222" s="10" t="str">
        <f t="shared" si="49"/>
        <v>Medium</v>
      </c>
      <c r="X222" s="1">
        <v>0</v>
      </c>
      <c r="Y222" s="1" t="str">
        <f t="shared" si="50"/>
        <v>No</v>
      </c>
      <c r="Z222" s="14">
        <v>2</v>
      </c>
      <c r="AA222" s="18">
        <f t="shared" si="51"/>
        <v>2</v>
      </c>
      <c r="AB222" s="18" t="str">
        <f t="shared" si="52"/>
        <v>No</v>
      </c>
      <c r="AC222" s="9">
        <v>45394</v>
      </c>
      <c r="AD222">
        <f>IF(AC222="",0,LEN(AC222)-LEN(SUBSTITUTE(AC222,",",""))+1)</f>
        <v>1</v>
      </c>
    </row>
    <row r="223" spans="1:30" ht="12.5" x14ac:dyDescent="0.25">
      <c r="A223" s="1" t="s">
        <v>933</v>
      </c>
      <c r="B223" s="1" t="s">
        <v>934</v>
      </c>
      <c r="C223" s="1" t="str">
        <v>Matthew Banks</v>
      </c>
      <c r="D223" s="1" t="s">
        <v>935</v>
      </c>
      <c r="E223" s="1" t="str">
        <v>ugarrett@fischer.com</v>
      </c>
      <c r="F223" t="str">
        <f t="shared" si="41"/>
        <v>Valid</v>
      </c>
      <c r="G223" s="1" t="s">
        <v>57</v>
      </c>
      <c r="H223" s="1" t="str">
        <f t="shared" si="42"/>
        <v>Female</v>
      </c>
      <c r="I223" s="1" t="s">
        <v>74</v>
      </c>
      <c r="J223" t="str">
        <f t="shared" si="43"/>
        <v>USA</v>
      </c>
      <c r="K223" s="14">
        <v>0</v>
      </c>
      <c r="L223" s="1">
        <f t="shared" si="44"/>
        <v>19</v>
      </c>
      <c r="M223" s="1" t="str">
        <f t="shared" si="45"/>
        <v>Student</v>
      </c>
      <c r="N223" s="2">
        <v>45083</v>
      </c>
      <c r="O223" s="1" t="s">
        <v>158</v>
      </c>
      <c r="P223" s="1" t="s">
        <v>59</v>
      </c>
      <c r="Q223" s="4">
        <v>0.92</v>
      </c>
      <c r="R223" s="13">
        <f t="shared" si="46"/>
        <v>92</v>
      </c>
      <c r="S223" s="6">
        <f t="shared" si="40"/>
        <v>0.92</v>
      </c>
      <c r="T223" s="1" t="s">
        <v>21</v>
      </c>
      <c r="U223" s="1">
        <f t="shared" si="47"/>
        <v>1.5</v>
      </c>
      <c r="V223" s="1">
        <f t="shared" si="48"/>
        <v>64.849999999999994</v>
      </c>
      <c r="W223" s="10" t="str">
        <f t="shared" si="49"/>
        <v>Medium</v>
      </c>
      <c r="X223" s="1" t="s">
        <v>22</v>
      </c>
      <c r="Y223" s="1" t="str">
        <f t="shared" si="50"/>
        <v>No</v>
      </c>
      <c r="Z223" s="14">
        <v>3</v>
      </c>
      <c r="AA223" s="18">
        <f t="shared" si="51"/>
        <v>3</v>
      </c>
      <c r="AB223" s="18" t="str">
        <f t="shared" si="52"/>
        <v>No</v>
      </c>
      <c r="AC223" s="9" t="s">
        <v>936</v>
      </c>
      <c r="AD223">
        <f>IF(AC223="",0,LEN(AC223)-LEN(SUBSTITUTE(AC223,",",""))+1)</f>
        <v>6</v>
      </c>
    </row>
    <row r="224" spans="1:30" ht="12.5" x14ac:dyDescent="0.25">
      <c r="A224" s="1" t="s">
        <v>937</v>
      </c>
      <c r="B224" s="1" t="s">
        <v>938</v>
      </c>
      <c r="C224" s="1" t="str">
        <v>Kelly Wallace</v>
      </c>
      <c r="D224" s="1" t="s">
        <v>939</v>
      </c>
      <c r="E224" s="1" t="str">
        <v>lisa62@jones-reyes.com</v>
      </c>
      <c r="F224" t="str">
        <f t="shared" si="41"/>
        <v>Valid</v>
      </c>
      <c r="G224" s="1" t="s">
        <v>57</v>
      </c>
      <c r="H224" s="1" t="str">
        <f t="shared" si="42"/>
        <v>Female</v>
      </c>
      <c r="I224" s="1" t="s">
        <v>74</v>
      </c>
      <c r="J224" t="str">
        <f t="shared" si="43"/>
        <v>USA</v>
      </c>
      <c r="L224" s="1">
        <f t="shared" si="44"/>
        <v>19</v>
      </c>
      <c r="M224" s="1" t="str">
        <f t="shared" si="45"/>
        <v>Student</v>
      </c>
      <c r="N224" s="2">
        <v>44777</v>
      </c>
      <c r="O224" s="1" t="s">
        <v>146</v>
      </c>
      <c r="P224" s="1" t="s">
        <v>147</v>
      </c>
      <c r="Q224" s="4">
        <v>0.59</v>
      </c>
      <c r="R224" s="13">
        <f t="shared" si="46"/>
        <v>59</v>
      </c>
      <c r="S224" s="6">
        <f t="shared" si="40"/>
        <v>0.59</v>
      </c>
      <c r="T224" s="1" t="s">
        <v>64</v>
      </c>
      <c r="U224" s="1">
        <f t="shared" si="47"/>
        <v>2</v>
      </c>
      <c r="V224" s="1">
        <f t="shared" si="48"/>
        <v>41.9</v>
      </c>
      <c r="W224" s="10" t="str">
        <f t="shared" si="49"/>
        <v>Medium</v>
      </c>
      <c r="X224" s="1" t="s">
        <v>22</v>
      </c>
      <c r="Y224" s="1" t="str">
        <f t="shared" si="50"/>
        <v>No</v>
      </c>
      <c r="Z224" s="14">
        <v>6</v>
      </c>
      <c r="AA224" s="18">
        <f t="shared" si="51"/>
        <v>6</v>
      </c>
      <c r="AB224" s="18" t="str">
        <f t="shared" si="52"/>
        <v>No</v>
      </c>
      <c r="AC224" s="9">
        <v>44777</v>
      </c>
      <c r="AD224">
        <f>IF(AC224="",0,LEN(AC224)-LEN(SUBSTITUTE(AC224,",",""))+1)</f>
        <v>1</v>
      </c>
    </row>
    <row r="225" spans="1:30" ht="12.5" x14ac:dyDescent="0.25">
      <c r="A225" s="1" t="s">
        <v>940</v>
      </c>
      <c r="B225" s="1" t="s">
        <v>941</v>
      </c>
      <c r="C225" s="1" t="str">
        <v>Raymond Mullins</v>
      </c>
      <c r="D225" s="1" t="s">
        <v>942</v>
      </c>
      <c r="E225" s="1" t="str">
        <v>caseyelliott@santos.com</v>
      </c>
      <c r="F225" t="str">
        <f t="shared" si="41"/>
        <v>Valid</v>
      </c>
      <c r="G225" s="1" t="s">
        <v>43</v>
      </c>
      <c r="H225" s="1" t="str">
        <f t="shared" si="42"/>
        <v>Female</v>
      </c>
      <c r="I225" s="1" t="s">
        <v>96</v>
      </c>
      <c r="J225" t="str">
        <f t="shared" si="43"/>
        <v>INDIA</v>
      </c>
      <c r="K225" s="14">
        <v>42</v>
      </c>
      <c r="L225" s="1">
        <f t="shared" si="44"/>
        <v>42</v>
      </c>
      <c r="M225" s="1" t="str">
        <f t="shared" si="45"/>
        <v>Senior</v>
      </c>
      <c r="N225" s="9">
        <v>44818</v>
      </c>
      <c r="O225" s="1" t="s">
        <v>75</v>
      </c>
      <c r="P225" s="1" t="s">
        <v>37</v>
      </c>
      <c r="Q225" s="4">
        <v>0.59</v>
      </c>
      <c r="R225" s="13">
        <f t="shared" si="46"/>
        <v>59</v>
      </c>
      <c r="S225" s="6">
        <f t="shared" si="40"/>
        <v>0.59</v>
      </c>
      <c r="T225" s="1" t="s">
        <v>46</v>
      </c>
      <c r="U225" s="1">
        <f t="shared" si="47"/>
        <v>1</v>
      </c>
      <c r="V225" s="1">
        <f t="shared" si="48"/>
        <v>41.599999999999994</v>
      </c>
      <c r="W225" s="10" t="str">
        <f t="shared" si="49"/>
        <v>Medium</v>
      </c>
      <c r="X225" s="1" t="s">
        <v>38</v>
      </c>
      <c r="Y225" s="1" t="str">
        <f t="shared" si="50"/>
        <v>No</v>
      </c>
      <c r="Z225" s="14">
        <v>3</v>
      </c>
      <c r="AA225" s="18">
        <f t="shared" si="51"/>
        <v>3</v>
      </c>
      <c r="AB225" s="18" t="str">
        <f t="shared" si="52"/>
        <v>No</v>
      </c>
      <c r="AC225" s="9" t="s">
        <v>943</v>
      </c>
      <c r="AD225">
        <f>IF(AC225="",0,LEN(AC225)-LEN(SUBSTITUTE(AC225,",",""))+1)</f>
        <v>5</v>
      </c>
    </row>
    <row r="226" spans="1:30" ht="12.5" x14ac:dyDescent="0.25">
      <c r="A226" s="1" t="s">
        <v>944</v>
      </c>
      <c r="B226" s="1" t="s">
        <v>945</v>
      </c>
      <c r="C226" s="1" t="str">
        <v>Steven Taylor</v>
      </c>
      <c r="D226" s="1" t="s">
        <v>946</v>
      </c>
      <c r="E226" s="1" t="str">
        <v>bbell@moody-wright.com</v>
      </c>
      <c r="F226" t="str">
        <f t="shared" si="41"/>
        <v>Valid</v>
      </c>
      <c r="G226" s="1" t="s">
        <v>27</v>
      </c>
      <c r="H226" s="1" t="str">
        <f t="shared" si="42"/>
        <v>Male</v>
      </c>
      <c r="I226" s="1" t="s">
        <v>74</v>
      </c>
      <c r="J226" t="str">
        <f t="shared" si="43"/>
        <v>USA</v>
      </c>
      <c r="K226" s="14">
        <v>0</v>
      </c>
      <c r="L226" s="1">
        <f t="shared" si="44"/>
        <v>19</v>
      </c>
      <c r="M226" s="1" t="str">
        <f t="shared" si="45"/>
        <v>Student</v>
      </c>
      <c r="N226" s="2">
        <v>45444</v>
      </c>
      <c r="O226" s="1" t="s">
        <v>19</v>
      </c>
      <c r="P226" s="1" t="s">
        <v>20</v>
      </c>
      <c r="Q226" s="4">
        <v>1</v>
      </c>
      <c r="R226" s="13">
        <f t="shared" si="46"/>
        <v>100</v>
      </c>
      <c r="S226" s="6">
        <f t="shared" si="40"/>
        <v>1</v>
      </c>
      <c r="T226" s="1" t="s">
        <v>46</v>
      </c>
      <c r="U226" s="1">
        <f t="shared" si="47"/>
        <v>1</v>
      </c>
      <c r="V226" s="1">
        <f t="shared" si="48"/>
        <v>70.3</v>
      </c>
      <c r="W226" s="10" t="str">
        <f t="shared" si="49"/>
        <v>Medium</v>
      </c>
      <c r="X226" s="1" t="s">
        <v>38</v>
      </c>
      <c r="Y226" s="1" t="str">
        <f t="shared" si="50"/>
        <v>No</v>
      </c>
      <c r="Z226" s="14">
        <v>3</v>
      </c>
      <c r="AA226" s="18">
        <f t="shared" si="51"/>
        <v>3</v>
      </c>
      <c r="AB226" s="18" t="str">
        <f t="shared" si="52"/>
        <v>No</v>
      </c>
      <c r="AC226" s="9" t="s">
        <v>947</v>
      </c>
      <c r="AD226">
        <f>IF(AC226="",0,LEN(AC226)-LEN(SUBSTITUTE(AC226,",",""))+1)</f>
        <v>6</v>
      </c>
    </row>
    <row r="227" spans="1:30" ht="12.5" x14ac:dyDescent="0.25">
      <c r="A227" s="1" t="s">
        <v>948</v>
      </c>
      <c r="B227" s="1" t="s">
        <v>949</v>
      </c>
      <c r="C227" s="1" t="str">
        <v>Peggy Vaughn</v>
      </c>
      <c r="D227" s="1" t="s">
        <v>950</v>
      </c>
      <c r="E227" s="1" t="str">
        <v>aprilhicks@hotmail.com</v>
      </c>
      <c r="F227" t="str">
        <f t="shared" si="41"/>
        <v>Valid</v>
      </c>
      <c r="G227" s="1" t="s">
        <v>57</v>
      </c>
      <c r="H227" s="1" t="str">
        <f t="shared" si="42"/>
        <v>Female</v>
      </c>
      <c r="I227" s="1" t="s">
        <v>136</v>
      </c>
      <c r="J227" t="str">
        <f t="shared" si="43"/>
        <v>UK</v>
      </c>
      <c r="K227" s="14">
        <v>41</v>
      </c>
      <c r="L227" s="1">
        <f t="shared" si="44"/>
        <v>41</v>
      </c>
      <c r="M227" s="1" t="str">
        <f t="shared" si="45"/>
        <v>Senior</v>
      </c>
      <c r="N227" s="9">
        <v>45043</v>
      </c>
      <c r="O227" s="1" t="s">
        <v>158</v>
      </c>
      <c r="P227" s="1" t="s">
        <v>59</v>
      </c>
      <c r="Q227" s="4">
        <v>0.05</v>
      </c>
      <c r="R227" s="13">
        <f t="shared" si="46"/>
        <v>5</v>
      </c>
      <c r="S227" s="6">
        <f t="shared" si="40"/>
        <v>0.05</v>
      </c>
      <c r="T227" s="1" t="s">
        <v>46</v>
      </c>
      <c r="U227" s="1">
        <f t="shared" si="47"/>
        <v>1</v>
      </c>
      <c r="V227" s="1">
        <f t="shared" si="48"/>
        <v>3.8</v>
      </c>
      <c r="W227" s="10" t="str">
        <f t="shared" si="49"/>
        <v>Low</v>
      </c>
      <c r="X227" s="1">
        <v>1</v>
      </c>
      <c r="Y227" s="1" t="str">
        <f t="shared" si="50"/>
        <v>Yes</v>
      </c>
      <c r="Z227" s="14">
        <v>2</v>
      </c>
      <c r="AA227" s="18">
        <f t="shared" si="51"/>
        <v>2</v>
      </c>
      <c r="AB227" s="18" t="str">
        <f t="shared" si="52"/>
        <v>No</v>
      </c>
      <c r="AC227" s="9" t="s">
        <v>951</v>
      </c>
      <c r="AD227">
        <f>IF(AC227="",0,LEN(AC227)-LEN(SUBSTITUTE(AC227,",",""))+1)</f>
        <v>3</v>
      </c>
    </row>
    <row r="228" spans="1:30" ht="12.5" x14ac:dyDescent="0.25">
      <c r="A228" s="1" t="s">
        <v>952</v>
      </c>
      <c r="B228" s="1" t="s">
        <v>953</v>
      </c>
      <c r="C228" s="1" t="str">
        <v>Tina Simpson</v>
      </c>
      <c r="D228" s="1" t="s">
        <v>954</v>
      </c>
      <c r="E228" s="1" t="str">
        <v>victorwheeler@oneal.com</v>
      </c>
      <c r="F228" t="str">
        <f t="shared" si="41"/>
        <v>Valid</v>
      </c>
      <c r="G228" s="1" t="s">
        <v>27</v>
      </c>
      <c r="H228" s="1" t="str">
        <f t="shared" si="42"/>
        <v>Male</v>
      </c>
      <c r="I228" s="1" t="s">
        <v>44</v>
      </c>
      <c r="J228" t="str">
        <f t="shared" si="43"/>
        <v>CANADA</v>
      </c>
      <c r="L228" s="1">
        <f t="shared" si="44"/>
        <v>19</v>
      </c>
      <c r="M228" s="1" t="str">
        <f t="shared" si="45"/>
        <v>Student</v>
      </c>
      <c r="N228" s="2">
        <v>45089</v>
      </c>
      <c r="O228" s="1" t="s">
        <v>146</v>
      </c>
      <c r="P228" s="1" t="s">
        <v>147</v>
      </c>
      <c r="Q228" s="4">
        <v>7.0000000000000007E-2</v>
      </c>
      <c r="R228" s="13">
        <f t="shared" si="46"/>
        <v>7.0000000000000009</v>
      </c>
      <c r="S228" s="6">
        <f t="shared" si="40"/>
        <v>7.0000000000000007E-2</v>
      </c>
      <c r="T228" s="1">
        <v>1.5</v>
      </c>
      <c r="U228" s="1">
        <f t="shared" si="47"/>
        <v>1.5</v>
      </c>
      <c r="V228" s="1">
        <f t="shared" si="48"/>
        <v>5.3500000000000005</v>
      </c>
      <c r="W228" s="10" t="str">
        <f t="shared" si="49"/>
        <v>Low</v>
      </c>
      <c r="X228" s="1" t="s">
        <v>38</v>
      </c>
      <c r="Y228" s="1" t="str">
        <f t="shared" si="50"/>
        <v>No</v>
      </c>
      <c r="Z228" s="14">
        <v>4</v>
      </c>
      <c r="AA228" s="18">
        <f t="shared" si="51"/>
        <v>4</v>
      </c>
      <c r="AB228" s="18" t="str">
        <f t="shared" si="52"/>
        <v>No</v>
      </c>
      <c r="AC228" s="9" t="s">
        <v>955</v>
      </c>
      <c r="AD228">
        <f>IF(AC228="",0,LEN(AC228)-LEN(SUBSTITUTE(AC228,",",""))+1)</f>
        <v>7</v>
      </c>
    </row>
    <row r="229" spans="1:30" ht="12.5" x14ac:dyDescent="0.25">
      <c r="A229" s="1" t="s">
        <v>956</v>
      </c>
      <c r="B229" s="1" t="s">
        <v>957</v>
      </c>
      <c r="C229" s="1" t="str">
        <v>Joshua Thompson</v>
      </c>
      <c r="D229" s="1" t="s">
        <v>958</v>
      </c>
      <c r="E229" s="1" t="str">
        <v>smithcarlos@yahoo.com</v>
      </c>
      <c r="F229" t="str">
        <f t="shared" si="41"/>
        <v>Valid</v>
      </c>
      <c r="G229" s="1" t="s">
        <v>109</v>
      </c>
      <c r="H229" s="1" t="str">
        <f t="shared" si="42"/>
        <v>Male</v>
      </c>
      <c r="I229" s="1" t="s">
        <v>74</v>
      </c>
      <c r="J229" t="str">
        <f t="shared" si="43"/>
        <v>USA</v>
      </c>
      <c r="L229" s="1">
        <f t="shared" si="44"/>
        <v>19</v>
      </c>
      <c r="M229" s="1" t="str">
        <f t="shared" si="45"/>
        <v>Student</v>
      </c>
      <c r="N229" s="9">
        <v>44863</v>
      </c>
      <c r="O229" s="1" t="s">
        <v>52</v>
      </c>
      <c r="P229" s="1" t="s">
        <v>37</v>
      </c>
      <c r="Q229" s="4">
        <v>0.25</v>
      </c>
      <c r="R229" s="13">
        <f t="shared" si="46"/>
        <v>25</v>
      </c>
      <c r="S229" s="6">
        <f t="shared" si="40"/>
        <v>0.25</v>
      </c>
      <c r="T229" s="1">
        <v>2</v>
      </c>
      <c r="U229" s="1">
        <f t="shared" si="47"/>
        <v>2</v>
      </c>
      <c r="V229" s="1">
        <f t="shared" si="48"/>
        <v>18.100000000000001</v>
      </c>
      <c r="W229" s="10" t="str">
        <f t="shared" si="49"/>
        <v>Low</v>
      </c>
      <c r="X229" s="1" t="s">
        <v>38</v>
      </c>
      <c r="Y229" s="1" t="str">
        <f t="shared" si="50"/>
        <v>No</v>
      </c>
      <c r="Z229" s="14">
        <v>2</v>
      </c>
      <c r="AA229" s="18">
        <f t="shared" si="51"/>
        <v>2</v>
      </c>
      <c r="AB229" s="18" t="str">
        <f t="shared" si="52"/>
        <v>No</v>
      </c>
      <c r="AC229" s="9" t="s">
        <v>959</v>
      </c>
      <c r="AD229">
        <f>IF(AC229="",0,LEN(AC229)-LEN(SUBSTITUTE(AC229,",",""))+1)</f>
        <v>8</v>
      </c>
    </row>
    <row r="230" spans="1:30" ht="12.5" x14ac:dyDescent="0.25">
      <c r="A230" s="1" t="s">
        <v>960</v>
      </c>
      <c r="B230" s="1" t="s">
        <v>961</v>
      </c>
      <c r="C230" s="1" t="str">
        <v>Katie Fuller</v>
      </c>
      <c r="D230" s="1" t="s">
        <v>962</v>
      </c>
      <c r="E230" s="1" t="str">
        <v>fmiles@hotmail.com</v>
      </c>
      <c r="F230" t="str">
        <f t="shared" si="41"/>
        <v>Valid</v>
      </c>
      <c r="G230" s="1" t="s">
        <v>27</v>
      </c>
      <c r="H230" s="1" t="str">
        <f t="shared" si="42"/>
        <v>Male</v>
      </c>
      <c r="I230" s="1" t="s">
        <v>28</v>
      </c>
      <c r="J230" t="str">
        <f t="shared" si="43"/>
        <v>INDIA</v>
      </c>
      <c r="L230" s="1">
        <f t="shared" si="44"/>
        <v>19</v>
      </c>
      <c r="M230" s="1" t="str">
        <f t="shared" si="45"/>
        <v>Student</v>
      </c>
      <c r="N230" s="2">
        <v>45141</v>
      </c>
      <c r="O230" s="1" t="s">
        <v>45</v>
      </c>
      <c r="P230" s="1" t="s">
        <v>20</v>
      </c>
      <c r="Q230" s="4">
        <v>0.59</v>
      </c>
      <c r="R230" s="13">
        <f t="shared" si="46"/>
        <v>59</v>
      </c>
      <c r="S230" s="6">
        <f t="shared" si="40"/>
        <v>0.59</v>
      </c>
      <c r="T230" s="1" t="s">
        <v>21</v>
      </c>
      <c r="U230" s="1">
        <f t="shared" si="47"/>
        <v>1.5</v>
      </c>
      <c r="V230" s="1">
        <f t="shared" si="48"/>
        <v>41.75</v>
      </c>
      <c r="W230" s="10" t="str">
        <f t="shared" si="49"/>
        <v>Medium</v>
      </c>
      <c r="X230" s="1">
        <v>0</v>
      </c>
      <c r="Y230" s="1" t="str">
        <f t="shared" si="50"/>
        <v>No</v>
      </c>
      <c r="Z230" s="14">
        <v>3</v>
      </c>
      <c r="AA230" s="18">
        <f t="shared" si="51"/>
        <v>3</v>
      </c>
      <c r="AB230" s="18" t="str">
        <f t="shared" si="52"/>
        <v>No</v>
      </c>
      <c r="AC230" s="9" t="s">
        <v>963</v>
      </c>
      <c r="AD230">
        <f>IF(AC230="",0,LEN(AC230)-LEN(SUBSTITUTE(AC230,",",""))+1)</f>
        <v>6</v>
      </c>
    </row>
    <row r="231" spans="1:30" ht="12.5" x14ac:dyDescent="0.25">
      <c r="A231" s="1" t="s">
        <v>964</v>
      </c>
      <c r="B231" s="1" t="s">
        <v>965</v>
      </c>
      <c r="C231" s="1" t="str">
        <v>Bob Mccall</v>
      </c>
      <c r="D231" s="1" t="s">
        <v>966</v>
      </c>
      <c r="E231" s="1" t="str">
        <v>peter14@kim.com</v>
      </c>
      <c r="F231" t="str">
        <f t="shared" si="41"/>
        <v>Valid</v>
      </c>
      <c r="G231" s="1" t="s">
        <v>88</v>
      </c>
      <c r="H231" s="1" t="str">
        <f t="shared" si="42"/>
        <v>Male</v>
      </c>
      <c r="I231" s="1" t="s">
        <v>136</v>
      </c>
      <c r="J231" t="str">
        <f t="shared" si="43"/>
        <v>UK</v>
      </c>
      <c r="K231" s="14">
        <v>0</v>
      </c>
      <c r="L231" s="1">
        <f t="shared" si="44"/>
        <v>19</v>
      </c>
      <c r="M231" s="1" t="str">
        <f t="shared" si="45"/>
        <v>Student</v>
      </c>
      <c r="N231" s="9">
        <v>45491</v>
      </c>
      <c r="O231" s="1" t="s">
        <v>170</v>
      </c>
      <c r="P231" s="1" t="s">
        <v>147</v>
      </c>
      <c r="Q231" s="4">
        <v>0.38</v>
      </c>
      <c r="R231" s="13">
        <f t="shared" si="46"/>
        <v>38</v>
      </c>
      <c r="S231" s="6">
        <f t="shared" si="40"/>
        <v>0.38</v>
      </c>
      <c r="T231" s="1">
        <v>45</v>
      </c>
      <c r="U231" s="1">
        <f t="shared" si="47"/>
        <v>45</v>
      </c>
      <c r="V231" s="1">
        <f t="shared" si="48"/>
        <v>40.099999999999994</v>
      </c>
      <c r="W231" s="10" t="str">
        <f t="shared" si="49"/>
        <v>Low</v>
      </c>
      <c r="X231" s="1" t="s">
        <v>76</v>
      </c>
      <c r="Y231" s="1" t="str">
        <f t="shared" si="50"/>
        <v>Yes</v>
      </c>
      <c r="Z231" s="14">
        <v>3</v>
      </c>
      <c r="AA231" s="18">
        <f t="shared" si="51"/>
        <v>3</v>
      </c>
      <c r="AB231" s="18" t="str">
        <f t="shared" si="52"/>
        <v>No</v>
      </c>
      <c r="AC231" s="9" t="s">
        <v>967</v>
      </c>
      <c r="AD231">
        <f>IF(AC231="",0,LEN(AC231)-LEN(SUBSTITUTE(AC231,",",""))+1)</f>
        <v>7</v>
      </c>
    </row>
    <row r="232" spans="1:30" ht="12.5" x14ac:dyDescent="0.25">
      <c r="A232" s="1" t="s">
        <v>968</v>
      </c>
      <c r="B232" s="1" t="s">
        <v>969</v>
      </c>
      <c r="C232" s="1" t="str">
        <v>Amy Wade</v>
      </c>
      <c r="D232" s="1" t="s">
        <v>970</v>
      </c>
      <c r="E232" s="1" t="str">
        <v>smithderrick@martin.net</v>
      </c>
      <c r="F232" t="str">
        <f t="shared" si="41"/>
        <v>Valid</v>
      </c>
      <c r="G232" s="1" t="s">
        <v>57</v>
      </c>
      <c r="H232" s="1" t="str">
        <f t="shared" si="42"/>
        <v>Female</v>
      </c>
      <c r="I232" s="1" t="s">
        <v>74</v>
      </c>
      <c r="J232" t="str">
        <f t="shared" si="43"/>
        <v>USA</v>
      </c>
      <c r="K232" s="14">
        <v>0</v>
      </c>
      <c r="L232" s="1">
        <f t="shared" si="44"/>
        <v>19</v>
      </c>
      <c r="M232" s="1" t="str">
        <f t="shared" si="45"/>
        <v>Student</v>
      </c>
      <c r="N232" s="9">
        <v>44791</v>
      </c>
      <c r="O232" s="1" t="s">
        <v>158</v>
      </c>
      <c r="P232" s="1" t="s">
        <v>59</v>
      </c>
      <c r="Q232" s="4">
        <v>0.99</v>
      </c>
      <c r="R232" s="13">
        <f t="shared" si="46"/>
        <v>99</v>
      </c>
      <c r="S232" s="6">
        <f t="shared" si="40"/>
        <v>0.99</v>
      </c>
      <c r="T232" s="1">
        <v>1.5</v>
      </c>
      <c r="U232" s="1">
        <f t="shared" si="47"/>
        <v>1.5</v>
      </c>
      <c r="V232" s="1">
        <f t="shared" si="48"/>
        <v>69.75</v>
      </c>
      <c r="W232" s="10" t="str">
        <f t="shared" si="49"/>
        <v>Medium</v>
      </c>
      <c r="X232" s="1" t="s">
        <v>76</v>
      </c>
      <c r="Y232" s="1" t="str">
        <f t="shared" si="50"/>
        <v>Yes</v>
      </c>
      <c r="Z232" s="14">
        <v>2</v>
      </c>
      <c r="AA232" s="18">
        <f t="shared" si="51"/>
        <v>2</v>
      </c>
      <c r="AB232" s="18" t="str">
        <f t="shared" si="52"/>
        <v>No</v>
      </c>
      <c r="AC232" s="9" t="s">
        <v>91</v>
      </c>
      <c r="AD232">
        <f>IF(AC232="",0,LEN(AC232)-LEN(SUBSTITUTE(AC232,",",""))+1)</f>
        <v>3</v>
      </c>
    </row>
    <row r="233" spans="1:30" ht="12.5" x14ac:dyDescent="0.25">
      <c r="A233" s="1" t="s">
        <v>971</v>
      </c>
      <c r="B233" s="1" t="s">
        <v>972</v>
      </c>
      <c r="C233" s="1" t="str">
        <v>Cameron Norman</v>
      </c>
      <c r="D233" s="1" t="s">
        <v>973</v>
      </c>
      <c r="E233" s="1" t="str">
        <v>wiseanthony@yahoo.com</v>
      </c>
      <c r="F233" t="str">
        <f t="shared" si="41"/>
        <v>Valid</v>
      </c>
      <c r="G233" s="1" t="s">
        <v>57</v>
      </c>
      <c r="H233" s="1" t="str">
        <f t="shared" si="42"/>
        <v>Female</v>
      </c>
      <c r="I233" s="1" t="s">
        <v>74</v>
      </c>
      <c r="J233" t="str">
        <f t="shared" si="43"/>
        <v>USA</v>
      </c>
      <c r="L233" s="1">
        <f t="shared" si="44"/>
        <v>19</v>
      </c>
      <c r="M233" s="1" t="str">
        <f t="shared" si="45"/>
        <v>Student</v>
      </c>
      <c r="N233" s="9">
        <v>45461</v>
      </c>
      <c r="O233" s="1" t="s">
        <v>19</v>
      </c>
      <c r="P233" s="1" t="s">
        <v>20</v>
      </c>
      <c r="Q233" s="4">
        <v>0.16</v>
      </c>
      <c r="R233" s="13">
        <f t="shared" si="46"/>
        <v>16</v>
      </c>
      <c r="S233" s="6">
        <f t="shared" si="40"/>
        <v>0.16</v>
      </c>
      <c r="T233" s="1" t="s">
        <v>46</v>
      </c>
      <c r="U233" s="1">
        <f t="shared" si="47"/>
        <v>1</v>
      </c>
      <c r="V233" s="1">
        <f t="shared" si="48"/>
        <v>11.5</v>
      </c>
      <c r="W233" s="10" t="str">
        <f t="shared" si="49"/>
        <v>Low</v>
      </c>
      <c r="X233" s="1">
        <v>1</v>
      </c>
      <c r="Y233" s="1" t="str">
        <f t="shared" si="50"/>
        <v>Yes</v>
      </c>
      <c r="Z233" s="14">
        <v>1</v>
      </c>
      <c r="AA233" s="18">
        <f t="shared" si="51"/>
        <v>1</v>
      </c>
      <c r="AB233" s="18" t="str">
        <f t="shared" si="52"/>
        <v>No</v>
      </c>
      <c r="AC233" s="9" t="s">
        <v>974</v>
      </c>
      <c r="AD233">
        <f>IF(AC233="",0,LEN(AC233)-LEN(SUBSTITUTE(AC233,",",""))+1)</f>
        <v>4</v>
      </c>
    </row>
    <row r="234" spans="1:30" ht="12.5" x14ac:dyDescent="0.25">
      <c r="A234" s="1" t="s">
        <v>975</v>
      </c>
      <c r="B234" s="1" t="s">
        <v>976</v>
      </c>
      <c r="C234" s="1" t="str">
        <v>Lori Crawford</v>
      </c>
      <c r="D234" s="1" t="s">
        <v>977</v>
      </c>
      <c r="E234" s="1" t="str">
        <v>porterashley@yahoo.com</v>
      </c>
      <c r="F234" t="str">
        <f t="shared" si="41"/>
        <v>Valid</v>
      </c>
      <c r="G234" s="1" t="s">
        <v>109</v>
      </c>
      <c r="H234" s="1" t="str">
        <f t="shared" si="42"/>
        <v>Male</v>
      </c>
      <c r="I234" s="1" t="s">
        <v>44</v>
      </c>
      <c r="J234" t="str">
        <f t="shared" si="43"/>
        <v>CANADA</v>
      </c>
      <c r="L234" s="1">
        <f t="shared" si="44"/>
        <v>19</v>
      </c>
      <c r="M234" s="1" t="str">
        <f t="shared" si="45"/>
        <v>Student</v>
      </c>
      <c r="N234" s="2">
        <v>44991</v>
      </c>
      <c r="O234" s="1" t="s">
        <v>114</v>
      </c>
      <c r="P234" s="1" t="s">
        <v>59</v>
      </c>
      <c r="Q234" s="4">
        <v>0.87</v>
      </c>
      <c r="R234" s="13">
        <f t="shared" si="46"/>
        <v>87</v>
      </c>
      <c r="S234" s="6">
        <f t="shared" si="40"/>
        <v>0.87</v>
      </c>
      <c r="T234" s="1" t="s">
        <v>64</v>
      </c>
      <c r="U234" s="1">
        <f t="shared" si="47"/>
        <v>2</v>
      </c>
      <c r="V234" s="1">
        <f t="shared" si="48"/>
        <v>61.5</v>
      </c>
      <c r="W234" s="10" t="str">
        <f t="shared" si="49"/>
        <v>Medium</v>
      </c>
      <c r="X234" s="1" t="s">
        <v>76</v>
      </c>
      <c r="Y234" s="1" t="str">
        <f t="shared" si="50"/>
        <v>Yes</v>
      </c>
      <c r="Z234" s="14">
        <v>4</v>
      </c>
      <c r="AA234" s="18">
        <f t="shared" si="51"/>
        <v>4</v>
      </c>
      <c r="AB234" s="18" t="str">
        <f t="shared" si="52"/>
        <v>High Performer</v>
      </c>
      <c r="AC234" s="9" t="s">
        <v>978</v>
      </c>
      <c r="AD234">
        <f>IF(AC234="",0,LEN(AC234)-LEN(SUBSTITUTE(AC234,",",""))+1)</f>
        <v>7</v>
      </c>
    </row>
    <row r="235" spans="1:30" ht="12.5" x14ac:dyDescent="0.25">
      <c r="A235" s="1" t="s">
        <v>979</v>
      </c>
      <c r="B235" s="1" t="s">
        <v>980</v>
      </c>
      <c r="C235" s="1" t="str">
        <v>Miranda Perez</v>
      </c>
      <c r="D235" s="1" t="s">
        <v>981</v>
      </c>
      <c r="E235" s="1" t="str">
        <v>trevinoalexander@ruiz.com</v>
      </c>
      <c r="F235" t="str">
        <f t="shared" si="41"/>
        <v>Valid</v>
      </c>
      <c r="G235" s="1" t="s">
        <v>88</v>
      </c>
      <c r="H235" s="1" t="str">
        <f t="shared" si="42"/>
        <v>Male</v>
      </c>
      <c r="I235" s="1" t="s">
        <v>51</v>
      </c>
      <c r="J235" t="str">
        <f t="shared" si="43"/>
        <v>UK</v>
      </c>
      <c r="K235" s="14">
        <v>31</v>
      </c>
      <c r="L235" s="1">
        <f t="shared" si="44"/>
        <v>31</v>
      </c>
      <c r="M235" s="1" t="str">
        <f t="shared" si="45"/>
        <v>Mid Career</v>
      </c>
      <c r="N235" s="2">
        <v>44754</v>
      </c>
      <c r="O235" s="1" t="s">
        <v>30</v>
      </c>
      <c r="P235" s="1" t="s">
        <v>31</v>
      </c>
      <c r="Q235" s="4">
        <v>0.52</v>
      </c>
      <c r="R235" s="13">
        <f t="shared" si="46"/>
        <v>52</v>
      </c>
      <c r="S235" s="6">
        <f t="shared" si="40"/>
        <v>0.52</v>
      </c>
      <c r="T235" s="1" t="s">
        <v>46</v>
      </c>
      <c r="U235" s="1">
        <f t="shared" si="47"/>
        <v>1</v>
      </c>
      <c r="V235" s="1">
        <f t="shared" si="48"/>
        <v>36.699999999999996</v>
      </c>
      <c r="W235" s="10" t="str">
        <f t="shared" si="49"/>
        <v>Low</v>
      </c>
      <c r="X235" s="1">
        <v>1</v>
      </c>
      <c r="Y235" s="1" t="str">
        <f t="shared" si="50"/>
        <v>Yes</v>
      </c>
      <c r="Z235" s="14">
        <v>5</v>
      </c>
      <c r="AA235" s="18">
        <f t="shared" si="51"/>
        <v>5</v>
      </c>
      <c r="AB235" s="18" t="str">
        <f t="shared" si="52"/>
        <v>High Performer</v>
      </c>
      <c r="AC235" s="9" t="s">
        <v>982</v>
      </c>
      <c r="AD235">
        <f>IF(AC235="",0,LEN(AC235)-LEN(SUBSTITUTE(AC235,",",""))+1)</f>
        <v>4</v>
      </c>
    </row>
    <row r="236" spans="1:30" ht="12.5" x14ac:dyDescent="0.25">
      <c r="A236" s="1" t="s">
        <v>983</v>
      </c>
      <c r="B236" s="1" t="s">
        <v>984</v>
      </c>
      <c r="C236" s="1" t="str">
        <v>Suzanne Yang</v>
      </c>
      <c r="D236" s="1" t="s">
        <v>985</v>
      </c>
      <c r="E236" s="1" t="str">
        <v>marcbutler@hotmail.com</v>
      </c>
      <c r="F236" t="str">
        <f t="shared" si="41"/>
        <v>Valid</v>
      </c>
      <c r="G236" s="1" t="s">
        <v>57</v>
      </c>
      <c r="H236" s="1" t="str">
        <f t="shared" si="42"/>
        <v>Female</v>
      </c>
      <c r="I236" s="1" t="s">
        <v>18</v>
      </c>
      <c r="J236" t="str">
        <f t="shared" si="43"/>
        <v>US</v>
      </c>
      <c r="K236" s="14">
        <v>26</v>
      </c>
      <c r="L236" s="1">
        <f t="shared" si="44"/>
        <v>26</v>
      </c>
      <c r="M236" s="1" t="str">
        <f t="shared" si="45"/>
        <v>Early Career</v>
      </c>
      <c r="N236" s="2">
        <v>45200</v>
      </c>
      <c r="O236" s="1" t="s">
        <v>146</v>
      </c>
      <c r="P236" s="1" t="s">
        <v>147</v>
      </c>
      <c r="Q236" s="4">
        <v>45</v>
      </c>
      <c r="R236" s="13">
        <f t="shared" si="46"/>
        <v>45</v>
      </c>
      <c r="S236" s="6">
        <f t="shared" si="40"/>
        <v>0.45</v>
      </c>
      <c r="T236" s="1" t="s">
        <v>64</v>
      </c>
      <c r="U236" s="1">
        <f t="shared" si="47"/>
        <v>2</v>
      </c>
      <c r="V236" s="1">
        <f t="shared" si="48"/>
        <v>32.099999999999994</v>
      </c>
      <c r="W236" s="10" t="str">
        <f t="shared" si="49"/>
        <v>Low</v>
      </c>
      <c r="X236" s="1">
        <v>1</v>
      </c>
      <c r="Y236" s="1" t="str">
        <f t="shared" si="50"/>
        <v>Yes</v>
      </c>
      <c r="Z236" s="14">
        <v>4</v>
      </c>
      <c r="AA236" s="18">
        <f t="shared" si="51"/>
        <v>4</v>
      </c>
      <c r="AB236" s="18" t="str">
        <f t="shared" si="52"/>
        <v>High Performer</v>
      </c>
      <c r="AC236" s="9">
        <v>45200</v>
      </c>
      <c r="AD236">
        <f>IF(AC236="",0,LEN(AC236)-LEN(SUBSTITUTE(AC236,",",""))+1)</f>
        <v>1</v>
      </c>
    </row>
    <row r="237" spans="1:30" ht="12.5" x14ac:dyDescent="0.25">
      <c r="A237" s="1" t="s">
        <v>986</v>
      </c>
      <c r="B237" s="1" t="s">
        <v>987</v>
      </c>
      <c r="C237" s="1" t="str">
        <v>Jonathan Winters</v>
      </c>
      <c r="D237" s="1" t="s">
        <v>988</v>
      </c>
      <c r="E237" s="1" t="str">
        <v>lindajarvis@jones-marshall.com</v>
      </c>
      <c r="F237" t="str">
        <f t="shared" si="41"/>
        <v>Valid</v>
      </c>
      <c r="G237" s="1" t="s">
        <v>43</v>
      </c>
      <c r="H237" s="1" t="str">
        <f t="shared" si="42"/>
        <v>Female</v>
      </c>
      <c r="I237" s="1" t="s">
        <v>51</v>
      </c>
      <c r="J237" t="str">
        <f t="shared" si="43"/>
        <v>UK</v>
      </c>
      <c r="K237" s="14">
        <v>21</v>
      </c>
      <c r="L237" s="1">
        <f t="shared" si="44"/>
        <v>21</v>
      </c>
      <c r="M237" s="1" t="str">
        <f t="shared" si="45"/>
        <v>Student</v>
      </c>
      <c r="N237" s="9">
        <v>45155</v>
      </c>
      <c r="O237" s="1" t="s">
        <v>235</v>
      </c>
      <c r="P237" s="1" t="s">
        <v>147</v>
      </c>
      <c r="Q237" s="4">
        <v>60</v>
      </c>
      <c r="R237" s="13">
        <f t="shared" si="46"/>
        <v>60</v>
      </c>
      <c r="S237" s="6">
        <f t="shared" si="40"/>
        <v>0.6</v>
      </c>
      <c r="T237" s="1">
        <v>1.5</v>
      </c>
      <c r="U237" s="1">
        <f t="shared" si="47"/>
        <v>1.5</v>
      </c>
      <c r="V237" s="1">
        <f t="shared" si="48"/>
        <v>42.45</v>
      </c>
      <c r="W237" s="10" t="str">
        <f t="shared" si="49"/>
        <v>Medium</v>
      </c>
      <c r="X237" s="1" t="s">
        <v>32</v>
      </c>
      <c r="Y237" s="1" t="str">
        <f t="shared" si="50"/>
        <v>Yes</v>
      </c>
      <c r="Z237" s="14">
        <v>5</v>
      </c>
      <c r="AA237" s="18">
        <f t="shared" si="51"/>
        <v>5</v>
      </c>
      <c r="AB237" s="18" t="str">
        <f t="shared" si="52"/>
        <v>High Performer</v>
      </c>
      <c r="AC237" s="9" t="s">
        <v>990</v>
      </c>
      <c r="AD237">
        <f>IF(AC237="",0,LEN(AC237)-LEN(SUBSTITUTE(AC237,",",""))+1)</f>
        <v>5</v>
      </c>
    </row>
    <row r="238" spans="1:30" ht="12.5" x14ac:dyDescent="0.25">
      <c r="A238" s="1" t="s">
        <v>991</v>
      </c>
      <c r="B238" s="1" t="s">
        <v>992</v>
      </c>
      <c r="C238" s="1" t="str">
        <v>Curtis Elliott</v>
      </c>
      <c r="D238" s="1" t="s">
        <v>993</v>
      </c>
      <c r="E238" s="1" t="str">
        <v>stevenvargas@yahoo.com</v>
      </c>
      <c r="F238" t="str">
        <f t="shared" si="41"/>
        <v>Valid</v>
      </c>
      <c r="G238" s="1" t="s">
        <v>109</v>
      </c>
      <c r="H238" s="1" t="str">
        <f t="shared" si="42"/>
        <v>Male</v>
      </c>
      <c r="I238" s="1" t="s">
        <v>51</v>
      </c>
      <c r="J238" t="str">
        <f t="shared" si="43"/>
        <v>UK</v>
      </c>
      <c r="K238" s="14">
        <v>0</v>
      </c>
      <c r="L238" s="1">
        <f t="shared" si="44"/>
        <v>19</v>
      </c>
      <c r="M238" s="1" t="str">
        <f t="shared" si="45"/>
        <v>Student</v>
      </c>
      <c r="N238" s="2">
        <v>44965</v>
      </c>
      <c r="O238" s="1" t="s">
        <v>30</v>
      </c>
      <c r="P238" s="1" t="s">
        <v>31</v>
      </c>
      <c r="Q238" s="4">
        <v>0.49</v>
      </c>
      <c r="R238" s="13">
        <f t="shared" si="46"/>
        <v>49</v>
      </c>
      <c r="S238" s="6">
        <f t="shared" si="40"/>
        <v>0.49</v>
      </c>
      <c r="T238" s="1" t="s">
        <v>21</v>
      </c>
      <c r="U238" s="1">
        <f t="shared" si="47"/>
        <v>1.5</v>
      </c>
      <c r="V238" s="1">
        <f t="shared" si="48"/>
        <v>34.75</v>
      </c>
      <c r="W238" s="10" t="str">
        <f t="shared" si="49"/>
        <v>Low</v>
      </c>
      <c r="X238" s="1">
        <v>0</v>
      </c>
      <c r="Y238" s="1" t="str">
        <f t="shared" si="50"/>
        <v>No</v>
      </c>
      <c r="Z238" s="14">
        <v>3</v>
      </c>
      <c r="AA238" s="18">
        <f t="shared" si="51"/>
        <v>3</v>
      </c>
      <c r="AB238" s="18" t="str">
        <f t="shared" si="52"/>
        <v>No</v>
      </c>
      <c r="AC238" s="9">
        <v>44965</v>
      </c>
      <c r="AD238">
        <f>IF(AC238="",0,LEN(AC238)-LEN(SUBSTITUTE(AC238,",",""))+1)</f>
        <v>1</v>
      </c>
    </row>
    <row r="239" spans="1:30" ht="12.5" x14ac:dyDescent="0.25">
      <c r="A239" s="1" t="s">
        <v>994</v>
      </c>
      <c r="B239" s="1" t="s">
        <v>995</v>
      </c>
      <c r="C239" s="1" t="str">
        <v>Brittany Randolph</v>
      </c>
      <c r="D239" s="1" t="s">
        <v>996</v>
      </c>
      <c r="E239" s="1" t="str">
        <v>amberfields@wiley.biz</v>
      </c>
      <c r="F239" t="str">
        <f t="shared" si="41"/>
        <v>Valid</v>
      </c>
      <c r="G239" s="1" t="s">
        <v>119</v>
      </c>
      <c r="H239" s="1" t="str">
        <f t="shared" si="42"/>
        <v>Female</v>
      </c>
      <c r="I239" s="1" t="s">
        <v>96</v>
      </c>
      <c r="J239" t="str">
        <f t="shared" si="43"/>
        <v>INDIA</v>
      </c>
      <c r="K239" s="14">
        <v>27</v>
      </c>
      <c r="L239" s="1">
        <f t="shared" si="44"/>
        <v>27</v>
      </c>
      <c r="M239" s="1" t="str">
        <f t="shared" si="45"/>
        <v>Early Career</v>
      </c>
      <c r="N239" s="2">
        <v>45018</v>
      </c>
      <c r="O239" s="1" t="s">
        <v>75</v>
      </c>
      <c r="P239" s="1" t="s">
        <v>37</v>
      </c>
      <c r="Q239" s="4">
        <v>72</v>
      </c>
      <c r="R239" s="13">
        <f t="shared" si="46"/>
        <v>72</v>
      </c>
      <c r="S239" s="6">
        <f t="shared" si="40"/>
        <v>0.72</v>
      </c>
      <c r="T239" s="1" t="s">
        <v>46</v>
      </c>
      <c r="U239" s="1">
        <f t="shared" si="47"/>
        <v>1</v>
      </c>
      <c r="V239" s="1">
        <f t="shared" si="48"/>
        <v>50.699999999999996</v>
      </c>
      <c r="W239" s="10" t="str">
        <f t="shared" si="49"/>
        <v>Medium</v>
      </c>
      <c r="X239" s="1" t="s">
        <v>76</v>
      </c>
      <c r="Y239" s="1" t="str">
        <f t="shared" si="50"/>
        <v>Yes</v>
      </c>
      <c r="Z239" s="14">
        <v>5</v>
      </c>
      <c r="AA239" s="18">
        <f t="shared" si="51"/>
        <v>5</v>
      </c>
      <c r="AB239" s="18" t="str">
        <f t="shared" si="52"/>
        <v>High Performer</v>
      </c>
      <c r="AC239" s="9">
        <v>45018</v>
      </c>
      <c r="AD239">
        <f>IF(AC239="",0,LEN(AC239)-LEN(SUBSTITUTE(AC239,",",""))+1)</f>
        <v>1</v>
      </c>
    </row>
    <row r="240" spans="1:30" ht="12.5" x14ac:dyDescent="0.25">
      <c r="A240" s="1" t="s">
        <v>997</v>
      </c>
      <c r="B240" s="1" t="s">
        <v>998</v>
      </c>
      <c r="C240" s="1" t="str">
        <v>Johnathan Brown</v>
      </c>
      <c r="D240" s="1" t="s">
        <v>999</v>
      </c>
      <c r="E240" s="1" t="str">
        <v>christopher38@haynes-watson.com</v>
      </c>
      <c r="F240" t="str">
        <f t="shared" si="41"/>
        <v>Valid</v>
      </c>
      <c r="G240" s="1" t="s">
        <v>109</v>
      </c>
      <c r="H240" s="1" t="str">
        <f t="shared" si="42"/>
        <v>Male</v>
      </c>
      <c r="I240" s="1" t="s">
        <v>156</v>
      </c>
      <c r="J240" t="str">
        <f t="shared" si="43"/>
        <v>IN</v>
      </c>
      <c r="K240" s="14">
        <v>40</v>
      </c>
      <c r="L240" s="1">
        <f t="shared" si="44"/>
        <v>40</v>
      </c>
      <c r="M240" s="1" t="str">
        <f t="shared" si="45"/>
        <v>Mid Career</v>
      </c>
      <c r="N240" s="9">
        <v>45135</v>
      </c>
      <c r="O240" s="1" t="s">
        <v>19</v>
      </c>
      <c r="P240" s="1" t="s">
        <v>20</v>
      </c>
      <c r="Q240" s="4">
        <v>0</v>
      </c>
      <c r="R240" s="13">
        <f t="shared" si="46"/>
        <v>0</v>
      </c>
      <c r="S240" s="6">
        <f t="shared" si="40"/>
        <v>0</v>
      </c>
      <c r="T240" s="1">
        <v>1.5</v>
      </c>
      <c r="U240" s="1">
        <f t="shared" si="47"/>
        <v>1.5</v>
      </c>
      <c r="V240" s="1">
        <f t="shared" si="48"/>
        <v>0.44999999999999996</v>
      </c>
      <c r="W240" s="10" t="str">
        <f t="shared" si="49"/>
        <v>Low</v>
      </c>
      <c r="X240" s="1" t="s">
        <v>32</v>
      </c>
      <c r="Y240" s="1" t="str">
        <f t="shared" si="50"/>
        <v>Yes</v>
      </c>
      <c r="Z240" s="14">
        <v>3</v>
      </c>
      <c r="AA240" s="18">
        <f t="shared" si="51"/>
        <v>3</v>
      </c>
      <c r="AB240" s="18" t="str">
        <f t="shared" si="52"/>
        <v>No</v>
      </c>
      <c r="AC240" s="9" t="s">
        <v>1000</v>
      </c>
      <c r="AD240">
        <f>IF(AC240="",0,LEN(AC240)-LEN(SUBSTITUTE(AC240,",",""))+1)</f>
        <v>4</v>
      </c>
    </row>
    <row r="241" spans="1:30" ht="12.5" x14ac:dyDescent="0.25">
      <c r="A241" s="1" t="s">
        <v>1001</v>
      </c>
      <c r="B241" s="1" t="s">
        <v>1002</v>
      </c>
      <c r="C241" s="1" t="str">
        <v>Angela Bradley</v>
      </c>
      <c r="D241" s="1" t="s">
        <v>1003</v>
      </c>
      <c r="E241" s="1" t="str">
        <v>joelgreen@yahoo.com</v>
      </c>
      <c r="F241" t="str">
        <f t="shared" si="41"/>
        <v>Valid</v>
      </c>
      <c r="G241" s="1" t="s">
        <v>57</v>
      </c>
      <c r="H241" s="1" t="str">
        <f t="shared" si="42"/>
        <v>Female</v>
      </c>
      <c r="I241" s="1" t="s">
        <v>74</v>
      </c>
      <c r="J241" t="str">
        <f t="shared" si="43"/>
        <v>USA</v>
      </c>
      <c r="K241" s="14">
        <v>0</v>
      </c>
      <c r="L241" s="1">
        <f t="shared" si="44"/>
        <v>19</v>
      </c>
      <c r="M241" s="1" t="str">
        <f t="shared" si="45"/>
        <v>Student</v>
      </c>
      <c r="N241" s="9">
        <v>45560</v>
      </c>
      <c r="O241" s="1" t="s">
        <v>19</v>
      </c>
      <c r="P241" s="1" t="s">
        <v>20</v>
      </c>
      <c r="Q241" s="4">
        <v>18</v>
      </c>
      <c r="R241" s="13">
        <f t="shared" si="46"/>
        <v>18</v>
      </c>
      <c r="S241" s="6">
        <f t="shared" si="40"/>
        <v>0.18</v>
      </c>
      <c r="T241" s="1">
        <v>45</v>
      </c>
      <c r="U241" s="1">
        <f t="shared" si="47"/>
        <v>45</v>
      </c>
      <c r="V241" s="1">
        <f t="shared" si="48"/>
        <v>26.1</v>
      </c>
      <c r="W241" s="10" t="str">
        <f t="shared" si="49"/>
        <v>Low</v>
      </c>
      <c r="X241" s="1" t="s">
        <v>38</v>
      </c>
      <c r="Y241" s="1" t="str">
        <f t="shared" si="50"/>
        <v>No</v>
      </c>
      <c r="Z241" s="14">
        <v>6</v>
      </c>
      <c r="AA241" s="18">
        <f t="shared" si="51"/>
        <v>6</v>
      </c>
      <c r="AB241" s="18" t="str">
        <f t="shared" si="52"/>
        <v>No</v>
      </c>
      <c r="AC241" s="9" t="s">
        <v>1004</v>
      </c>
      <c r="AD241">
        <f>IF(AC241="",0,LEN(AC241)-LEN(SUBSTITUTE(AC241,",",""))+1)</f>
        <v>3</v>
      </c>
    </row>
    <row r="242" spans="1:30" ht="12.5" x14ac:dyDescent="0.25">
      <c r="A242" s="1" t="s">
        <v>1005</v>
      </c>
      <c r="B242" s="1" t="s">
        <v>1006</v>
      </c>
      <c r="C242" s="1" t="str">
        <v>Dillon Jones</v>
      </c>
      <c r="D242" s="1" t="s">
        <v>1007</v>
      </c>
      <c r="E242" s="1" t="str">
        <v>kimberlyrichards@garcia.info</v>
      </c>
      <c r="F242" t="str">
        <f t="shared" si="41"/>
        <v>Valid</v>
      </c>
      <c r="G242" s="1" t="s">
        <v>119</v>
      </c>
      <c r="H242" s="1" t="str">
        <f t="shared" si="42"/>
        <v>Female</v>
      </c>
      <c r="I242" s="1" t="s">
        <v>156</v>
      </c>
      <c r="J242" t="str">
        <f t="shared" si="43"/>
        <v>IN</v>
      </c>
      <c r="K242" s="14">
        <v>0</v>
      </c>
      <c r="L242" s="1">
        <f t="shared" si="44"/>
        <v>19</v>
      </c>
      <c r="M242" s="1" t="str">
        <f t="shared" si="45"/>
        <v>Student</v>
      </c>
      <c r="N242" s="2">
        <v>45150</v>
      </c>
      <c r="O242" s="1" t="s">
        <v>90</v>
      </c>
      <c r="P242" s="1" t="s">
        <v>31</v>
      </c>
      <c r="Q242" s="4">
        <v>0.2</v>
      </c>
      <c r="R242" s="13">
        <f t="shared" si="46"/>
        <v>20</v>
      </c>
      <c r="S242" s="6">
        <f t="shared" si="40"/>
        <v>0.2</v>
      </c>
      <c r="T242" s="1">
        <v>2</v>
      </c>
      <c r="U242" s="1">
        <f t="shared" si="47"/>
        <v>2</v>
      </c>
      <c r="V242" s="1">
        <f t="shared" si="48"/>
        <v>14.6</v>
      </c>
      <c r="W242" s="10" t="str">
        <f t="shared" si="49"/>
        <v>Low</v>
      </c>
      <c r="X242" s="1">
        <v>0</v>
      </c>
      <c r="Y242" s="1" t="str">
        <f t="shared" si="50"/>
        <v>No</v>
      </c>
      <c r="AA242" s="18" t="str">
        <f t="shared" si="51"/>
        <v>Invalid</v>
      </c>
      <c r="AB242" s="18" t="str">
        <f t="shared" si="52"/>
        <v>No</v>
      </c>
      <c r="AC242" s="9" t="s">
        <v>1008</v>
      </c>
      <c r="AD242">
        <f>IF(AC242="",0,LEN(AC242)-LEN(SUBSTITUTE(AC242,",",""))+1)</f>
        <v>6</v>
      </c>
    </row>
    <row r="243" spans="1:30" ht="12.5" x14ac:dyDescent="0.25">
      <c r="A243" s="1" t="s">
        <v>1009</v>
      </c>
      <c r="B243" s="1" t="s">
        <v>1010</v>
      </c>
      <c r="C243" s="1" t="str">
        <v>Christine Parker</v>
      </c>
      <c r="D243" s="1" t="s">
        <v>1011</v>
      </c>
      <c r="E243" s="1" t="str">
        <v>davislindsey@yahoo.com</v>
      </c>
      <c r="F243" t="str">
        <f t="shared" si="41"/>
        <v>Valid</v>
      </c>
      <c r="G243" s="1" t="s">
        <v>109</v>
      </c>
      <c r="H243" s="1" t="str">
        <f t="shared" si="42"/>
        <v>Male</v>
      </c>
      <c r="I243" s="1" t="s">
        <v>51</v>
      </c>
      <c r="J243" t="str">
        <f t="shared" si="43"/>
        <v>UK</v>
      </c>
      <c r="K243" s="14">
        <v>41</v>
      </c>
      <c r="L243" s="1">
        <f t="shared" si="44"/>
        <v>41</v>
      </c>
      <c r="M243" s="1" t="str">
        <f t="shared" si="45"/>
        <v>Senior</v>
      </c>
      <c r="N243" s="2">
        <v>45115</v>
      </c>
      <c r="O243" s="1" t="s">
        <v>69</v>
      </c>
      <c r="P243" s="1" t="s">
        <v>31</v>
      </c>
      <c r="Q243" s="4">
        <v>0.22</v>
      </c>
      <c r="R243" s="13">
        <f t="shared" si="46"/>
        <v>22</v>
      </c>
      <c r="S243" s="6">
        <f t="shared" si="40"/>
        <v>0.22</v>
      </c>
      <c r="T243" s="1" t="s">
        <v>46</v>
      </c>
      <c r="U243" s="1">
        <f t="shared" si="47"/>
        <v>1</v>
      </c>
      <c r="V243" s="1">
        <f t="shared" si="48"/>
        <v>15.7</v>
      </c>
      <c r="W243" s="10" t="str">
        <f t="shared" si="49"/>
        <v>Low</v>
      </c>
      <c r="X243" s="1">
        <v>1</v>
      </c>
      <c r="Y243" s="1" t="str">
        <f t="shared" si="50"/>
        <v>Yes</v>
      </c>
      <c r="Z243" s="14">
        <v>4</v>
      </c>
      <c r="AA243" s="18">
        <f t="shared" si="51"/>
        <v>4</v>
      </c>
      <c r="AB243" s="18" t="str">
        <f t="shared" si="52"/>
        <v>High Performer</v>
      </c>
      <c r="AC243" s="9" t="s">
        <v>1012</v>
      </c>
      <c r="AD243">
        <f>IF(AC243="",0,LEN(AC243)-LEN(SUBSTITUTE(AC243,",",""))+1)</f>
        <v>4</v>
      </c>
    </row>
    <row r="244" spans="1:30" ht="12.5" x14ac:dyDescent="0.25">
      <c r="A244" s="1" t="s">
        <v>1013</v>
      </c>
      <c r="B244" s="1" t="s">
        <v>1014</v>
      </c>
      <c r="C244" s="1" t="str">
        <v>Erin Davis</v>
      </c>
      <c r="D244" s="1" t="s">
        <v>1015</v>
      </c>
      <c r="E244" s="1" t="str">
        <v>randy04@wilkins-thompson.biz</v>
      </c>
      <c r="F244" t="str">
        <f t="shared" si="41"/>
        <v>Valid</v>
      </c>
      <c r="G244" s="1" t="s">
        <v>119</v>
      </c>
      <c r="H244" s="1" t="str">
        <f t="shared" si="42"/>
        <v>Female</v>
      </c>
      <c r="I244" s="1" t="s">
        <v>51</v>
      </c>
      <c r="J244" t="str">
        <f t="shared" si="43"/>
        <v>UK</v>
      </c>
      <c r="K244" s="14">
        <v>0</v>
      </c>
      <c r="L244" s="1">
        <f t="shared" si="44"/>
        <v>19</v>
      </c>
      <c r="M244" s="1" t="str">
        <f t="shared" si="45"/>
        <v>Student</v>
      </c>
      <c r="N244" s="2">
        <v>45781</v>
      </c>
      <c r="O244" s="1" t="s">
        <v>114</v>
      </c>
      <c r="P244" s="1" t="s">
        <v>59</v>
      </c>
      <c r="Q244" s="4">
        <v>0.78</v>
      </c>
      <c r="R244" s="13">
        <f t="shared" si="46"/>
        <v>78</v>
      </c>
      <c r="S244" s="6">
        <f t="shared" si="40"/>
        <v>0.78</v>
      </c>
      <c r="T244" s="1" t="s">
        <v>21</v>
      </c>
      <c r="U244" s="1">
        <f t="shared" si="47"/>
        <v>1.5</v>
      </c>
      <c r="V244" s="1">
        <f t="shared" si="48"/>
        <v>55.05</v>
      </c>
      <c r="W244" s="10" t="str">
        <f t="shared" si="49"/>
        <v>Medium</v>
      </c>
      <c r="X244" s="1" t="s">
        <v>32</v>
      </c>
      <c r="Y244" s="1" t="str">
        <f t="shared" si="50"/>
        <v>Yes</v>
      </c>
      <c r="Z244" s="14">
        <v>2</v>
      </c>
      <c r="AA244" s="18">
        <f t="shared" si="51"/>
        <v>2</v>
      </c>
      <c r="AB244" s="18" t="str">
        <f t="shared" si="52"/>
        <v>No</v>
      </c>
      <c r="AC244" s="9">
        <v>45781</v>
      </c>
      <c r="AD244">
        <f>IF(AC244="",0,LEN(AC244)-LEN(SUBSTITUTE(AC244,",",""))+1)</f>
        <v>1</v>
      </c>
    </row>
    <row r="245" spans="1:30" ht="12.5" x14ac:dyDescent="0.25">
      <c r="A245" s="1" t="s">
        <v>1016</v>
      </c>
      <c r="B245" s="1" t="s">
        <v>1017</v>
      </c>
      <c r="C245" s="1" t="str">
        <v>Brian Leon</v>
      </c>
      <c r="D245" s="1" t="s">
        <v>1018</v>
      </c>
      <c r="E245" s="1" t="str">
        <v>brownkimberly@anderson.com</v>
      </c>
      <c r="F245" t="str">
        <f t="shared" si="41"/>
        <v>Valid</v>
      </c>
      <c r="G245" s="1" t="s">
        <v>43</v>
      </c>
      <c r="H245" s="1" t="str">
        <f t="shared" si="42"/>
        <v>Female</v>
      </c>
      <c r="I245" s="1" t="s">
        <v>74</v>
      </c>
      <c r="J245" t="str">
        <f t="shared" si="43"/>
        <v>USA</v>
      </c>
      <c r="L245" s="1">
        <f t="shared" si="44"/>
        <v>19</v>
      </c>
      <c r="M245" s="1" t="str">
        <f t="shared" si="45"/>
        <v>Student</v>
      </c>
      <c r="N245" s="2">
        <v>45538</v>
      </c>
      <c r="O245" s="1" t="s">
        <v>36</v>
      </c>
      <c r="P245" s="1" t="s">
        <v>37</v>
      </c>
      <c r="Q245" s="4">
        <v>0.93</v>
      </c>
      <c r="R245" s="13">
        <f t="shared" si="46"/>
        <v>93</v>
      </c>
      <c r="S245" s="6">
        <f t="shared" si="40"/>
        <v>0.93</v>
      </c>
      <c r="T245" s="1" t="s">
        <v>46</v>
      </c>
      <c r="U245" s="1">
        <f t="shared" si="47"/>
        <v>1</v>
      </c>
      <c r="V245" s="1">
        <f t="shared" si="48"/>
        <v>65.399999999999991</v>
      </c>
      <c r="W245" s="10" t="str">
        <f t="shared" si="49"/>
        <v>Medium</v>
      </c>
      <c r="X245" s="1">
        <v>0</v>
      </c>
      <c r="Y245" s="1" t="str">
        <f t="shared" si="50"/>
        <v>No</v>
      </c>
      <c r="Z245" s="14">
        <v>3</v>
      </c>
      <c r="AA245" s="18">
        <f t="shared" si="51"/>
        <v>3</v>
      </c>
      <c r="AB245" s="18" t="str">
        <f t="shared" si="52"/>
        <v>No</v>
      </c>
      <c r="AC245" s="9" t="s">
        <v>1019</v>
      </c>
      <c r="AD245">
        <f>IF(AC245="",0,LEN(AC245)-LEN(SUBSTITUTE(AC245,",",""))+1)</f>
        <v>2</v>
      </c>
    </row>
    <row r="246" spans="1:30" ht="12.5" x14ac:dyDescent="0.25">
      <c r="A246" s="1" t="s">
        <v>1020</v>
      </c>
      <c r="B246" s="1" t="s">
        <v>1021</v>
      </c>
      <c r="C246" s="1" t="str">
        <v>Deanna Hess</v>
      </c>
      <c r="D246" s="1" t="s">
        <v>1022</v>
      </c>
      <c r="E246" s="1" t="str">
        <v>gonzalezdebbie@davis.com</v>
      </c>
      <c r="F246" t="str">
        <f t="shared" si="41"/>
        <v>Valid</v>
      </c>
      <c r="G246" s="1" t="s">
        <v>88</v>
      </c>
      <c r="H246" s="1" t="str">
        <f t="shared" si="42"/>
        <v>Male</v>
      </c>
      <c r="I246" s="1" t="s">
        <v>74</v>
      </c>
      <c r="J246" t="str">
        <f t="shared" si="43"/>
        <v>USA</v>
      </c>
      <c r="L246" s="1">
        <f t="shared" si="44"/>
        <v>19</v>
      </c>
      <c r="M246" s="1" t="str">
        <f t="shared" si="45"/>
        <v>Student</v>
      </c>
      <c r="N246" s="2">
        <v>45872</v>
      </c>
      <c r="O246" s="1" t="s">
        <v>19</v>
      </c>
      <c r="P246" s="1" t="s">
        <v>20</v>
      </c>
      <c r="Q246" s="4">
        <v>21</v>
      </c>
      <c r="R246" s="13">
        <f t="shared" si="46"/>
        <v>21</v>
      </c>
      <c r="S246" s="6">
        <f t="shared" si="40"/>
        <v>0.21</v>
      </c>
      <c r="T246" s="1" t="s">
        <v>64</v>
      </c>
      <c r="U246" s="1">
        <f t="shared" si="47"/>
        <v>2</v>
      </c>
      <c r="V246" s="1">
        <f t="shared" si="48"/>
        <v>15.299999999999999</v>
      </c>
      <c r="W246" s="10" t="str">
        <f t="shared" si="49"/>
        <v>Low</v>
      </c>
      <c r="X246" s="1">
        <v>1</v>
      </c>
      <c r="Y246" s="1" t="str">
        <f t="shared" si="50"/>
        <v>Yes</v>
      </c>
      <c r="Z246" s="14">
        <v>4</v>
      </c>
      <c r="AA246" s="18">
        <f t="shared" si="51"/>
        <v>4</v>
      </c>
      <c r="AB246" s="18" t="str">
        <f t="shared" si="52"/>
        <v>High Performer</v>
      </c>
      <c r="AC246" s="9" t="s">
        <v>1023</v>
      </c>
      <c r="AD246">
        <f>IF(AC246="",0,LEN(AC246)-LEN(SUBSTITUTE(AC246,",",""))+1)</f>
        <v>7</v>
      </c>
    </row>
    <row r="247" spans="1:30" ht="12.5" x14ac:dyDescent="0.25">
      <c r="A247" s="1" t="s">
        <v>1024</v>
      </c>
      <c r="B247" s="1" t="s">
        <v>1025</v>
      </c>
      <c r="C247" s="1" t="str">
        <v>Jessica Ramsey</v>
      </c>
      <c r="D247" s="1" t="s">
        <v>1026</v>
      </c>
      <c r="E247" s="1" t="str">
        <v>reyesronald@yahoo.com</v>
      </c>
      <c r="F247" t="str">
        <f t="shared" si="41"/>
        <v>Valid</v>
      </c>
      <c r="G247" s="1" t="s">
        <v>17</v>
      </c>
      <c r="H247" s="1" t="str">
        <f t="shared" si="42"/>
        <v>Female</v>
      </c>
      <c r="I247" s="1" t="s">
        <v>74</v>
      </c>
      <c r="J247" t="str">
        <f t="shared" si="43"/>
        <v>USA</v>
      </c>
      <c r="K247" s="14">
        <v>28</v>
      </c>
      <c r="L247" s="1">
        <f t="shared" si="44"/>
        <v>28</v>
      </c>
      <c r="M247" s="1" t="str">
        <f t="shared" si="45"/>
        <v>Early Career</v>
      </c>
      <c r="N247" s="2">
        <v>44901</v>
      </c>
      <c r="O247" s="1" t="s">
        <v>235</v>
      </c>
      <c r="P247" s="1" t="s">
        <v>147</v>
      </c>
      <c r="Q247" s="4">
        <v>4</v>
      </c>
      <c r="R247" s="13">
        <f t="shared" si="46"/>
        <v>4</v>
      </c>
      <c r="S247" s="6">
        <f t="shared" si="40"/>
        <v>0.04</v>
      </c>
      <c r="T247" s="1">
        <v>1.5</v>
      </c>
      <c r="U247" s="1">
        <f t="shared" si="47"/>
        <v>1.5</v>
      </c>
      <c r="V247" s="1">
        <f t="shared" si="48"/>
        <v>3.25</v>
      </c>
      <c r="W247" s="10" t="str">
        <f t="shared" si="49"/>
        <v>Low</v>
      </c>
      <c r="X247" s="1" t="s">
        <v>22</v>
      </c>
      <c r="Y247" s="1" t="str">
        <f t="shared" si="50"/>
        <v>No</v>
      </c>
      <c r="Z247" s="14">
        <v>3</v>
      </c>
      <c r="AA247" s="18">
        <f t="shared" si="51"/>
        <v>3</v>
      </c>
      <c r="AB247" s="18" t="str">
        <f t="shared" si="52"/>
        <v>No</v>
      </c>
      <c r="AC247" s="9" t="s">
        <v>1027</v>
      </c>
      <c r="AD247">
        <f>IF(AC247="",0,LEN(AC247)-LEN(SUBSTITUTE(AC247,",",""))+1)</f>
        <v>8</v>
      </c>
    </row>
    <row r="248" spans="1:30" ht="12.5" x14ac:dyDescent="0.25">
      <c r="A248" s="1" t="s">
        <v>1028</v>
      </c>
      <c r="B248" s="1" t="s">
        <v>1029</v>
      </c>
      <c r="C248" s="1" t="str">
        <v>Charles Mendez</v>
      </c>
      <c r="D248" s="1" t="s">
        <v>1030</v>
      </c>
      <c r="E248" s="1" t="str">
        <v>victor87@miller.com</v>
      </c>
      <c r="F248" t="str">
        <f t="shared" si="41"/>
        <v>Valid</v>
      </c>
      <c r="G248" s="1" t="s">
        <v>109</v>
      </c>
      <c r="H248" s="1" t="str">
        <f t="shared" si="42"/>
        <v>Male</v>
      </c>
      <c r="I248" s="1" t="s">
        <v>18</v>
      </c>
      <c r="J248" t="str">
        <f t="shared" si="43"/>
        <v>US</v>
      </c>
      <c r="K248" s="14">
        <v>23</v>
      </c>
      <c r="L248" s="1">
        <f t="shared" si="44"/>
        <v>23</v>
      </c>
      <c r="M248" s="1" t="str">
        <f t="shared" si="45"/>
        <v>Early Career</v>
      </c>
      <c r="N248" s="2">
        <v>45080</v>
      </c>
      <c r="O248" s="1" t="s">
        <v>45</v>
      </c>
      <c r="P248" s="1" t="s">
        <v>20</v>
      </c>
      <c r="Q248" s="4">
        <v>0.78</v>
      </c>
      <c r="R248" s="13">
        <f t="shared" si="46"/>
        <v>78</v>
      </c>
      <c r="S248" s="6">
        <f t="shared" si="40"/>
        <v>0.78</v>
      </c>
      <c r="T248" s="1">
        <v>2</v>
      </c>
      <c r="U248" s="1">
        <f t="shared" si="47"/>
        <v>2</v>
      </c>
      <c r="V248" s="1">
        <f t="shared" si="48"/>
        <v>55.199999999999996</v>
      </c>
      <c r="W248" s="10" t="str">
        <f t="shared" si="49"/>
        <v>Medium</v>
      </c>
      <c r="X248" s="1" t="s">
        <v>22</v>
      </c>
      <c r="Y248" s="1" t="str">
        <f t="shared" si="50"/>
        <v>No</v>
      </c>
      <c r="Z248" s="14">
        <v>4</v>
      </c>
      <c r="AA248" s="18">
        <f t="shared" si="51"/>
        <v>4</v>
      </c>
      <c r="AB248" s="18" t="str">
        <f t="shared" si="52"/>
        <v>No</v>
      </c>
      <c r="AC248" s="9" t="s">
        <v>1031</v>
      </c>
      <c r="AD248">
        <f>IF(AC248="",0,LEN(AC248)-LEN(SUBSTITUTE(AC248,",",""))+1)</f>
        <v>2</v>
      </c>
    </row>
    <row r="249" spans="1:30" ht="12.5" x14ac:dyDescent="0.25">
      <c r="A249" s="1" t="s">
        <v>1032</v>
      </c>
      <c r="B249" s="1" t="s">
        <v>1033</v>
      </c>
      <c r="C249" s="1" t="str">
        <v>Lydia Pham</v>
      </c>
      <c r="D249" s="1" t="s">
        <v>1034</v>
      </c>
      <c r="E249" s="1" t="str">
        <v>wcasey@stephens-washington.org</v>
      </c>
      <c r="F249" t="str">
        <f t="shared" si="41"/>
        <v>Valid</v>
      </c>
      <c r="G249" s="1" t="s">
        <v>119</v>
      </c>
      <c r="H249" s="1" t="str">
        <f t="shared" si="42"/>
        <v>Female</v>
      </c>
      <c r="I249" s="1" t="s">
        <v>51</v>
      </c>
      <c r="J249" t="str">
        <f t="shared" si="43"/>
        <v>UK</v>
      </c>
      <c r="L249" s="1">
        <f t="shared" si="44"/>
        <v>19</v>
      </c>
      <c r="M249" s="1" t="str">
        <f t="shared" si="45"/>
        <v>Student</v>
      </c>
      <c r="N249" s="9">
        <v>45309</v>
      </c>
      <c r="O249" s="1" t="s">
        <v>170</v>
      </c>
      <c r="P249" s="1" t="s">
        <v>147</v>
      </c>
      <c r="Q249" s="4">
        <v>0.3</v>
      </c>
      <c r="R249" s="13">
        <f t="shared" si="46"/>
        <v>30</v>
      </c>
      <c r="S249" s="6">
        <f t="shared" si="40"/>
        <v>0.3</v>
      </c>
      <c r="T249" s="1" t="s">
        <v>46</v>
      </c>
      <c r="U249" s="1">
        <f t="shared" si="47"/>
        <v>1</v>
      </c>
      <c r="V249" s="1">
        <f t="shared" si="48"/>
        <v>21.3</v>
      </c>
      <c r="W249" s="10" t="str">
        <f t="shared" si="49"/>
        <v>Low</v>
      </c>
      <c r="X249" s="1" t="s">
        <v>76</v>
      </c>
      <c r="Y249" s="1" t="str">
        <f t="shared" si="50"/>
        <v>Yes</v>
      </c>
      <c r="Z249" s="14">
        <v>1</v>
      </c>
      <c r="AA249" s="18">
        <f t="shared" si="51"/>
        <v>1</v>
      </c>
      <c r="AB249" s="18" t="str">
        <f t="shared" si="52"/>
        <v>No</v>
      </c>
      <c r="AC249" s="9" t="s">
        <v>1035</v>
      </c>
      <c r="AD249">
        <f>IF(AC249="",0,LEN(AC249)-LEN(SUBSTITUTE(AC249,",",""))+1)</f>
        <v>5</v>
      </c>
    </row>
    <row r="250" spans="1:30" ht="12.5" x14ac:dyDescent="0.25">
      <c r="A250" s="1" t="s">
        <v>1036</v>
      </c>
      <c r="B250" s="1" t="s">
        <v>1037</v>
      </c>
      <c r="C250" s="1" t="str">
        <v>Kyle Johnson</v>
      </c>
      <c r="D250" s="1" t="s">
        <v>1038</v>
      </c>
      <c r="E250" s="1" t="str">
        <v>stokesthomas@yahoo.com</v>
      </c>
      <c r="F250" t="str">
        <f t="shared" si="41"/>
        <v>Valid</v>
      </c>
      <c r="G250" s="1" t="s">
        <v>119</v>
      </c>
      <c r="H250" s="1" t="str">
        <f t="shared" si="42"/>
        <v>Female</v>
      </c>
      <c r="I250" s="1" t="s">
        <v>74</v>
      </c>
      <c r="J250" t="str">
        <f t="shared" si="43"/>
        <v>USA</v>
      </c>
      <c r="L250" s="1">
        <f t="shared" si="44"/>
        <v>19</v>
      </c>
      <c r="M250" s="1" t="str">
        <f t="shared" si="45"/>
        <v>Student</v>
      </c>
      <c r="N250" s="9">
        <v>45438</v>
      </c>
      <c r="O250" s="1" t="s">
        <v>75</v>
      </c>
      <c r="P250" s="1" t="s">
        <v>37</v>
      </c>
      <c r="Q250" s="4">
        <v>0.26</v>
      </c>
      <c r="R250" s="13">
        <f t="shared" si="46"/>
        <v>26</v>
      </c>
      <c r="S250" s="6">
        <f t="shared" si="40"/>
        <v>0.26</v>
      </c>
      <c r="T250" s="1" t="s">
        <v>21</v>
      </c>
      <c r="U250" s="1">
        <f t="shared" si="47"/>
        <v>1.5</v>
      </c>
      <c r="V250" s="1">
        <f t="shared" si="48"/>
        <v>18.649999999999999</v>
      </c>
      <c r="W250" s="10" t="str">
        <f t="shared" si="49"/>
        <v>Low</v>
      </c>
      <c r="X250" s="1">
        <v>0</v>
      </c>
      <c r="Y250" s="1" t="str">
        <f t="shared" si="50"/>
        <v>No</v>
      </c>
      <c r="Z250" s="14">
        <v>2</v>
      </c>
      <c r="AA250" s="18">
        <f t="shared" si="51"/>
        <v>2</v>
      </c>
      <c r="AB250" s="18" t="str">
        <f t="shared" si="52"/>
        <v>No</v>
      </c>
      <c r="AC250" s="9" t="s">
        <v>1039</v>
      </c>
      <c r="AD250">
        <f>IF(AC250="",0,LEN(AC250)-LEN(SUBSTITUTE(AC250,",",""))+1)</f>
        <v>8</v>
      </c>
    </row>
    <row r="251" spans="1:30" ht="12.5" x14ac:dyDescent="0.25">
      <c r="A251" s="1" t="s">
        <v>1040</v>
      </c>
      <c r="B251" s="1" t="s">
        <v>1041</v>
      </c>
      <c r="C251" s="1" t="str">
        <v>Matthew Adams</v>
      </c>
      <c r="D251" s="1" t="s">
        <v>127</v>
      </c>
      <c r="E251" s="1" t="str">
        <v>invalid-email</v>
      </c>
      <c r="F251" t="str">
        <f t="shared" si="41"/>
        <v>Invalid</v>
      </c>
      <c r="G251" s="1" t="s">
        <v>119</v>
      </c>
      <c r="H251" s="1" t="str">
        <f t="shared" si="42"/>
        <v>Female</v>
      </c>
      <c r="I251" s="1" t="s">
        <v>136</v>
      </c>
      <c r="J251" t="str">
        <f t="shared" si="43"/>
        <v>UK</v>
      </c>
      <c r="K251" s="14">
        <v>26</v>
      </c>
      <c r="L251" s="1">
        <f t="shared" si="44"/>
        <v>26</v>
      </c>
      <c r="M251" s="1" t="str">
        <f t="shared" si="45"/>
        <v>Early Career</v>
      </c>
      <c r="N251" s="9">
        <v>45565</v>
      </c>
      <c r="O251" s="1" t="s">
        <v>36</v>
      </c>
      <c r="P251" s="1" t="s">
        <v>37</v>
      </c>
      <c r="Q251" s="4">
        <v>0.48</v>
      </c>
      <c r="R251" s="13">
        <f t="shared" si="46"/>
        <v>48</v>
      </c>
      <c r="S251" s="6">
        <f t="shared" si="40"/>
        <v>0.48</v>
      </c>
      <c r="T251" s="1" t="s">
        <v>21</v>
      </c>
      <c r="U251" s="1">
        <f t="shared" si="47"/>
        <v>1.5</v>
      </c>
      <c r="V251" s="1">
        <f t="shared" si="48"/>
        <v>34.049999999999997</v>
      </c>
      <c r="W251" s="10" t="str">
        <f t="shared" si="49"/>
        <v>Low</v>
      </c>
      <c r="X251" s="1">
        <v>1</v>
      </c>
      <c r="Y251" s="1" t="str">
        <f t="shared" si="50"/>
        <v>Yes</v>
      </c>
      <c r="Z251" s="14">
        <v>3</v>
      </c>
      <c r="AA251" s="18">
        <f t="shared" si="51"/>
        <v>3</v>
      </c>
      <c r="AB251" s="18" t="str">
        <f t="shared" si="52"/>
        <v>No</v>
      </c>
      <c r="AC251" s="9" t="s">
        <v>1042</v>
      </c>
      <c r="AD251">
        <f>IF(AC251="",0,LEN(AC251)-LEN(SUBSTITUTE(AC251,",",""))+1)</f>
        <v>7</v>
      </c>
    </row>
    <row r="252" spans="1:30" ht="12.5" x14ac:dyDescent="0.25">
      <c r="A252" s="1" t="s">
        <v>1043</v>
      </c>
      <c r="B252" s="1" t="s">
        <v>1044</v>
      </c>
      <c r="C252" s="1" t="str">
        <v>Vickie Price</v>
      </c>
      <c r="D252" s="1" t="s">
        <v>1045</v>
      </c>
      <c r="E252" s="1" t="str">
        <v>joelstewart@wolfe.com</v>
      </c>
      <c r="F252" t="str">
        <f t="shared" si="41"/>
        <v>Valid</v>
      </c>
      <c r="G252" s="1" t="s">
        <v>95</v>
      </c>
      <c r="H252" s="1" t="str">
        <f t="shared" si="42"/>
        <v>Male</v>
      </c>
      <c r="I252" s="1" t="s">
        <v>18</v>
      </c>
      <c r="J252" t="str">
        <f t="shared" si="43"/>
        <v>US</v>
      </c>
      <c r="K252" s="14">
        <v>0</v>
      </c>
      <c r="L252" s="1">
        <f t="shared" si="44"/>
        <v>19</v>
      </c>
      <c r="M252" s="1" t="str">
        <f t="shared" si="45"/>
        <v>Student</v>
      </c>
      <c r="N252" s="2">
        <v>44599</v>
      </c>
      <c r="O252" s="1" t="s">
        <v>19</v>
      </c>
      <c r="P252" s="1" t="s">
        <v>20</v>
      </c>
      <c r="Q252" s="4">
        <v>0.69</v>
      </c>
      <c r="R252" s="13">
        <f t="shared" si="46"/>
        <v>69</v>
      </c>
      <c r="S252" s="6">
        <f t="shared" si="40"/>
        <v>0.69</v>
      </c>
      <c r="T252" s="1">
        <v>1.5</v>
      </c>
      <c r="U252" s="1">
        <f t="shared" si="47"/>
        <v>1.5</v>
      </c>
      <c r="V252" s="1">
        <f t="shared" si="48"/>
        <v>48.75</v>
      </c>
      <c r="W252" s="10" t="str">
        <f t="shared" si="49"/>
        <v>Medium</v>
      </c>
      <c r="X252" s="1">
        <v>1</v>
      </c>
      <c r="Y252" s="1" t="str">
        <f t="shared" si="50"/>
        <v>Yes</v>
      </c>
      <c r="Z252" s="14">
        <v>4</v>
      </c>
      <c r="AA252" s="18">
        <f t="shared" si="51"/>
        <v>4</v>
      </c>
      <c r="AB252" s="18" t="str">
        <f t="shared" si="52"/>
        <v>High Performer</v>
      </c>
      <c r="AC252" s="9" t="s">
        <v>1046</v>
      </c>
      <c r="AD252">
        <f>IF(AC252="",0,LEN(AC252)-LEN(SUBSTITUTE(AC252,",",""))+1)</f>
        <v>2</v>
      </c>
    </row>
    <row r="253" spans="1:30" ht="12.5" x14ac:dyDescent="0.25">
      <c r="A253" s="1" t="s">
        <v>1047</v>
      </c>
      <c r="B253" s="1" t="s">
        <v>1048</v>
      </c>
      <c r="C253" s="1" t="str">
        <v>William Keith</v>
      </c>
      <c r="D253" s="1" t="s">
        <v>1049</v>
      </c>
      <c r="E253" s="1" t="str">
        <v>gregory01@gmail.com</v>
      </c>
      <c r="F253" t="str">
        <f t="shared" si="41"/>
        <v>Valid</v>
      </c>
      <c r="G253" s="1" t="s">
        <v>109</v>
      </c>
      <c r="H253" s="1" t="str">
        <f t="shared" si="42"/>
        <v>Male</v>
      </c>
      <c r="I253" s="1" t="s">
        <v>74</v>
      </c>
      <c r="J253" t="str">
        <f t="shared" si="43"/>
        <v>USA</v>
      </c>
      <c r="L253" s="1">
        <f t="shared" si="44"/>
        <v>19</v>
      </c>
      <c r="M253" s="1" t="str">
        <f t="shared" si="45"/>
        <v>Student</v>
      </c>
      <c r="N253" s="2">
        <v>45391</v>
      </c>
      <c r="O253" s="1" t="s">
        <v>114</v>
      </c>
      <c r="P253" s="1" t="s">
        <v>59</v>
      </c>
      <c r="Q253" s="4">
        <v>0.5</v>
      </c>
      <c r="R253" s="13">
        <f t="shared" si="46"/>
        <v>50</v>
      </c>
      <c r="S253" s="6">
        <f t="shared" si="40"/>
        <v>0.5</v>
      </c>
      <c r="T253" s="1" t="s">
        <v>64</v>
      </c>
      <c r="U253" s="1">
        <f t="shared" si="47"/>
        <v>2</v>
      </c>
      <c r="V253" s="1">
        <f t="shared" si="48"/>
        <v>35.6</v>
      </c>
      <c r="W253" s="10" t="str">
        <f t="shared" si="49"/>
        <v>Low</v>
      </c>
      <c r="X253" s="1" t="s">
        <v>22</v>
      </c>
      <c r="Y253" s="1" t="str">
        <f t="shared" si="50"/>
        <v>No</v>
      </c>
      <c r="Z253" s="14">
        <v>6</v>
      </c>
      <c r="AA253" s="18">
        <f t="shared" si="51"/>
        <v>6</v>
      </c>
      <c r="AB253" s="18" t="str">
        <f t="shared" si="52"/>
        <v>No</v>
      </c>
      <c r="AC253" s="9" t="s">
        <v>1050</v>
      </c>
      <c r="AD253">
        <f>IF(AC253="",0,LEN(AC253)-LEN(SUBSTITUTE(AC253,",",""))+1)</f>
        <v>4</v>
      </c>
    </row>
    <row r="254" spans="1:30" ht="12.5" x14ac:dyDescent="0.25">
      <c r="A254" s="1" t="s">
        <v>1051</v>
      </c>
      <c r="B254" s="1" t="s">
        <v>1052</v>
      </c>
      <c r="C254" s="1" t="str">
        <v>Gary Mendez</v>
      </c>
      <c r="D254" s="1" t="s">
        <v>1053</v>
      </c>
      <c r="E254" s="1" t="str">
        <v>jennifer50@hernandez.com</v>
      </c>
      <c r="F254" t="str">
        <f t="shared" si="41"/>
        <v>Valid</v>
      </c>
      <c r="G254" s="1" t="s">
        <v>109</v>
      </c>
      <c r="H254" s="1" t="str">
        <f t="shared" si="42"/>
        <v>Male</v>
      </c>
      <c r="I254" s="1" t="s">
        <v>44</v>
      </c>
      <c r="J254" t="str">
        <f t="shared" si="43"/>
        <v>CANADA</v>
      </c>
      <c r="K254" s="14">
        <v>0</v>
      </c>
      <c r="L254" s="1">
        <f t="shared" si="44"/>
        <v>19</v>
      </c>
      <c r="M254" s="1" t="str">
        <f t="shared" si="45"/>
        <v>Student</v>
      </c>
      <c r="N254" s="2">
        <v>44989</v>
      </c>
      <c r="O254" s="1" t="s">
        <v>235</v>
      </c>
      <c r="P254" s="1" t="s">
        <v>147</v>
      </c>
      <c r="Q254" s="4">
        <v>0.87</v>
      </c>
      <c r="R254" s="13">
        <f t="shared" si="46"/>
        <v>87</v>
      </c>
      <c r="S254" s="6">
        <f t="shared" si="40"/>
        <v>0.87</v>
      </c>
      <c r="T254" s="1">
        <v>1.5</v>
      </c>
      <c r="U254" s="1">
        <f t="shared" si="47"/>
        <v>1.5</v>
      </c>
      <c r="V254" s="1">
        <f t="shared" si="48"/>
        <v>61.35</v>
      </c>
      <c r="W254" s="10" t="str">
        <f t="shared" si="49"/>
        <v>Medium</v>
      </c>
      <c r="X254" s="1" t="s">
        <v>76</v>
      </c>
      <c r="Y254" s="1" t="str">
        <f t="shared" si="50"/>
        <v>Yes</v>
      </c>
      <c r="Z254" s="14">
        <v>4</v>
      </c>
      <c r="AA254" s="18">
        <f t="shared" si="51"/>
        <v>4</v>
      </c>
      <c r="AB254" s="18" t="str">
        <f t="shared" si="52"/>
        <v>High Performer</v>
      </c>
      <c r="AC254" s="9" t="s">
        <v>1054</v>
      </c>
      <c r="AD254">
        <f>IF(AC254="",0,LEN(AC254)-LEN(SUBSTITUTE(AC254,",",""))+1)</f>
        <v>3</v>
      </c>
    </row>
    <row r="255" spans="1:30" ht="12.5" x14ac:dyDescent="0.25">
      <c r="A255" s="1" t="s">
        <v>1055</v>
      </c>
      <c r="B255" s="1" t="s">
        <v>1056</v>
      </c>
      <c r="C255" s="1" t="str">
        <v>Jacqueline Mcmahon</v>
      </c>
      <c r="D255" s="1" t="s">
        <v>1057</v>
      </c>
      <c r="E255" s="1" t="str">
        <v>rogersmarcus@gmail.com</v>
      </c>
      <c r="F255" t="str">
        <f t="shared" si="41"/>
        <v>Valid</v>
      </c>
      <c r="G255" s="1" t="s">
        <v>88</v>
      </c>
      <c r="H255" s="1" t="str">
        <f t="shared" si="42"/>
        <v>Male</v>
      </c>
      <c r="I255" s="1" t="s">
        <v>74</v>
      </c>
      <c r="J255" t="str">
        <f t="shared" si="43"/>
        <v>USA</v>
      </c>
      <c r="K255" s="14">
        <v>31</v>
      </c>
      <c r="L255" s="1">
        <f t="shared" si="44"/>
        <v>31</v>
      </c>
      <c r="M255" s="1" t="str">
        <f t="shared" si="45"/>
        <v>Mid Career</v>
      </c>
      <c r="N255" s="9">
        <v>44830</v>
      </c>
      <c r="O255" s="1" t="s">
        <v>301</v>
      </c>
      <c r="P255" s="1" t="s">
        <v>20</v>
      </c>
      <c r="Q255" s="4">
        <v>0.35</v>
      </c>
      <c r="R255" s="13">
        <f t="shared" si="46"/>
        <v>35</v>
      </c>
      <c r="S255" s="6">
        <f t="shared" si="40"/>
        <v>0.35</v>
      </c>
      <c r="T255" s="1">
        <v>45</v>
      </c>
      <c r="U255" s="1">
        <f t="shared" si="47"/>
        <v>45</v>
      </c>
      <c r="V255" s="1">
        <f t="shared" si="48"/>
        <v>38</v>
      </c>
      <c r="W255" s="10" t="str">
        <f t="shared" si="49"/>
        <v>Low</v>
      </c>
      <c r="X255" s="1">
        <v>1</v>
      </c>
      <c r="Y255" s="1" t="str">
        <f t="shared" si="50"/>
        <v>Yes</v>
      </c>
      <c r="Z255" s="14">
        <v>5</v>
      </c>
      <c r="AA255" s="18">
        <f t="shared" si="51"/>
        <v>5</v>
      </c>
      <c r="AB255" s="18" t="str">
        <f t="shared" si="52"/>
        <v>High Performer</v>
      </c>
      <c r="AC255" s="9" t="s">
        <v>1058</v>
      </c>
      <c r="AD255">
        <f>IF(AC255="",0,LEN(AC255)-LEN(SUBSTITUTE(AC255,",",""))+1)</f>
        <v>7</v>
      </c>
    </row>
    <row r="256" spans="1:30" ht="12.5" x14ac:dyDescent="0.25">
      <c r="A256" s="1" t="s">
        <v>1059</v>
      </c>
      <c r="B256" s="1" t="s">
        <v>1060</v>
      </c>
      <c r="C256" s="1" t="str">
        <v>Carrie Novak</v>
      </c>
      <c r="D256" s="1" t="s">
        <v>1061</v>
      </c>
      <c r="E256" s="1" t="str">
        <v>elizabetholsen@yahoo.com</v>
      </c>
      <c r="F256" t="str">
        <f t="shared" si="41"/>
        <v>Valid</v>
      </c>
      <c r="G256" s="1" t="s">
        <v>88</v>
      </c>
      <c r="H256" s="1" t="str">
        <f t="shared" si="42"/>
        <v>Male</v>
      </c>
      <c r="I256" s="1" t="s">
        <v>44</v>
      </c>
      <c r="J256" t="str">
        <f t="shared" si="43"/>
        <v>CANADA</v>
      </c>
      <c r="K256" s="14">
        <v>0</v>
      </c>
      <c r="L256" s="1">
        <f t="shared" si="44"/>
        <v>19</v>
      </c>
      <c r="M256" s="1" t="str">
        <f t="shared" si="45"/>
        <v>Student</v>
      </c>
      <c r="N256" s="9">
        <v>45336</v>
      </c>
      <c r="O256" s="1" t="s">
        <v>90</v>
      </c>
      <c r="P256" s="1" t="s">
        <v>31</v>
      </c>
      <c r="Q256" s="4">
        <v>100</v>
      </c>
      <c r="R256" s="13">
        <f t="shared" si="46"/>
        <v>100</v>
      </c>
      <c r="S256" s="6">
        <f t="shared" si="40"/>
        <v>1</v>
      </c>
      <c r="T256" s="1">
        <v>45</v>
      </c>
      <c r="U256" s="1">
        <f t="shared" si="47"/>
        <v>45</v>
      </c>
      <c r="V256" s="1">
        <f t="shared" si="48"/>
        <v>83.5</v>
      </c>
      <c r="W256" s="10" t="str">
        <f t="shared" si="49"/>
        <v>High</v>
      </c>
      <c r="X256" s="1">
        <v>1</v>
      </c>
      <c r="Y256" s="1" t="str">
        <f t="shared" si="50"/>
        <v>Yes</v>
      </c>
      <c r="Z256" s="14">
        <v>3</v>
      </c>
      <c r="AA256" s="18">
        <f t="shared" si="51"/>
        <v>3</v>
      </c>
      <c r="AB256" s="18" t="str">
        <f t="shared" si="52"/>
        <v>No</v>
      </c>
      <c r="AC256" s="9" t="s">
        <v>1062</v>
      </c>
      <c r="AD256">
        <f>IF(AC256="",0,LEN(AC256)-LEN(SUBSTITUTE(AC256,",",""))+1)</f>
        <v>2</v>
      </c>
    </row>
    <row r="257" spans="1:30" ht="12.5" x14ac:dyDescent="0.25">
      <c r="A257" s="1" t="s">
        <v>1063</v>
      </c>
      <c r="B257" s="1" t="s">
        <v>1064</v>
      </c>
      <c r="C257" s="1" t="str">
        <v>Aaron Miles</v>
      </c>
      <c r="D257" s="1" t="s">
        <v>1065</v>
      </c>
      <c r="E257" s="1" t="str">
        <v>whitelucas@hotmail.com</v>
      </c>
      <c r="F257" t="str">
        <f t="shared" si="41"/>
        <v>Valid</v>
      </c>
      <c r="G257" s="1" t="s">
        <v>88</v>
      </c>
      <c r="H257" s="1" t="str">
        <f t="shared" si="42"/>
        <v>Male</v>
      </c>
      <c r="I257" s="1" t="s">
        <v>156</v>
      </c>
      <c r="J257" t="str">
        <f t="shared" si="43"/>
        <v>IN</v>
      </c>
      <c r="K257" s="14">
        <v>40</v>
      </c>
      <c r="L257" s="1">
        <f t="shared" si="44"/>
        <v>40</v>
      </c>
      <c r="M257" s="1" t="str">
        <f t="shared" si="45"/>
        <v>Mid Career</v>
      </c>
      <c r="N257" s="9">
        <v>45134</v>
      </c>
      <c r="O257" s="1" t="s">
        <v>158</v>
      </c>
      <c r="P257" s="1" t="s">
        <v>59</v>
      </c>
      <c r="Q257" s="4">
        <v>0.79</v>
      </c>
      <c r="R257" s="13">
        <f t="shared" si="46"/>
        <v>79</v>
      </c>
      <c r="S257" s="6">
        <f t="shared" si="40"/>
        <v>0.79</v>
      </c>
      <c r="T257" s="1">
        <v>2</v>
      </c>
      <c r="U257" s="1">
        <f t="shared" si="47"/>
        <v>2</v>
      </c>
      <c r="V257" s="1">
        <f t="shared" si="48"/>
        <v>55.9</v>
      </c>
      <c r="W257" s="10" t="str">
        <f t="shared" si="49"/>
        <v>Medium</v>
      </c>
      <c r="X257" s="1" t="s">
        <v>38</v>
      </c>
      <c r="Y257" s="1" t="str">
        <f t="shared" si="50"/>
        <v>No</v>
      </c>
      <c r="Z257" s="14">
        <v>5</v>
      </c>
      <c r="AA257" s="18">
        <f t="shared" si="51"/>
        <v>5</v>
      </c>
      <c r="AB257" s="18" t="str">
        <f t="shared" si="52"/>
        <v>No</v>
      </c>
      <c r="AC257" s="9" t="s">
        <v>1066</v>
      </c>
      <c r="AD257">
        <f>IF(AC257="",0,LEN(AC257)-LEN(SUBSTITUTE(AC257,",",""))+1)</f>
        <v>3</v>
      </c>
    </row>
    <row r="258" spans="1:30" ht="12.5" x14ac:dyDescent="0.25">
      <c r="A258" s="1" t="s">
        <v>1067</v>
      </c>
      <c r="B258" s="1" t="s">
        <v>1068</v>
      </c>
      <c r="C258" s="1" t="str">
        <v>Gary Miller Md</v>
      </c>
      <c r="D258" s="1" t="s">
        <v>1069</v>
      </c>
      <c r="E258" s="1" t="str">
        <v>daisymccarty@hotmail.com</v>
      </c>
      <c r="F258" t="str">
        <f t="shared" si="41"/>
        <v>Valid</v>
      </c>
      <c r="G258" s="1" t="s">
        <v>17</v>
      </c>
      <c r="H258" s="1" t="str">
        <f t="shared" si="42"/>
        <v>Female</v>
      </c>
      <c r="I258" s="1" t="s">
        <v>89</v>
      </c>
      <c r="J258" t="str">
        <f t="shared" si="43"/>
        <v>GERMANY</v>
      </c>
      <c r="L258" s="1">
        <f t="shared" si="44"/>
        <v>19</v>
      </c>
      <c r="M258" s="1" t="str">
        <f t="shared" si="45"/>
        <v>Student</v>
      </c>
      <c r="N258" s="9">
        <v>45001</v>
      </c>
      <c r="O258" s="1" t="s">
        <v>52</v>
      </c>
      <c r="P258" s="1" t="s">
        <v>37</v>
      </c>
      <c r="Q258" s="4">
        <v>38</v>
      </c>
      <c r="R258" s="13">
        <f t="shared" si="46"/>
        <v>38</v>
      </c>
      <c r="S258" s="6">
        <f t="shared" ref="S258:S321" si="53">R258/100</f>
        <v>0.38</v>
      </c>
      <c r="T258" s="1">
        <v>2</v>
      </c>
      <c r="U258" s="1">
        <f t="shared" si="47"/>
        <v>2</v>
      </c>
      <c r="V258" s="1">
        <f t="shared" si="48"/>
        <v>27.2</v>
      </c>
      <c r="W258" s="10" t="str">
        <f t="shared" si="49"/>
        <v>Low</v>
      </c>
      <c r="X258" s="1" t="s">
        <v>38</v>
      </c>
      <c r="Y258" s="1" t="str">
        <f t="shared" si="50"/>
        <v>No</v>
      </c>
      <c r="Z258" s="14">
        <v>3</v>
      </c>
      <c r="AA258" s="18">
        <f t="shared" si="51"/>
        <v>3</v>
      </c>
      <c r="AB258" s="18" t="str">
        <f t="shared" si="52"/>
        <v>No</v>
      </c>
      <c r="AC258" s="9" t="s">
        <v>1070</v>
      </c>
      <c r="AD258">
        <f>IF(AC258="",0,LEN(AC258)-LEN(SUBSTITUTE(AC258,",",""))+1)</f>
        <v>1</v>
      </c>
    </row>
    <row r="259" spans="1:30" ht="12.5" x14ac:dyDescent="0.25">
      <c r="A259" s="1" t="s">
        <v>1071</v>
      </c>
      <c r="B259" s="1" t="s">
        <v>1072</v>
      </c>
      <c r="C259" s="1" t="str">
        <v>Derek Wright</v>
      </c>
      <c r="D259" s="1" t="s">
        <v>1073</v>
      </c>
      <c r="E259" s="1" t="str">
        <v>jonathan10@cruz.biz</v>
      </c>
      <c r="F259" t="str">
        <f t="shared" ref="F259:F322" si="54">IF(ISNUMBER(SEARCH("@", E259)), "Valid", "Invalid")</f>
        <v>Valid</v>
      </c>
      <c r="G259" s="1" t="s">
        <v>119</v>
      </c>
      <c r="H259" s="1" t="str">
        <f t="shared" ref="H259:H322" si="55">IF(OR(LOWER(G259)="m", LOWER(G259)="male"), "Male", IF(OR(LOWER(G259)="f", LOWER(G259)="female"), "Female","Other"))</f>
        <v>Female</v>
      </c>
      <c r="I259" s="1" t="s">
        <v>96</v>
      </c>
      <c r="J259" t="str">
        <f t="shared" ref="J259:J322" si="56">UPPER(TRIM(I259))</f>
        <v>INDIA</v>
      </c>
      <c r="L259" s="1">
        <f t="shared" ref="L259:L322" si="57">IF(OR(K259=0,K259&lt;10,K259&gt;100), $L$1202, K259)</f>
        <v>19</v>
      </c>
      <c r="M259" s="1" t="str">
        <f t="shared" ref="M259:M322" si="58">IF(K259&lt;22,"Student",
IF(K259&lt;=30,"Early Career",
IF(K259&lt;=40,"Mid Career",
IF(K259&lt;=50,"Senior","Expert"))))</f>
        <v>Student</v>
      </c>
      <c r="N259" s="2">
        <v>45932</v>
      </c>
      <c r="O259" s="1" t="s">
        <v>52</v>
      </c>
      <c r="P259" s="1" t="s">
        <v>37</v>
      </c>
      <c r="Q259" s="4">
        <v>0.24</v>
      </c>
      <c r="R259" s="13">
        <f t="shared" ref="R259:R322" si="59">IF(Q259&lt;=1, Q259*100, Q259)</f>
        <v>24</v>
      </c>
      <c r="S259" s="6">
        <f t="shared" si="53"/>
        <v>0.24</v>
      </c>
      <c r="T259" s="1">
        <v>45</v>
      </c>
      <c r="U259" s="1">
        <f t="shared" ref="U259:U322" si="60">IF(ISNUMBER(T259), T259,
IF(ISNUMBER(SEARCH("min", T259)), VALUE(LEFT(T259, FIND(" ", T259)-1))/60,
IF(ISNUMBER(SEARCH("hour", T259)), VALUE(LEFT(T259, FIND(" ", T259)-1)),
"")))</f>
        <v>45</v>
      </c>
      <c r="V259" s="1">
        <f t="shared" ref="V259:V322" si="61">MIN( (0.7*R259 + 0.3*(U259)), 100 )</f>
        <v>30.299999999999997</v>
      </c>
      <c r="W259" s="10" t="str">
        <f t="shared" ref="W259:W322" si="62">IF(V259&lt;41,"Low",IF(V259&lt;71,"Medium","High"))</f>
        <v>Low</v>
      </c>
      <c r="X259" s="1">
        <v>1</v>
      </c>
      <c r="Y259" s="1" t="str">
        <f t="shared" ref="Y259:Y322" si="63">IF(OR(X259="Yes", X259="Y", X259=1), "Yes", "No")</f>
        <v>Yes</v>
      </c>
      <c r="Z259" s="14">
        <v>4</v>
      </c>
      <c r="AA259" s="18">
        <f t="shared" ref="AA259:AA322" si="64">IF(AND(Z259&gt;=1,Z259&lt;=6),Z259,"Invalid")</f>
        <v>4</v>
      </c>
      <c r="AB259" s="18" t="str">
        <f t="shared" ref="AB259:AB322" si="65">IF(AND(Y259="Yes",AA259&gt;=4),"High Performer","No")</f>
        <v>High Performer</v>
      </c>
      <c r="AC259" s="9" t="s">
        <v>1074</v>
      </c>
      <c r="AD259">
        <f>IF(AC259="",0,LEN(AC259)-LEN(SUBSTITUTE(AC259,",",""))+1)</f>
        <v>7</v>
      </c>
    </row>
    <row r="260" spans="1:30" ht="12.5" x14ac:dyDescent="0.25">
      <c r="A260" s="1" t="s">
        <v>1075</v>
      </c>
      <c r="B260" s="1" t="s">
        <v>1076</v>
      </c>
      <c r="C260" s="1" t="str">
        <v>Joshua Garcia</v>
      </c>
      <c r="D260" s="1" t="s">
        <v>1077</v>
      </c>
      <c r="E260" s="1" t="str">
        <v>franciscojones@gmail.com</v>
      </c>
      <c r="F260" t="str">
        <f t="shared" si="54"/>
        <v>Valid</v>
      </c>
      <c r="G260" s="1" t="s">
        <v>95</v>
      </c>
      <c r="H260" s="1" t="str">
        <f t="shared" si="55"/>
        <v>Male</v>
      </c>
      <c r="I260" s="1" t="s">
        <v>51</v>
      </c>
      <c r="J260" t="str">
        <f t="shared" si="56"/>
        <v>UK</v>
      </c>
      <c r="K260" s="14">
        <v>24</v>
      </c>
      <c r="L260" s="1">
        <f t="shared" si="57"/>
        <v>24</v>
      </c>
      <c r="M260" s="1" t="str">
        <f t="shared" si="58"/>
        <v>Early Career</v>
      </c>
      <c r="N260" s="9">
        <v>44916</v>
      </c>
      <c r="O260" s="1" t="s">
        <v>235</v>
      </c>
      <c r="P260" s="1" t="s">
        <v>147</v>
      </c>
      <c r="Q260" s="4">
        <v>0.17</v>
      </c>
      <c r="R260" s="13">
        <f t="shared" si="59"/>
        <v>17</v>
      </c>
      <c r="S260" s="6">
        <f t="shared" si="53"/>
        <v>0.17</v>
      </c>
      <c r="T260" s="1" t="s">
        <v>46</v>
      </c>
      <c r="U260" s="1">
        <f t="shared" si="60"/>
        <v>1</v>
      </c>
      <c r="V260" s="1">
        <f t="shared" si="61"/>
        <v>12.2</v>
      </c>
      <c r="W260" s="10" t="str">
        <f t="shared" si="62"/>
        <v>Low</v>
      </c>
      <c r="X260" s="1" t="s">
        <v>22</v>
      </c>
      <c r="Y260" s="1" t="str">
        <f t="shared" si="63"/>
        <v>No</v>
      </c>
      <c r="Z260" s="14">
        <v>6</v>
      </c>
      <c r="AA260" s="18">
        <f t="shared" si="64"/>
        <v>6</v>
      </c>
      <c r="AB260" s="18" t="str">
        <f t="shared" si="65"/>
        <v>No</v>
      </c>
      <c r="AC260" s="9" t="s">
        <v>1078</v>
      </c>
      <c r="AD260">
        <f>IF(AC260="",0,LEN(AC260)-LEN(SUBSTITUTE(AC260,",",""))+1)</f>
        <v>5</v>
      </c>
    </row>
    <row r="261" spans="1:30" ht="12.5" x14ac:dyDescent="0.25">
      <c r="A261" s="1" t="s">
        <v>1079</v>
      </c>
      <c r="B261" s="1" t="s">
        <v>1080</v>
      </c>
      <c r="C261" s="1" t="str">
        <v>Glenn Barron</v>
      </c>
      <c r="D261" s="1" t="s">
        <v>1081</v>
      </c>
      <c r="E261" s="1" t="str">
        <v>paynerachael@morgan.info</v>
      </c>
      <c r="F261" t="str">
        <f t="shared" si="54"/>
        <v>Valid</v>
      </c>
      <c r="G261" s="1" t="s">
        <v>17</v>
      </c>
      <c r="H261" s="1" t="str">
        <f t="shared" si="55"/>
        <v>Female</v>
      </c>
      <c r="I261" s="1" t="s">
        <v>28</v>
      </c>
      <c r="J261" t="str">
        <f t="shared" si="56"/>
        <v>INDIA</v>
      </c>
      <c r="L261" s="1">
        <f t="shared" si="57"/>
        <v>19</v>
      </c>
      <c r="M261" s="1" t="str">
        <f t="shared" si="58"/>
        <v>Student</v>
      </c>
      <c r="N261" s="2">
        <v>45176</v>
      </c>
      <c r="O261" s="1" t="s">
        <v>301</v>
      </c>
      <c r="P261" s="1" t="s">
        <v>20</v>
      </c>
      <c r="Q261" s="4">
        <v>35</v>
      </c>
      <c r="R261" s="13">
        <f t="shared" si="59"/>
        <v>35</v>
      </c>
      <c r="S261" s="6">
        <f t="shared" si="53"/>
        <v>0.35</v>
      </c>
      <c r="T261" s="1">
        <v>2</v>
      </c>
      <c r="U261" s="1">
        <f t="shared" si="60"/>
        <v>2</v>
      </c>
      <c r="V261" s="1">
        <f t="shared" si="61"/>
        <v>25.1</v>
      </c>
      <c r="W261" s="10" t="str">
        <f t="shared" si="62"/>
        <v>Low</v>
      </c>
      <c r="X261" s="1" t="s">
        <v>38</v>
      </c>
      <c r="Y261" s="1" t="str">
        <f t="shared" si="63"/>
        <v>No</v>
      </c>
      <c r="Z261" s="14">
        <v>3</v>
      </c>
      <c r="AA261" s="18">
        <f t="shared" si="64"/>
        <v>3</v>
      </c>
      <c r="AB261" s="18" t="str">
        <f t="shared" si="65"/>
        <v>No</v>
      </c>
      <c r="AC261" s="9">
        <v>45176</v>
      </c>
      <c r="AD261">
        <f>IF(AC261="",0,LEN(AC261)-LEN(SUBSTITUTE(AC261,",",""))+1)</f>
        <v>1</v>
      </c>
    </row>
    <row r="262" spans="1:30" ht="12.5" x14ac:dyDescent="0.25">
      <c r="A262" s="1" t="s">
        <v>1082</v>
      </c>
      <c r="B262" s="1" t="s">
        <v>1083</v>
      </c>
      <c r="C262" s="1" t="str">
        <v>Steve Moore</v>
      </c>
      <c r="D262" s="1" t="s">
        <v>1084</v>
      </c>
      <c r="E262" s="1" t="str">
        <v>jamie36@spencer.com</v>
      </c>
      <c r="F262" t="str">
        <f t="shared" si="54"/>
        <v>Valid</v>
      </c>
      <c r="G262" s="1" t="s">
        <v>95</v>
      </c>
      <c r="H262" s="1" t="str">
        <f t="shared" si="55"/>
        <v>Male</v>
      </c>
      <c r="I262" s="1" t="s">
        <v>18</v>
      </c>
      <c r="J262" t="str">
        <f t="shared" si="56"/>
        <v>US</v>
      </c>
      <c r="K262" s="14">
        <v>19</v>
      </c>
      <c r="L262" s="1">
        <f t="shared" si="57"/>
        <v>19</v>
      </c>
      <c r="M262" s="1" t="str">
        <f t="shared" si="58"/>
        <v>Student</v>
      </c>
      <c r="N262" s="2">
        <v>45781</v>
      </c>
      <c r="O262" s="1" t="s">
        <v>170</v>
      </c>
      <c r="P262" s="1" t="s">
        <v>147</v>
      </c>
      <c r="Q262" s="4">
        <v>0.33</v>
      </c>
      <c r="R262" s="13">
        <f t="shared" si="59"/>
        <v>33</v>
      </c>
      <c r="S262" s="6">
        <f t="shared" si="53"/>
        <v>0.33</v>
      </c>
      <c r="T262" s="1">
        <v>2</v>
      </c>
      <c r="U262" s="1">
        <f t="shared" si="60"/>
        <v>2</v>
      </c>
      <c r="V262" s="1">
        <f t="shared" si="61"/>
        <v>23.7</v>
      </c>
      <c r="W262" s="10" t="str">
        <f t="shared" si="62"/>
        <v>Low</v>
      </c>
      <c r="X262" s="1" t="s">
        <v>22</v>
      </c>
      <c r="Y262" s="1" t="str">
        <f t="shared" si="63"/>
        <v>No</v>
      </c>
      <c r="AA262" s="18" t="str">
        <f t="shared" si="64"/>
        <v>Invalid</v>
      </c>
      <c r="AB262" s="18" t="str">
        <f t="shared" si="65"/>
        <v>No</v>
      </c>
      <c r="AC262" s="9" t="s">
        <v>1085</v>
      </c>
      <c r="AD262">
        <f>IF(AC262="",0,LEN(AC262)-LEN(SUBSTITUTE(AC262,",",""))+1)</f>
        <v>6</v>
      </c>
    </row>
    <row r="263" spans="1:30" ht="12.5" x14ac:dyDescent="0.25">
      <c r="A263" s="1" t="s">
        <v>1086</v>
      </c>
      <c r="B263" s="1" t="s">
        <v>1087</v>
      </c>
      <c r="C263" s="1" t="str">
        <v>Sara Hernandez</v>
      </c>
      <c r="D263" s="1" t="s">
        <v>1088</v>
      </c>
      <c r="E263" s="1" t="str">
        <v>pattersonkelly@hotmail.com</v>
      </c>
      <c r="F263" t="str">
        <f t="shared" si="54"/>
        <v>Valid</v>
      </c>
      <c r="G263" s="1" t="s">
        <v>95</v>
      </c>
      <c r="H263" s="1" t="str">
        <f t="shared" si="55"/>
        <v>Male</v>
      </c>
      <c r="I263" s="1" t="s">
        <v>136</v>
      </c>
      <c r="J263" t="str">
        <f t="shared" si="56"/>
        <v>UK</v>
      </c>
      <c r="K263" s="14">
        <v>0</v>
      </c>
      <c r="L263" s="1">
        <f t="shared" si="57"/>
        <v>19</v>
      </c>
      <c r="M263" s="1" t="str">
        <f t="shared" si="58"/>
        <v>Student</v>
      </c>
      <c r="N263" s="2">
        <v>45267</v>
      </c>
      <c r="O263" s="1" t="s">
        <v>146</v>
      </c>
      <c r="P263" s="1" t="s">
        <v>147</v>
      </c>
      <c r="Q263" s="4">
        <v>0.83</v>
      </c>
      <c r="R263" s="13">
        <f t="shared" si="59"/>
        <v>83</v>
      </c>
      <c r="S263" s="6">
        <f t="shared" si="53"/>
        <v>0.83</v>
      </c>
      <c r="T263" s="1" t="s">
        <v>46</v>
      </c>
      <c r="U263" s="1">
        <f t="shared" si="60"/>
        <v>1</v>
      </c>
      <c r="V263" s="1">
        <f t="shared" si="61"/>
        <v>58.399999999999991</v>
      </c>
      <c r="W263" s="10" t="str">
        <f t="shared" si="62"/>
        <v>Medium</v>
      </c>
      <c r="X263" s="1" t="s">
        <v>76</v>
      </c>
      <c r="Y263" s="1" t="str">
        <f t="shared" si="63"/>
        <v>Yes</v>
      </c>
      <c r="Z263" s="14">
        <v>4</v>
      </c>
      <c r="AA263" s="18">
        <f t="shared" si="64"/>
        <v>4</v>
      </c>
      <c r="AB263" s="18" t="str">
        <f t="shared" si="65"/>
        <v>High Performer</v>
      </c>
      <c r="AC263" s="9" t="s">
        <v>1089</v>
      </c>
      <c r="AD263">
        <f>IF(AC263="",0,LEN(AC263)-LEN(SUBSTITUTE(AC263,",",""))+1)</f>
        <v>4</v>
      </c>
    </row>
    <row r="264" spans="1:30" ht="12.5" x14ac:dyDescent="0.25">
      <c r="A264" s="1" t="s">
        <v>1090</v>
      </c>
      <c r="B264" s="1" t="s">
        <v>1091</v>
      </c>
      <c r="C264" s="1" t="str">
        <v>Christopher Carter</v>
      </c>
      <c r="D264" s="1" t="s">
        <v>1092</v>
      </c>
      <c r="E264" s="1" t="str">
        <v>tanthony@ruiz-jacobson.com</v>
      </c>
      <c r="F264" t="str">
        <f t="shared" si="54"/>
        <v>Valid</v>
      </c>
      <c r="G264" s="1" t="s">
        <v>57</v>
      </c>
      <c r="H264" s="1" t="str">
        <f t="shared" si="55"/>
        <v>Female</v>
      </c>
      <c r="I264" s="1" t="s">
        <v>136</v>
      </c>
      <c r="J264" t="str">
        <f t="shared" si="56"/>
        <v>UK</v>
      </c>
      <c r="K264" s="14">
        <v>26</v>
      </c>
      <c r="L264" s="1">
        <f t="shared" si="57"/>
        <v>26</v>
      </c>
      <c r="M264" s="1" t="str">
        <f t="shared" si="58"/>
        <v>Early Career</v>
      </c>
      <c r="N264" s="2">
        <v>45363</v>
      </c>
      <c r="O264" s="1" t="s">
        <v>170</v>
      </c>
      <c r="P264" s="1" t="s">
        <v>147</v>
      </c>
      <c r="Q264" s="4">
        <v>82</v>
      </c>
      <c r="R264" s="13">
        <f t="shared" si="59"/>
        <v>82</v>
      </c>
      <c r="S264" s="6">
        <f t="shared" si="53"/>
        <v>0.82</v>
      </c>
      <c r="T264" s="1" t="s">
        <v>46</v>
      </c>
      <c r="U264" s="1">
        <f t="shared" si="60"/>
        <v>1</v>
      </c>
      <c r="V264" s="1">
        <f t="shared" si="61"/>
        <v>57.699999999999996</v>
      </c>
      <c r="W264" s="10" t="str">
        <f t="shared" si="62"/>
        <v>Medium</v>
      </c>
      <c r="X264" s="1">
        <v>0</v>
      </c>
      <c r="Y264" s="1" t="str">
        <f t="shared" si="63"/>
        <v>No</v>
      </c>
      <c r="Z264" s="14">
        <v>3</v>
      </c>
      <c r="AA264" s="18">
        <f t="shared" si="64"/>
        <v>3</v>
      </c>
      <c r="AB264" s="18" t="str">
        <f t="shared" si="65"/>
        <v>No</v>
      </c>
      <c r="AC264" s="9" t="s">
        <v>1093</v>
      </c>
      <c r="AD264">
        <f>IF(AC264="",0,LEN(AC264)-LEN(SUBSTITUTE(AC264,",",""))+1)</f>
        <v>5</v>
      </c>
    </row>
    <row r="265" spans="1:30" ht="12.5" x14ac:dyDescent="0.25">
      <c r="A265" s="1" t="s">
        <v>1094</v>
      </c>
      <c r="B265" s="1" t="s">
        <v>1095</v>
      </c>
      <c r="C265" s="1" t="str">
        <v>James Lopez</v>
      </c>
      <c r="D265" s="1" t="s">
        <v>1096</v>
      </c>
      <c r="E265" s="1" t="str">
        <v>scott43@elliott-hernandez.com</v>
      </c>
      <c r="F265" t="str">
        <f t="shared" si="54"/>
        <v>Valid</v>
      </c>
      <c r="G265" s="1" t="s">
        <v>27</v>
      </c>
      <c r="H265" s="1" t="str">
        <f t="shared" si="55"/>
        <v>Male</v>
      </c>
      <c r="I265" s="1" t="s">
        <v>44</v>
      </c>
      <c r="J265" t="str">
        <f t="shared" si="56"/>
        <v>CANADA</v>
      </c>
      <c r="K265" s="14">
        <v>39</v>
      </c>
      <c r="L265" s="1">
        <f t="shared" si="57"/>
        <v>39</v>
      </c>
      <c r="M265" s="1" t="str">
        <f t="shared" si="58"/>
        <v>Mid Career</v>
      </c>
      <c r="N265" s="9">
        <v>44799</v>
      </c>
      <c r="O265" s="1" t="s">
        <v>30</v>
      </c>
      <c r="P265" s="1" t="s">
        <v>31</v>
      </c>
      <c r="Q265" s="4">
        <v>0.65</v>
      </c>
      <c r="R265" s="13">
        <f t="shared" si="59"/>
        <v>65</v>
      </c>
      <c r="S265" s="6">
        <f t="shared" si="53"/>
        <v>0.65</v>
      </c>
      <c r="T265" s="1">
        <v>45</v>
      </c>
      <c r="U265" s="1">
        <f t="shared" si="60"/>
        <v>45</v>
      </c>
      <c r="V265" s="1">
        <f t="shared" si="61"/>
        <v>59</v>
      </c>
      <c r="W265" s="10" t="str">
        <f t="shared" si="62"/>
        <v>Medium</v>
      </c>
      <c r="X265" s="1" t="s">
        <v>32</v>
      </c>
      <c r="Y265" s="1" t="str">
        <f t="shared" si="63"/>
        <v>Yes</v>
      </c>
      <c r="AA265" s="18" t="str">
        <f t="shared" si="64"/>
        <v>Invalid</v>
      </c>
      <c r="AB265" s="18" t="str">
        <f t="shared" si="65"/>
        <v>High Performer</v>
      </c>
      <c r="AC265" s="9" t="s">
        <v>1097</v>
      </c>
      <c r="AD265">
        <f>IF(AC265="",0,LEN(AC265)-LEN(SUBSTITUTE(AC265,",",""))+1)</f>
        <v>7</v>
      </c>
    </row>
    <row r="266" spans="1:30" ht="12.5" x14ac:dyDescent="0.25">
      <c r="A266" s="1" t="s">
        <v>1098</v>
      </c>
      <c r="B266" s="1" t="s">
        <v>1099</v>
      </c>
      <c r="C266" s="1" t="str">
        <v>Peter Perez</v>
      </c>
      <c r="D266" s="1" t="s">
        <v>1100</v>
      </c>
      <c r="E266" s="1" t="str">
        <v>acardenas@mcdaniel.com</v>
      </c>
      <c r="F266" t="str">
        <f t="shared" si="54"/>
        <v>Valid</v>
      </c>
      <c r="G266" s="1" t="s">
        <v>43</v>
      </c>
      <c r="H266" s="1" t="str">
        <f t="shared" si="55"/>
        <v>Female</v>
      </c>
      <c r="I266" s="1" t="s">
        <v>28</v>
      </c>
      <c r="J266" t="str">
        <f t="shared" si="56"/>
        <v>INDIA</v>
      </c>
      <c r="K266" s="14">
        <v>0</v>
      </c>
      <c r="L266" s="1">
        <f t="shared" si="57"/>
        <v>19</v>
      </c>
      <c r="M266" s="1" t="str">
        <f t="shared" si="58"/>
        <v>Student</v>
      </c>
      <c r="N266" s="9">
        <v>44791</v>
      </c>
      <c r="O266" s="1" t="s">
        <v>75</v>
      </c>
      <c r="P266" s="1" t="s">
        <v>37</v>
      </c>
      <c r="Q266" s="4">
        <v>0.91</v>
      </c>
      <c r="R266" s="13">
        <f t="shared" si="59"/>
        <v>91</v>
      </c>
      <c r="S266" s="6">
        <f t="shared" si="53"/>
        <v>0.91</v>
      </c>
      <c r="T266" s="1">
        <v>2</v>
      </c>
      <c r="U266" s="1">
        <f t="shared" si="60"/>
        <v>2</v>
      </c>
      <c r="V266" s="1">
        <f t="shared" si="61"/>
        <v>64.3</v>
      </c>
      <c r="W266" s="10" t="str">
        <f t="shared" si="62"/>
        <v>Medium</v>
      </c>
      <c r="X266" s="1" t="s">
        <v>32</v>
      </c>
      <c r="Y266" s="1" t="str">
        <f t="shared" si="63"/>
        <v>Yes</v>
      </c>
      <c r="AA266" s="18" t="str">
        <f t="shared" si="64"/>
        <v>Invalid</v>
      </c>
      <c r="AB266" s="18" t="str">
        <f t="shared" si="65"/>
        <v>High Performer</v>
      </c>
      <c r="AC266" s="9" t="s">
        <v>1101</v>
      </c>
      <c r="AD266">
        <f>IF(AC266="",0,LEN(AC266)-LEN(SUBSTITUTE(AC266,",",""))+1)</f>
        <v>6</v>
      </c>
    </row>
    <row r="267" spans="1:30" ht="12.5" x14ac:dyDescent="0.25">
      <c r="A267" s="1" t="s">
        <v>1102</v>
      </c>
      <c r="B267" s="1" t="s">
        <v>1103</v>
      </c>
      <c r="C267" s="1" t="str">
        <v>Amanda Duncan</v>
      </c>
      <c r="D267" s="1" t="s">
        <v>1104</v>
      </c>
      <c r="E267" s="1" t="str">
        <v>averyshane@stanton.com</v>
      </c>
      <c r="F267" t="str">
        <f t="shared" si="54"/>
        <v>Valid</v>
      </c>
      <c r="G267" s="1" t="s">
        <v>95</v>
      </c>
      <c r="H267" s="1" t="str">
        <f t="shared" si="55"/>
        <v>Male</v>
      </c>
      <c r="I267" s="1" t="s">
        <v>89</v>
      </c>
      <c r="J267" t="str">
        <f t="shared" si="56"/>
        <v>GERMANY</v>
      </c>
      <c r="K267" s="14">
        <v>0</v>
      </c>
      <c r="L267" s="1">
        <f t="shared" si="57"/>
        <v>19</v>
      </c>
      <c r="M267" s="1" t="str">
        <f t="shared" si="58"/>
        <v>Student</v>
      </c>
      <c r="N267" s="9">
        <v>45397</v>
      </c>
      <c r="O267" s="1" t="s">
        <v>146</v>
      </c>
      <c r="P267" s="1" t="s">
        <v>147</v>
      </c>
      <c r="Q267" s="4">
        <v>0.37</v>
      </c>
      <c r="R267" s="13">
        <f t="shared" si="59"/>
        <v>37</v>
      </c>
      <c r="S267" s="6">
        <f t="shared" si="53"/>
        <v>0.37</v>
      </c>
      <c r="T267" s="1" t="s">
        <v>46</v>
      </c>
      <c r="U267" s="1">
        <f t="shared" si="60"/>
        <v>1</v>
      </c>
      <c r="V267" s="1">
        <f t="shared" si="61"/>
        <v>26.2</v>
      </c>
      <c r="W267" s="10" t="str">
        <f t="shared" si="62"/>
        <v>Low</v>
      </c>
      <c r="X267" s="1">
        <v>0</v>
      </c>
      <c r="Y267" s="1" t="str">
        <f t="shared" si="63"/>
        <v>No</v>
      </c>
      <c r="Z267" s="14">
        <v>3</v>
      </c>
      <c r="AA267" s="18">
        <f t="shared" si="64"/>
        <v>3</v>
      </c>
      <c r="AB267" s="18" t="str">
        <f t="shared" si="65"/>
        <v>No</v>
      </c>
      <c r="AC267" s="9" t="s">
        <v>1105</v>
      </c>
      <c r="AD267">
        <f>IF(AC267="",0,LEN(AC267)-LEN(SUBSTITUTE(AC267,",",""))+1)</f>
        <v>1</v>
      </c>
    </row>
    <row r="268" spans="1:30" ht="12.5" x14ac:dyDescent="0.25">
      <c r="A268" s="1" t="s">
        <v>1106</v>
      </c>
      <c r="B268" s="1" t="s">
        <v>1107</v>
      </c>
      <c r="C268" s="1" t="str">
        <v>Zachary Burton</v>
      </c>
      <c r="D268" s="1" t="s">
        <v>1108</v>
      </c>
      <c r="E268" s="1" t="str">
        <v>renee11@yahoo.com</v>
      </c>
      <c r="F268" t="str">
        <f t="shared" si="54"/>
        <v>Valid</v>
      </c>
      <c r="G268" s="1" t="s">
        <v>109</v>
      </c>
      <c r="H268" s="1" t="str">
        <f t="shared" si="55"/>
        <v>Male</v>
      </c>
      <c r="I268" s="1" t="s">
        <v>44</v>
      </c>
      <c r="J268" t="str">
        <f t="shared" si="56"/>
        <v>CANADA</v>
      </c>
      <c r="L268" s="1">
        <f t="shared" si="57"/>
        <v>19</v>
      </c>
      <c r="M268" s="1" t="str">
        <f t="shared" si="58"/>
        <v>Student</v>
      </c>
      <c r="N268" s="2">
        <v>44901</v>
      </c>
      <c r="O268" s="1" t="s">
        <v>30</v>
      </c>
      <c r="P268" s="1" t="s">
        <v>31</v>
      </c>
      <c r="Q268" s="4">
        <v>0.38</v>
      </c>
      <c r="R268" s="13">
        <f t="shared" si="59"/>
        <v>38</v>
      </c>
      <c r="S268" s="6">
        <f t="shared" si="53"/>
        <v>0.38</v>
      </c>
      <c r="T268" s="1" t="s">
        <v>46</v>
      </c>
      <c r="U268" s="1">
        <f t="shared" si="60"/>
        <v>1</v>
      </c>
      <c r="V268" s="1">
        <f t="shared" si="61"/>
        <v>26.9</v>
      </c>
      <c r="W268" s="10" t="str">
        <f t="shared" si="62"/>
        <v>Low</v>
      </c>
      <c r="X268" s="1" t="s">
        <v>32</v>
      </c>
      <c r="Y268" s="1" t="str">
        <f t="shared" si="63"/>
        <v>Yes</v>
      </c>
      <c r="Z268" s="14">
        <v>6</v>
      </c>
      <c r="AA268" s="18">
        <f t="shared" si="64"/>
        <v>6</v>
      </c>
      <c r="AB268" s="18" t="str">
        <f t="shared" si="65"/>
        <v>High Performer</v>
      </c>
      <c r="AC268" s="9" t="s">
        <v>1027</v>
      </c>
      <c r="AD268">
        <f>IF(AC268="",0,LEN(AC268)-LEN(SUBSTITUTE(AC268,",",""))+1)</f>
        <v>8</v>
      </c>
    </row>
    <row r="269" spans="1:30" ht="12.5" x14ac:dyDescent="0.25">
      <c r="A269" s="1" t="s">
        <v>1109</v>
      </c>
      <c r="B269" s="1" t="s">
        <v>1110</v>
      </c>
      <c r="C269" s="1" t="str">
        <v>Jimmy Marks</v>
      </c>
      <c r="D269" s="1" t="s">
        <v>1111</v>
      </c>
      <c r="E269" s="1" t="str">
        <v>perryeddie@hotmail.com</v>
      </c>
      <c r="F269" t="str">
        <f t="shared" si="54"/>
        <v>Valid</v>
      </c>
      <c r="G269" s="1" t="s">
        <v>57</v>
      </c>
      <c r="H269" s="1" t="str">
        <f t="shared" si="55"/>
        <v>Female</v>
      </c>
      <c r="I269" s="1" t="s">
        <v>156</v>
      </c>
      <c r="J269" t="str">
        <f t="shared" si="56"/>
        <v>IN</v>
      </c>
      <c r="K269" s="14">
        <v>0</v>
      </c>
      <c r="L269" s="1">
        <f t="shared" si="57"/>
        <v>19</v>
      </c>
      <c r="M269" s="1" t="str">
        <f t="shared" si="58"/>
        <v>Student</v>
      </c>
      <c r="N269" s="9">
        <v>45522</v>
      </c>
      <c r="O269" s="1" t="s">
        <v>90</v>
      </c>
      <c r="P269" s="1" t="s">
        <v>31</v>
      </c>
      <c r="Q269" s="4">
        <v>0.45</v>
      </c>
      <c r="R269" s="13">
        <f t="shared" si="59"/>
        <v>45</v>
      </c>
      <c r="S269" s="6">
        <f t="shared" si="53"/>
        <v>0.45</v>
      </c>
      <c r="T269" s="1" t="s">
        <v>46</v>
      </c>
      <c r="U269" s="1">
        <f t="shared" si="60"/>
        <v>1</v>
      </c>
      <c r="V269" s="1">
        <f t="shared" si="61"/>
        <v>31.799999999999997</v>
      </c>
      <c r="W269" s="10" t="str">
        <f t="shared" si="62"/>
        <v>Low</v>
      </c>
      <c r="X269" s="1" t="s">
        <v>76</v>
      </c>
      <c r="Y269" s="1" t="str">
        <f t="shared" si="63"/>
        <v>Yes</v>
      </c>
      <c r="Z269" s="14">
        <v>2</v>
      </c>
      <c r="AA269" s="18">
        <f t="shared" si="64"/>
        <v>2</v>
      </c>
      <c r="AB269" s="18" t="str">
        <f t="shared" si="65"/>
        <v>No</v>
      </c>
      <c r="AC269" s="9" t="s">
        <v>1112</v>
      </c>
      <c r="AD269">
        <f>IF(AC269="",0,LEN(AC269)-LEN(SUBSTITUTE(AC269,",",""))+1)</f>
        <v>6</v>
      </c>
    </row>
    <row r="270" spans="1:30" ht="12.5" x14ac:dyDescent="0.25">
      <c r="A270" s="1" t="s">
        <v>1113</v>
      </c>
      <c r="B270" s="1" t="s">
        <v>1114</v>
      </c>
      <c r="C270" s="1" t="str">
        <v>Kristine Garcia</v>
      </c>
      <c r="D270" s="1" t="s">
        <v>1115</v>
      </c>
      <c r="E270" s="1" t="str">
        <v>natalie46@hotmail.com</v>
      </c>
      <c r="F270" t="str">
        <f t="shared" si="54"/>
        <v>Valid</v>
      </c>
      <c r="G270" s="1" t="s">
        <v>27</v>
      </c>
      <c r="H270" s="1" t="str">
        <f t="shared" si="55"/>
        <v>Male</v>
      </c>
      <c r="I270" s="1" t="s">
        <v>18</v>
      </c>
      <c r="J270" t="str">
        <f t="shared" si="56"/>
        <v>US</v>
      </c>
      <c r="K270" s="14">
        <v>19</v>
      </c>
      <c r="L270" s="1">
        <f t="shared" si="57"/>
        <v>19</v>
      </c>
      <c r="M270" s="1" t="str">
        <f t="shared" si="58"/>
        <v>Student</v>
      </c>
      <c r="N270" s="9">
        <v>45563</v>
      </c>
      <c r="O270" s="1" t="s">
        <v>158</v>
      </c>
      <c r="P270" s="1" t="s">
        <v>59</v>
      </c>
      <c r="Q270" s="4">
        <v>64</v>
      </c>
      <c r="R270" s="13">
        <f t="shared" si="59"/>
        <v>64</v>
      </c>
      <c r="S270" s="6">
        <f t="shared" si="53"/>
        <v>0.64</v>
      </c>
      <c r="T270" s="1" t="s">
        <v>64</v>
      </c>
      <c r="U270" s="1">
        <f t="shared" si="60"/>
        <v>2</v>
      </c>
      <c r="V270" s="1">
        <f t="shared" si="61"/>
        <v>45.4</v>
      </c>
      <c r="W270" s="10" t="str">
        <f t="shared" si="62"/>
        <v>Medium</v>
      </c>
      <c r="X270" s="1" t="s">
        <v>22</v>
      </c>
      <c r="Y270" s="1" t="str">
        <f t="shared" si="63"/>
        <v>No</v>
      </c>
      <c r="Z270" s="14">
        <v>1</v>
      </c>
      <c r="AA270" s="18">
        <f t="shared" si="64"/>
        <v>1</v>
      </c>
      <c r="AB270" s="18" t="str">
        <f t="shared" si="65"/>
        <v>No</v>
      </c>
      <c r="AC270" s="9" t="s">
        <v>1116</v>
      </c>
      <c r="AD270">
        <f>IF(AC270="",0,LEN(AC270)-LEN(SUBSTITUTE(AC270,",",""))+1)</f>
        <v>2</v>
      </c>
    </row>
    <row r="271" spans="1:30" ht="12.5" x14ac:dyDescent="0.25">
      <c r="A271" s="1" t="s">
        <v>1117</v>
      </c>
      <c r="B271" s="1" t="s">
        <v>1118</v>
      </c>
      <c r="C271" s="1" t="str">
        <v>Jamie Montgomery</v>
      </c>
      <c r="D271" s="1" t="s">
        <v>1119</v>
      </c>
      <c r="E271" s="1" t="str">
        <v>fosternatasha@hotmail.com</v>
      </c>
      <c r="F271" t="str">
        <f t="shared" si="54"/>
        <v>Valid</v>
      </c>
      <c r="G271" s="1" t="s">
        <v>109</v>
      </c>
      <c r="H271" s="1" t="str">
        <f t="shared" si="55"/>
        <v>Male</v>
      </c>
      <c r="I271" s="1" t="s">
        <v>156</v>
      </c>
      <c r="J271" t="str">
        <f t="shared" si="56"/>
        <v>IN</v>
      </c>
      <c r="K271" s="14">
        <v>38</v>
      </c>
      <c r="L271" s="1">
        <f t="shared" si="57"/>
        <v>38</v>
      </c>
      <c r="M271" s="1" t="str">
        <f t="shared" si="58"/>
        <v>Mid Career</v>
      </c>
      <c r="N271" s="9">
        <v>45412</v>
      </c>
      <c r="O271" s="1" t="s">
        <v>52</v>
      </c>
      <c r="P271" s="1" t="s">
        <v>37</v>
      </c>
      <c r="Q271" s="4">
        <v>0.91</v>
      </c>
      <c r="R271" s="13">
        <f t="shared" si="59"/>
        <v>91</v>
      </c>
      <c r="S271" s="6">
        <f t="shared" si="53"/>
        <v>0.91</v>
      </c>
      <c r="T271" s="1" t="s">
        <v>21</v>
      </c>
      <c r="U271" s="1">
        <f t="shared" si="60"/>
        <v>1.5</v>
      </c>
      <c r="V271" s="1">
        <f t="shared" si="61"/>
        <v>64.149999999999991</v>
      </c>
      <c r="W271" s="10" t="str">
        <f t="shared" si="62"/>
        <v>Medium</v>
      </c>
      <c r="X271" s="1" t="s">
        <v>32</v>
      </c>
      <c r="Y271" s="1" t="str">
        <f t="shared" si="63"/>
        <v>Yes</v>
      </c>
      <c r="Z271" s="14">
        <v>2</v>
      </c>
      <c r="AA271" s="18">
        <f t="shared" si="64"/>
        <v>2</v>
      </c>
      <c r="AB271" s="18" t="str">
        <f t="shared" si="65"/>
        <v>No</v>
      </c>
      <c r="AC271" s="9" t="s">
        <v>1120</v>
      </c>
      <c r="AD271">
        <f>IF(AC271="",0,LEN(AC271)-LEN(SUBSTITUTE(AC271,",",""))+1)</f>
        <v>8</v>
      </c>
    </row>
    <row r="272" spans="1:30" ht="12.5" x14ac:dyDescent="0.25">
      <c r="A272" s="1" t="s">
        <v>1121</v>
      </c>
      <c r="B272" s="1" t="s">
        <v>1122</v>
      </c>
      <c r="C272" s="1" t="str">
        <v>Jaime Morgan</v>
      </c>
      <c r="D272" s="1" t="s">
        <v>1123</v>
      </c>
      <c r="E272" s="1" t="str">
        <v>juan71@gmail.com</v>
      </c>
      <c r="F272" t="str">
        <f t="shared" si="54"/>
        <v>Valid</v>
      </c>
      <c r="G272" s="1" t="s">
        <v>88</v>
      </c>
      <c r="H272" s="1" t="str">
        <f t="shared" si="55"/>
        <v>Male</v>
      </c>
      <c r="I272" s="1" t="s">
        <v>18</v>
      </c>
      <c r="J272" t="str">
        <f t="shared" si="56"/>
        <v>US</v>
      </c>
      <c r="L272" s="1">
        <f t="shared" si="57"/>
        <v>19</v>
      </c>
      <c r="M272" s="1" t="str">
        <f t="shared" si="58"/>
        <v>Student</v>
      </c>
      <c r="N272" s="2">
        <v>45234</v>
      </c>
      <c r="O272" s="1" t="s">
        <v>235</v>
      </c>
      <c r="P272" s="1" t="s">
        <v>147</v>
      </c>
      <c r="Q272" s="4">
        <v>99</v>
      </c>
      <c r="R272" s="13">
        <f t="shared" si="59"/>
        <v>99</v>
      </c>
      <c r="S272" s="6">
        <f t="shared" si="53"/>
        <v>0.99</v>
      </c>
      <c r="T272" s="1" t="s">
        <v>64</v>
      </c>
      <c r="U272" s="1">
        <f t="shared" si="60"/>
        <v>2</v>
      </c>
      <c r="V272" s="1">
        <f t="shared" si="61"/>
        <v>69.899999999999991</v>
      </c>
      <c r="W272" s="10" t="str">
        <f t="shared" si="62"/>
        <v>Medium</v>
      </c>
      <c r="X272" s="1" t="s">
        <v>76</v>
      </c>
      <c r="Y272" s="1" t="str">
        <f t="shared" si="63"/>
        <v>Yes</v>
      </c>
      <c r="Z272" s="14">
        <v>1</v>
      </c>
      <c r="AA272" s="18">
        <f t="shared" si="64"/>
        <v>1</v>
      </c>
      <c r="AB272" s="18" t="str">
        <f t="shared" si="65"/>
        <v>No</v>
      </c>
      <c r="AC272" s="9" t="s">
        <v>1124</v>
      </c>
      <c r="AD272">
        <f>IF(AC272="",0,LEN(AC272)-LEN(SUBSTITUTE(AC272,",",""))+1)</f>
        <v>3</v>
      </c>
    </row>
    <row r="273" spans="1:30" ht="12.5" x14ac:dyDescent="0.25">
      <c r="A273" s="1" t="s">
        <v>1125</v>
      </c>
      <c r="B273" s="1" t="s">
        <v>1126</v>
      </c>
      <c r="C273" s="1" t="str">
        <v>Erica Daniel</v>
      </c>
      <c r="D273" s="1" t="s">
        <v>127</v>
      </c>
      <c r="E273" s="1" t="str">
        <v>invalid-email</v>
      </c>
      <c r="F273" t="str">
        <f t="shared" si="54"/>
        <v>Invalid</v>
      </c>
      <c r="G273" s="1" t="s">
        <v>95</v>
      </c>
      <c r="H273" s="1" t="str">
        <f t="shared" si="55"/>
        <v>Male</v>
      </c>
      <c r="I273" s="1" t="s">
        <v>89</v>
      </c>
      <c r="J273" t="str">
        <f t="shared" si="56"/>
        <v>GERMANY</v>
      </c>
      <c r="K273" s="14">
        <v>0</v>
      </c>
      <c r="L273" s="1">
        <f t="shared" si="57"/>
        <v>19</v>
      </c>
      <c r="M273" s="1" t="str">
        <f t="shared" si="58"/>
        <v>Student</v>
      </c>
      <c r="N273" s="2">
        <v>44572</v>
      </c>
      <c r="O273" s="1" t="s">
        <v>90</v>
      </c>
      <c r="P273" s="1" t="s">
        <v>31</v>
      </c>
      <c r="Q273" s="4">
        <v>96</v>
      </c>
      <c r="R273" s="13">
        <f t="shared" si="59"/>
        <v>96</v>
      </c>
      <c r="S273" s="6">
        <f t="shared" si="53"/>
        <v>0.96</v>
      </c>
      <c r="T273" s="1">
        <v>1.5</v>
      </c>
      <c r="U273" s="1">
        <f t="shared" si="60"/>
        <v>1.5</v>
      </c>
      <c r="V273" s="1">
        <f t="shared" si="61"/>
        <v>67.649999999999991</v>
      </c>
      <c r="W273" s="10" t="str">
        <f t="shared" si="62"/>
        <v>Medium</v>
      </c>
      <c r="X273" s="1" t="s">
        <v>32</v>
      </c>
      <c r="Y273" s="1" t="str">
        <f t="shared" si="63"/>
        <v>Yes</v>
      </c>
      <c r="Z273" s="14">
        <v>6</v>
      </c>
      <c r="AA273" s="18">
        <f t="shared" si="64"/>
        <v>6</v>
      </c>
      <c r="AB273" s="18" t="str">
        <f t="shared" si="65"/>
        <v>High Performer</v>
      </c>
      <c r="AC273" s="9" t="s">
        <v>1127</v>
      </c>
      <c r="AD273">
        <f>IF(AC273="",0,LEN(AC273)-LEN(SUBSTITUTE(AC273,",",""))+1)</f>
        <v>6</v>
      </c>
    </row>
    <row r="274" spans="1:30" ht="12.5" x14ac:dyDescent="0.25">
      <c r="A274" s="1" t="s">
        <v>1128</v>
      </c>
      <c r="B274" s="1" t="s">
        <v>1129</v>
      </c>
      <c r="C274" s="1" t="str">
        <v>Rodney Figueroa</v>
      </c>
      <c r="D274" s="1" t="s">
        <v>1130</v>
      </c>
      <c r="E274" s="1" t="str">
        <v>robertsonerik@yahoo.com</v>
      </c>
      <c r="F274" t="str">
        <f t="shared" si="54"/>
        <v>Valid</v>
      </c>
      <c r="G274" s="1" t="s">
        <v>27</v>
      </c>
      <c r="H274" s="1" t="str">
        <f t="shared" si="55"/>
        <v>Male</v>
      </c>
      <c r="I274" s="1" t="s">
        <v>136</v>
      </c>
      <c r="J274" t="str">
        <f t="shared" si="56"/>
        <v>UK</v>
      </c>
      <c r="K274" s="14">
        <v>0</v>
      </c>
      <c r="L274" s="1">
        <f t="shared" si="57"/>
        <v>19</v>
      </c>
      <c r="M274" s="1" t="str">
        <f t="shared" si="58"/>
        <v>Student</v>
      </c>
      <c r="N274" s="2">
        <v>45302</v>
      </c>
      <c r="O274" s="1" t="s">
        <v>235</v>
      </c>
      <c r="P274" s="1" t="s">
        <v>147</v>
      </c>
      <c r="Q274" s="4">
        <v>0.21</v>
      </c>
      <c r="R274" s="13">
        <f t="shared" si="59"/>
        <v>21</v>
      </c>
      <c r="S274" s="6">
        <f t="shared" si="53"/>
        <v>0.21</v>
      </c>
      <c r="T274" s="1">
        <v>45</v>
      </c>
      <c r="U274" s="1">
        <f t="shared" si="60"/>
        <v>45</v>
      </c>
      <c r="V274" s="1">
        <f t="shared" si="61"/>
        <v>28.2</v>
      </c>
      <c r="W274" s="10" t="str">
        <f t="shared" si="62"/>
        <v>Low</v>
      </c>
      <c r="X274" s="1" t="s">
        <v>32</v>
      </c>
      <c r="Y274" s="1" t="str">
        <f t="shared" si="63"/>
        <v>Yes</v>
      </c>
      <c r="Z274" s="14">
        <v>1</v>
      </c>
      <c r="AA274" s="18">
        <f t="shared" si="64"/>
        <v>1</v>
      </c>
      <c r="AB274" s="18" t="str">
        <f t="shared" si="65"/>
        <v>No</v>
      </c>
      <c r="AC274" s="9" t="s">
        <v>1131</v>
      </c>
      <c r="AD274">
        <f>IF(AC274="",0,LEN(AC274)-LEN(SUBSTITUTE(AC274,",",""))+1)</f>
        <v>7</v>
      </c>
    </row>
    <row r="275" spans="1:30" ht="12.5" x14ac:dyDescent="0.25">
      <c r="A275" s="1" t="s">
        <v>1132</v>
      </c>
      <c r="B275" s="1" t="s">
        <v>1133</v>
      </c>
      <c r="C275" s="1" t="str">
        <v>Laura Thompson</v>
      </c>
      <c r="D275" s="1" t="s">
        <v>1134</v>
      </c>
      <c r="E275" s="1" t="str">
        <v>wrightstephen@bush-hill.info</v>
      </c>
      <c r="F275" t="str">
        <f t="shared" si="54"/>
        <v>Valid</v>
      </c>
      <c r="G275" s="1" t="s">
        <v>88</v>
      </c>
      <c r="H275" s="1" t="str">
        <f t="shared" si="55"/>
        <v>Male</v>
      </c>
      <c r="I275" s="1" t="s">
        <v>28</v>
      </c>
      <c r="J275" t="str">
        <f t="shared" si="56"/>
        <v>INDIA</v>
      </c>
      <c r="K275" s="14">
        <v>25</v>
      </c>
      <c r="L275" s="1">
        <f t="shared" si="57"/>
        <v>25</v>
      </c>
      <c r="M275" s="1" t="str">
        <f t="shared" si="58"/>
        <v>Early Career</v>
      </c>
      <c r="N275" s="2">
        <v>45328</v>
      </c>
      <c r="O275" s="1" t="s">
        <v>114</v>
      </c>
      <c r="P275" s="1" t="s">
        <v>59</v>
      </c>
      <c r="Q275" s="4">
        <v>62</v>
      </c>
      <c r="R275" s="13">
        <f t="shared" si="59"/>
        <v>62</v>
      </c>
      <c r="S275" s="6">
        <f t="shared" si="53"/>
        <v>0.62</v>
      </c>
      <c r="T275" s="1">
        <v>2</v>
      </c>
      <c r="U275" s="1">
        <f t="shared" si="60"/>
        <v>2</v>
      </c>
      <c r="V275" s="1">
        <f t="shared" si="61"/>
        <v>44</v>
      </c>
      <c r="W275" s="10" t="str">
        <f t="shared" si="62"/>
        <v>Medium</v>
      </c>
      <c r="X275" s="1" t="s">
        <v>22</v>
      </c>
      <c r="Y275" s="1" t="str">
        <f t="shared" si="63"/>
        <v>No</v>
      </c>
      <c r="Z275" s="14">
        <v>3</v>
      </c>
      <c r="AA275" s="18">
        <f t="shared" si="64"/>
        <v>3</v>
      </c>
      <c r="AB275" s="18" t="str">
        <f t="shared" si="65"/>
        <v>No</v>
      </c>
      <c r="AC275" s="9" t="s">
        <v>1135</v>
      </c>
      <c r="AD275">
        <f>IF(AC275="",0,LEN(AC275)-LEN(SUBSTITUTE(AC275,",",""))+1)</f>
        <v>3</v>
      </c>
    </row>
    <row r="276" spans="1:30" ht="12.5" x14ac:dyDescent="0.25">
      <c r="A276" s="1" t="s">
        <v>1136</v>
      </c>
      <c r="B276" s="1" t="s">
        <v>1137</v>
      </c>
      <c r="C276" s="1" t="str">
        <v>Dana Burns</v>
      </c>
      <c r="D276" s="1" t="s">
        <v>1138</v>
      </c>
      <c r="E276" s="1" t="str">
        <v>susanwells@hotmail.com</v>
      </c>
      <c r="F276" t="str">
        <f t="shared" si="54"/>
        <v>Valid</v>
      </c>
      <c r="G276" s="1" t="s">
        <v>88</v>
      </c>
      <c r="H276" s="1" t="str">
        <f t="shared" si="55"/>
        <v>Male</v>
      </c>
      <c r="I276" s="1" t="s">
        <v>44</v>
      </c>
      <c r="J276" t="str">
        <f t="shared" si="56"/>
        <v>CANADA</v>
      </c>
      <c r="K276" s="14">
        <v>0</v>
      </c>
      <c r="L276" s="1">
        <f t="shared" si="57"/>
        <v>19</v>
      </c>
      <c r="M276" s="1" t="str">
        <f t="shared" si="58"/>
        <v>Student</v>
      </c>
      <c r="N276" s="9">
        <v>45442</v>
      </c>
      <c r="O276" s="1" t="s">
        <v>146</v>
      </c>
      <c r="P276" s="1" t="s">
        <v>147</v>
      </c>
      <c r="Q276" s="4">
        <v>0.15</v>
      </c>
      <c r="R276" s="13">
        <f t="shared" si="59"/>
        <v>15</v>
      </c>
      <c r="S276" s="6">
        <f t="shared" si="53"/>
        <v>0.15</v>
      </c>
      <c r="T276" s="1">
        <v>45</v>
      </c>
      <c r="U276" s="1">
        <f t="shared" si="60"/>
        <v>45</v>
      </c>
      <c r="V276" s="1">
        <f t="shared" si="61"/>
        <v>24</v>
      </c>
      <c r="W276" s="10" t="str">
        <f t="shared" si="62"/>
        <v>Low</v>
      </c>
      <c r="X276" s="1">
        <v>1</v>
      </c>
      <c r="Y276" s="1" t="str">
        <f t="shared" si="63"/>
        <v>Yes</v>
      </c>
      <c r="Z276" s="14">
        <v>3</v>
      </c>
      <c r="AA276" s="18">
        <f t="shared" si="64"/>
        <v>3</v>
      </c>
      <c r="AB276" s="18" t="str">
        <f t="shared" si="65"/>
        <v>No</v>
      </c>
      <c r="AC276" s="9" t="s">
        <v>1139</v>
      </c>
      <c r="AD276">
        <f>IF(AC276="",0,LEN(AC276)-LEN(SUBSTITUTE(AC276,",",""))+1)</f>
        <v>1</v>
      </c>
    </row>
    <row r="277" spans="1:30" ht="12.5" x14ac:dyDescent="0.25">
      <c r="A277" s="1" t="s">
        <v>1140</v>
      </c>
      <c r="B277" s="1" t="s">
        <v>1141</v>
      </c>
      <c r="C277" s="1" t="str">
        <v>Ronald Davis</v>
      </c>
      <c r="D277" s="1" t="s">
        <v>1142</v>
      </c>
      <c r="E277" s="1" t="str">
        <v>kwilliams@vincent.com</v>
      </c>
      <c r="F277" t="str">
        <f t="shared" si="54"/>
        <v>Valid</v>
      </c>
      <c r="G277" s="1" t="s">
        <v>17</v>
      </c>
      <c r="H277" s="1" t="str">
        <f t="shared" si="55"/>
        <v>Female</v>
      </c>
      <c r="I277" s="1" t="s">
        <v>96</v>
      </c>
      <c r="J277" t="str">
        <f t="shared" si="56"/>
        <v>INDIA</v>
      </c>
      <c r="L277" s="1">
        <f t="shared" si="57"/>
        <v>19</v>
      </c>
      <c r="M277" s="1" t="str">
        <f t="shared" si="58"/>
        <v>Student</v>
      </c>
      <c r="N277" s="2">
        <v>44967</v>
      </c>
      <c r="O277" s="1" t="s">
        <v>45</v>
      </c>
      <c r="P277" s="1" t="s">
        <v>20</v>
      </c>
      <c r="Q277" s="4">
        <v>6</v>
      </c>
      <c r="R277" s="13">
        <f t="shared" si="59"/>
        <v>6</v>
      </c>
      <c r="S277" s="6">
        <f t="shared" si="53"/>
        <v>0.06</v>
      </c>
      <c r="T277" s="1" t="s">
        <v>46</v>
      </c>
      <c r="U277" s="1">
        <f t="shared" si="60"/>
        <v>1</v>
      </c>
      <c r="V277" s="1">
        <f t="shared" si="61"/>
        <v>4.4999999999999991</v>
      </c>
      <c r="W277" s="10" t="str">
        <f t="shared" si="62"/>
        <v>Low</v>
      </c>
      <c r="X277" s="1" t="s">
        <v>22</v>
      </c>
      <c r="Y277" s="1" t="str">
        <f t="shared" si="63"/>
        <v>No</v>
      </c>
      <c r="AA277" s="18" t="str">
        <f t="shared" si="64"/>
        <v>Invalid</v>
      </c>
      <c r="AB277" s="18" t="str">
        <f t="shared" si="65"/>
        <v>No</v>
      </c>
      <c r="AC277" s="9" t="s">
        <v>1143</v>
      </c>
      <c r="AD277">
        <f>IF(AC277="",0,LEN(AC277)-LEN(SUBSTITUTE(AC277,",",""))+1)</f>
        <v>2</v>
      </c>
    </row>
    <row r="278" spans="1:30" ht="12.5" x14ac:dyDescent="0.25">
      <c r="A278" s="1" t="s">
        <v>1144</v>
      </c>
      <c r="B278" s="1" t="s">
        <v>1145</v>
      </c>
      <c r="C278" s="1" t="str">
        <v>Sharon Coffey</v>
      </c>
      <c r="D278" s="1" t="s">
        <v>1146</v>
      </c>
      <c r="E278" s="1" t="str">
        <v>pbuck@burke.com</v>
      </c>
      <c r="F278" t="str">
        <f t="shared" si="54"/>
        <v>Valid</v>
      </c>
      <c r="G278" s="1" t="s">
        <v>88</v>
      </c>
      <c r="H278" s="1" t="str">
        <f t="shared" si="55"/>
        <v>Male</v>
      </c>
      <c r="I278" s="1" t="s">
        <v>74</v>
      </c>
      <c r="J278" t="str">
        <f t="shared" si="56"/>
        <v>USA</v>
      </c>
      <c r="K278" s="14">
        <v>0</v>
      </c>
      <c r="L278" s="1">
        <f t="shared" si="57"/>
        <v>19</v>
      </c>
      <c r="M278" s="1" t="str">
        <f t="shared" si="58"/>
        <v>Student</v>
      </c>
      <c r="N278" s="9">
        <v>45710</v>
      </c>
      <c r="O278" s="1" t="s">
        <v>301</v>
      </c>
      <c r="P278" s="1" t="s">
        <v>20</v>
      </c>
      <c r="Q278" s="4">
        <v>0.66</v>
      </c>
      <c r="R278" s="13">
        <f t="shared" si="59"/>
        <v>66</v>
      </c>
      <c r="S278" s="6">
        <f t="shared" si="53"/>
        <v>0.66</v>
      </c>
      <c r="T278" s="1" t="s">
        <v>46</v>
      </c>
      <c r="U278" s="1">
        <f t="shared" si="60"/>
        <v>1</v>
      </c>
      <c r="V278" s="1">
        <f t="shared" si="61"/>
        <v>46.499999999999993</v>
      </c>
      <c r="W278" s="10" t="str">
        <f t="shared" si="62"/>
        <v>Medium</v>
      </c>
      <c r="X278" s="1" t="s">
        <v>32</v>
      </c>
      <c r="Y278" s="1" t="str">
        <f t="shared" si="63"/>
        <v>Yes</v>
      </c>
      <c r="Z278" s="14">
        <v>3</v>
      </c>
      <c r="AA278" s="18">
        <f t="shared" si="64"/>
        <v>3</v>
      </c>
      <c r="AB278" s="18" t="str">
        <f t="shared" si="65"/>
        <v>No</v>
      </c>
      <c r="AC278" s="9" t="s">
        <v>1147</v>
      </c>
      <c r="AD278">
        <f>IF(AC278="",0,LEN(AC278)-LEN(SUBSTITUTE(AC278,",",""))+1)</f>
        <v>7</v>
      </c>
    </row>
    <row r="279" spans="1:30" ht="12.5" x14ac:dyDescent="0.25">
      <c r="A279" s="1" t="s">
        <v>1148</v>
      </c>
      <c r="B279" s="1" t="s">
        <v>1149</v>
      </c>
      <c r="C279" s="1" t="str">
        <v>Michelle Hill</v>
      </c>
      <c r="D279" s="1" t="s">
        <v>1150</v>
      </c>
      <c r="E279" s="1" t="str">
        <v>stephen37@yahoo.com</v>
      </c>
      <c r="F279" t="str">
        <f t="shared" si="54"/>
        <v>Valid</v>
      </c>
      <c r="G279" s="1" t="s">
        <v>57</v>
      </c>
      <c r="H279" s="1" t="str">
        <f t="shared" si="55"/>
        <v>Female</v>
      </c>
      <c r="I279" s="1" t="s">
        <v>18</v>
      </c>
      <c r="J279" t="str">
        <f t="shared" si="56"/>
        <v>US</v>
      </c>
      <c r="K279" s="14">
        <v>27</v>
      </c>
      <c r="L279" s="1">
        <f t="shared" si="57"/>
        <v>27</v>
      </c>
      <c r="M279" s="1" t="str">
        <f t="shared" si="58"/>
        <v>Early Career</v>
      </c>
      <c r="N279" s="2">
        <v>45021</v>
      </c>
      <c r="O279" s="1" t="s">
        <v>19</v>
      </c>
      <c r="P279" s="1" t="s">
        <v>20</v>
      </c>
      <c r="Q279" s="4">
        <v>0.99</v>
      </c>
      <c r="R279" s="13">
        <f t="shared" si="59"/>
        <v>99</v>
      </c>
      <c r="S279" s="6">
        <f t="shared" si="53"/>
        <v>0.99</v>
      </c>
      <c r="T279" s="1" t="s">
        <v>21</v>
      </c>
      <c r="U279" s="1">
        <f t="shared" si="60"/>
        <v>1.5</v>
      </c>
      <c r="V279" s="1">
        <f t="shared" si="61"/>
        <v>69.75</v>
      </c>
      <c r="W279" s="10" t="str">
        <f t="shared" si="62"/>
        <v>Medium</v>
      </c>
      <c r="X279" s="1" t="s">
        <v>38</v>
      </c>
      <c r="Y279" s="1" t="str">
        <f t="shared" si="63"/>
        <v>No</v>
      </c>
      <c r="Z279" s="14">
        <v>3</v>
      </c>
      <c r="AA279" s="18">
        <f t="shared" si="64"/>
        <v>3</v>
      </c>
      <c r="AB279" s="18" t="str">
        <f t="shared" si="65"/>
        <v>No</v>
      </c>
      <c r="AC279" s="9" t="s">
        <v>1151</v>
      </c>
      <c r="AD279">
        <f>IF(AC279="",0,LEN(AC279)-LEN(SUBSTITUTE(AC279,",",""))+1)</f>
        <v>8</v>
      </c>
    </row>
    <row r="280" spans="1:30" ht="12.5" x14ac:dyDescent="0.25">
      <c r="A280" s="1" t="s">
        <v>1152</v>
      </c>
      <c r="B280" s="1" t="s">
        <v>1153</v>
      </c>
      <c r="C280" s="1" t="str">
        <v>Adrienne Key</v>
      </c>
      <c r="D280" s="1" t="s">
        <v>1154</v>
      </c>
      <c r="E280" s="1" t="str">
        <v>kenneth17@gmail.com</v>
      </c>
      <c r="F280" t="str">
        <f t="shared" si="54"/>
        <v>Valid</v>
      </c>
      <c r="G280" s="1" t="s">
        <v>119</v>
      </c>
      <c r="H280" s="1" t="str">
        <f t="shared" si="55"/>
        <v>Female</v>
      </c>
      <c r="I280" s="1" t="s">
        <v>51</v>
      </c>
      <c r="J280" t="str">
        <f t="shared" si="56"/>
        <v>UK</v>
      </c>
      <c r="K280" s="14">
        <v>0</v>
      </c>
      <c r="L280" s="1">
        <f t="shared" si="57"/>
        <v>19</v>
      </c>
      <c r="M280" s="1" t="str">
        <f t="shared" si="58"/>
        <v>Student</v>
      </c>
      <c r="N280" s="9">
        <v>45709</v>
      </c>
      <c r="O280" s="1" t="s">
        <v>146</v>
      </c>
      <c r="P280" s="1" t="s">
        <v>147</v>
      </c>
      <c r="Q280" s="4">
        <v>0.01</v>
      </c>
      <c r="R280" s="13">
        <f t="shared" si="59"/>
        <v>1</v>
      </c>
      <c r="S280" s="6">
        <f t="shared" si="53"/>
        <v>0.01</v>
      </c>
      <c r="T280" s="1">
        <v>2</v>
      </c>
      <c r="U280" s="1">
        <f t="shared" si="60"/>
        <v>2</v>
      </c>
      <c r="V280" s="1">
        <f t="shared" si="61"/>
        <v>1.2999999999999998</v>
      </c>
      <c r="W280" s="10" t="str">
        <f t="shared" si="62"/>
        <v>Low</v>
      </c>
      <c r="X280" s="1">
        <v>0</v>
      </c>
      <c r="Y280" s="1" t="str">
        <f t="shared" si="63"/>
        <v>No</v>
      </c>
      <c r="AA280" s="18" t="str">
        <f t="shared" si="64"/>
        <v>Invalid</v>
      </c>
      <c r="AB280" s="18" t="str">
        <f t="shared" si="65"/>
        <v>No</v>
      </c>
      <c r="AC280" s="9" t="s">
        <v>1155</v>
      </c>
      <c r="AD280">
        <f>IF(AC280="",0,LEN(AC280)-LEN(SUBSTITUTE(AC280,",",""))+1)</f>
        <v>8</v>
      </c>
    </row>
    <row r="281" spans="1:30" ht="12.5" x14ac:dyDescent="0.25">
      <c r="A281" s="1" t="s">
        <v>1156</v>
      </c>
      <c r="B281" s="1" t="s">
        <v>1157</v>
      </c>
      <c r="C281" s="1" t="str">
        <v>Debbie Dawson</v>
      </c>
      <c r="D281" s="1" t="s">
        <v>1158</v>
      </c>
      <c r="E281" s="1" t="str">
        <v>edwardcannon@gmail.com</v>
      </c>
      <c r="F281" t="str">
        <f t="shared" si="54"/>
        <v>Valid</v>
      </c>
      <c r="G281" s="1" t="s">
        <v>109</v>
      </c>
      <c r="H281" s="1" t="str">
        <f t="shared" si="55"/>
        <v>Male</v>
      </c>
      <c r="I281" s="1" t="s">
        <v>28</v>
      </c>
      <c r="J281" t="str">
        <f t="shared" si="56"/>
        <v>INDIA</v>
      </c>
      <c r="L281" s="1">
        <f t="shared" si="57"/>
        <v>19</v>
      </c>
      <c r="M281" s="1" t="str">
        <f t="shared" si="58"/>
        <v>Student</v>
      </c>
      <c r="N281" s="2">
        <v>45239</v>
      </c>
      <c r="O281" s="1" t="s">
        <v>301</v>
      </c>
      <c r="P281" s="1" t="s">
        <v>20</v>
      </c>
      <c r="Q281" s="4">
        <v>37</v>
      </c>
      <c r="R281" s="13">
        <f t="shared" si="59"/>
        <v>37</v>
      </c>
      <c r="S281" s="6">
        <f t="shared" si="53"/>
        <v>0.37</v>
      </c>
      <c r="T281" s="1" t="s">
        <v>64</v>
      </c>
      <c r="U281" s="1">
        <f t="shared" si="60"/>
        <v>2</v>
      </c>
      <c r="V281" s="1">
        <f t="shared" si="61"/>
        <v>26.5</v>
      </c>
      <c r="W281" s="10" t="str">
        <f t="shared" si="62"/>
        <v>Low</v>
      </c>
      <c r="X281" s="1">
        <v>0</v>
      </c>
      <c r="Y281" s="1" t="str">
        <f t="shared" si="63"/>
        <v>No</v>
      </c>
      <c r="Z281" s="14">
        <v>3</v>
      </c>
      <c r="AA281" s="18">
        <f t="shared" si="64"/>
        <v>3</v>
      </c>
      <c r="AB281" s="18" t="str">
        <f t="shared" si="65"/>
        <v>No</v>
      </c>
      <c r="AC281" s="9" t="s">
        <v>1159</v>
      </c>
      <c r="AD281">
        <f>IF(AC281="",0,LEN(AC281)-LEN(SUBSTITUTE(AC281,",",""))+1)</f>
        <v>4</v>
      </c>
    </row>
    <row r="282" spans="1:30" ht="12.5" x14ac:dyDescent="0.25">
      <c r="A282" s="1" t="s">
        <v>1160</v>
      </c>
      <c r="B282" s="1" t="s">
        <v>1161</v>
      </c>
      <c r="C282" s="1" t="str">
        <v>Alexander Jimenez</v>
      </c>
      <c r="D282" s="1" t="s">
        <v>1162</v>
      </c>
      <c r="E282" s="1" t="str">
        <v>rebecca66@hotmail.com</v>
      </c>
      <c r="F282" t="str">
        <f t="shared" si="54"/>
        <v>Valid</v>
      </c>
      <c r="G282" s="1" t="s">
        <v>109</v>
      </c>
      <c r="H282" s="1" t="str">
        <f t="shared" si="55"/>
        <v>Male</v>
      </c>
      <c r="I282" s="1" t="s">
        <v>156</v>
      </c>
      <c r="J282" t="str">
        <f t="shared" si="56"/>
        <v>IN</v>
      </c>
      <c r="L282" s="1">
        <f t="shared" si="57"/>
        <v>19</v>
      </c>
      <c r="M282" s="1" t="str">
        <f t="shared" si="58"/>
        <v>Student</v>
      </c>
      <c r="N282" s="9">
        <v>45590</v>
      </c>
      <c r="O282" s="1" t="s">
        <v>52</v>
      </c>
      <c r="P282" s="1" t="s">
        <v>37</v>
      </c>
      <c r="Q282" s="4">
        <v>5</v>
      </c>
      <c r="R282" s="13">
        <f t="shared" si="59"/>
        <v>5</v>
      </c>
      <c r="S282" s="6">
        <f t="shared" si="53"/>
        <v>0.05</v>
      </c>
      <c r="T282" s="1">
        <v>1.5</v>
      </c>
      <c r="U282" s="1">
        <f t="shared" si="60"/>
        <v>1.5</v>
      </c>
      <c r="V282" s="1">
        <f t="shared" si="61"/>
        <v>3.95</v>
      </c>
      <c r="W282" s="10" t="str">
        <f t="shared" si="62"/>
        <v>Low</v>
      </c>
      <c r="X282" s="1" t="s">
        <v>32</v>
      </c>
      <c r="Y282" s="1" t="str">
        <f t="shared" si="63"/>
        <v>Yes</v>
      </c>
      <c r="Z282" s="14">
        <v>1</v>
      </c>
      <c r="AA282" s="18">
        <f t="shared" si="64"/>
        <v>1</v>
      </c>
      <c r="AB282" s="18" t="str">
        <f t="shared" si="65"/>
        <v>No</v>
      </c>
      <c r="AC282" s="9" t="s">
        <v>1163</v>
      </c>
      <c r="AD282">
        <f>IF(AC282="",0,LEN(AC282)-LEN(SUBSTITUTE(AC282,",",""))+1)</f>
        <v>2</v>
      </c>
    </row>
    <row r="283" spans="1:30" ht="12.5" x14ac:dyDescent="0.25">
      <c r="A283" s="1" t="s">
        <v>1164</v>
      </c>
      <c r="B283" s="1" t="s">
        <v>1165</v>
      </c>
      <c r="C283" s="1" t="str">
        <v>Grace Reeves</v>
      </c>
      <c r="D283" s="1" t="s">
        <v>1166</v>
      </c>
      <c r="E283" s="1" t="str">
        <v>william28@gmail.com</v>
      </c>
      <c r="F283" t="str">
        <f t="shared" si="54"/>
        <v>Valid</v>
      </c>
      <c r="G283" s="1" t="s">
        <v>119</v>
      </c>
      <c r="H283" s="1" t="str">
        <f t="shared" si="55"/>
        <v>Female</v>
      </c>
      <c r="I283" s="1" t="s">
        <v>18</v>
      </c>
      <c r="J283" t="str">
        <f t="shared" si="56"/>
        <v>US</v>
      </c>
      <c r="K283" s="14">
        <v>38</v>
      </c>
      <c r="L283" s="1">
        <f t="shared" si="57"/>
        <v>38</v>
      </c>
      <c r="M283" s="1" t="str">
        <f t="shared" si="58"/>
        <v>Mid Career</v>
      </c>
      <c r="N283" s="9">
        <v>44712</v>
      </c>
      <c r="O283" s="1" t="s">
        <v>301</v>
      </c>
      <c r="P283" s="1" t="s">
        <v>20</v>
      </c>
      <c r="Q283" s="4">
        <v>0.51</v>
      </c>
      <c r="R283" s="13">
        <f t="shared" si="59"/>
        <v>51</v>
      </c>
      <c r="S283" s="6">
        <f t="shared" si="53"/>
        <v>0.51</v>
      </c>
      <c r="T283" s="1" t="s">
        <v>21</v>
      </c>
      <c r="U283" s="1">
        <f t="shared" si="60"/>
        <v>1.5</v>
      </c>
      <c r="V283" s="1">
        <f t="shared" si="61"/>
        <v>36.15</v>
      </c>
      <c r="W283" s="10" t="str">
        <f t="shared" si="62"/>
        <v>Low</v>
      </c>
      <c r="X283" s="1">
        <v>0</v>
      </c>
      <c r="Y283" s="1" t="str">
        <f t="shared" si="63"/>
        <v>No</v>
      </c>
      <c r="Z283" s="14">
        <v>4</v>
      </c>
      <c r="AA283" s="18">
        <f t="shared" si="64"/>
        <v>4</v>
      </c>
      <c r="AB283" s="18" t="str">
        <f t="shared" si="65"/>
        <v>No</v>
      </c>
      <c r="AC283" s="9" t="s">
        <v>1167</v>
      </c>
      <c r="AD283">
        <f>IF(AC283="",0,LEN(AC283)-LEN(SUBSTITUTE(AC283,",",""))+1)</f>
        <v>6</v>
      </c>
    </row>
    <row r="284" spans="1:30" ht="12.5" x14ac:dyDescent="0.25">
      <c r="A284" s="1" t="s">
        <v>1168</v>
      </c>
      <c r="B284" s="1" t="s">
        <v>1169</v>
      </c>
      <c r="C284" s="1" t="str">
        <v>Robert Hines</v>
      </c>
      <c r="D284" s="1" t="s">
        <v>1170</v>
      </c>
      <c r="E284" s="1" t="str">
        <v>destiny35@garner.biz</v>
      </c>
      <c r="F284" t="str">
        <f t="shared" si="54"/>
        <v>Valid</v>
      </c>
      <c r="G284" s="1" t="s">
        <v>88</v>
      </c>
      <c r="H284" s="1" t="str">
        <f t="shared" si="55"/>
        <v>Male</v>
      </c>
      <c r="I284" s="1" t="s">
        <v>156</v>
      </c>
      <c r="J284" t="str">
        <f t="shared" si="56"/>
        <v>IN</v>
      </c>
      <c r="K284" s="14">
        <v>37</v>
      </c>
      <c r="L284" s="1">
        <f t="shared" si="57"/>
        <v>37</v>
      </c>
      <c r="M284" s="1" t="str">
        <f t="shared" si="58"/>
        <v>Mid Career</v>
      </c>
      <c r="N284" s="2">
        <v>45114</v>
      </c>
      <c r="O284" s="1" t="s">
        <v>19</v>
      </c>
      <c r="P284" s="1" t="s">
        <v>20</v>
      </c>
      <c r="Q284" s="4">
        <v>61</v>
      </c>
      <c r="R284" s="13">
        <f t="shared" si="59"/>
        <v>61</v>
      </c>
      <c r="S284" s="6">
        <f t="shared" si="53"/>
        <v>0.61</v>
      </c>
      <c r="T284" s="1" t="s">
        <v>64</v>
      </c>
      <c r="U284" s="1">
        <f t="shared" si="60"/>
        <v>2</v>
      </c>
      <c r="V284" s="1">
        <f t="shared" si="61"/>
        <v>43.3</v>
      </c>
      <c r="W284" s="10" t="str">
        <f t="shared" si="62"/>
        <v>Medium</v>
      </c>
      <c r="X284" s="1">
        <v>0</v>
      </c>
      <c r="Y284" s="1" t="str">
        <f t="shared" si="63"/>
        <v>No</v>
      </c>
      <c r="Z284" s="14">
        <v>6</v>
      </c>
      <c r="AA284" s="18">
        <f t="shared" si="64"/>
        <v>6</v>
      </c>
      <c r="AB284" s="18" t="str">
        <f t="shared" si="65"/>
        <v>No</v>
      </c>
      <c r="AC284" s="9" t="s">
        <v>1171</v>
      </c>
      <c r="AD284">
        <f>IF(AC284="",0,LEN(AC284)-LEN(SUBSTITUTE(AC284,",",""))+1)</f>
        <v>2</v>
      </c>
    </row>
    <row r="285" spans="1:30" ht="12.5" x14ac:dyDescent="0.25">
      <c r="A285" s="1" t="s">
        <v>1172</v>
      </c>
      <c r="B285" s="1" t="s">
        <v>1173</v>
      </c>
      <c r="C285" s="1" t="str">
        <v>Bruce Brown</v>
      </c>
      <c r="D285" s="1" t="s">
        <v>1174</v>
      </c>
      <c r="E285" s="1" t="str">
        <v>gpreston@dillon.net</v>
      </c>
      <c r="F285" t="str">
        <f t="shared" si="54"/>
        <v>Valid</v>
      </c>
      <c r="G285" s="1" t="s">
        <v>95</v>
      </c>
      <c r="H285" s="1" t="str">
        <f t="shared" si="55"/>
        <v>Male</v>
      </c>
      <c r="I285" s="1" t="s">
        <v>96</v>
      </c>
      <c r="J285" t="str">
        <f t="shared" si="56"/>
        <v>INDIA</v>
      </c>
      <c r="K285" s="14">
        <v>0</v>
      </c>
      <c r="L285" s="1">
        <f t="shared" si="57"/>
        <v>19</v>
      </c>
      <c r="M285" s="1" t="str">
        <f t="shared" si="58"/>
        <v>Student</v>
      </c>
      <c r="N285" s="2">
        <v>44994</v>
      </c>
      <c r="O285" s="1" t="s">
        <v>170</v>
      </c>
      <c r="P285" s="1" t="s">
        <v>147</v>
      </c>
      <c r="Q285" s="4">
        <v>56</v>
      </c>
      <c r="R285" s="13">
        <f t="shared" si="59"/>
        <v>56</v>
      </c>
      <c r="S285" s="6">
        <f t="shared" si="53"/>
        <v>0.56000000000000005</v>
      </c>
      <c r="T285" s="1">
        <v>1.5</v>
      </c>
      <c r="U285" s="1">
        <f t="shared" si="60"/>
        <v>1.5</v>
      </c>
      <c r="V285" s="1">
        <f t="shared" si="61"/>
        <v>39.65</v>
      </c>
      <c r="W285" s="10" t="str">
        <f t="shared" si="62"/>
        <v>Low</v>
      </c>
      <c r="X285" s="1">
        <v>1</v>
      </c>
      <c r="Y285" s="1" t="str">
        <f t="shared" si="63"/>
        <v>Yes</v>
      </c>
      <c r="Z285" s="14">
        <v>1</v>
      </c>
      <c r="AA285" s="18">
        <f t="shared" si="64"/>
        <v>1</v>
      </c>
      <c r="AB285" s="18" t="str">
        <f t="shared" si="65"/>
        <v>No</v>
      </c>
      <c r="AC285" s="9" t="s">
        <v>1175</v>
      </c>
      <c r="AD285">
        <f>IF(AC285="",0,LEN(AC285)-LEN(SUBSTITUTE(AC285,",",""))+1)</f>
        <v>8</v>
      </c>
    </row>
    <row r="286" spans="1:30" ht="12.5" x14ac:dyDescent="0.25">
      <c r="A286" s="1" t="s">
        <v>1176</v>
      </c>
      <c r="B286" s="1" t="s">
        <v>1177</v>
      </c>
      <c r="C286" s="1" t="str">
        <v>Willie Cooper</v>
      </c>
      <c r="D286" s="1" t="s">
        <v>1178</v>
      </c>
      <c r="E286" s="1" t="str">
        <v>lesliebaldwin@gmail.com</v>
      </c>
      <c r="F286" t="str">
        <f t="shared" si="54"/>
        <v>Valid</v>
      </c>
      <c r="G286" s="1" t="s">
        <v>43</v>
      </c>
      <c r="H286" s="1" t="str">
        <f t="shared" si="55"/>
        <v>Female</v>
      </c>
      <c r="I286" s="1" t="s">
        <v>136</v>
      </c>
      <c r="J286" t="str">
        <f t="shared" si="56"/>
        <v>UK</v>
      </c>
      <c r="K286" s="14">
        <v>0</v>
      </c>
      <c r="L286" s="1">
        <f t="shared" si="57"/>
        <v>19</v>
      </c>
      <c r="M286" s="1" t="str">
        <f t="shared" si="58"/>
        <v>Student</v>
      </c>
      <c r="N286" s="9">
        <v>45121</v>
      </c>
      <c r="O286" s="1" t="s">
        <v>146</v>
      </c>
      <c r="P286" s="1" t="s">
        <v>147</v>
      </c>
      <c r="Q286" s="4">
        <v>0.89</v>
      </c>
      <c r="R286" s="13">
        <f t="shared" si="59"/>
        <v>89</v>
      </c>
      <c r="S286" s="6">
        <f t="shared" si="53"/>
        <v>0.89</v>
      </c>
      <c r="T286" s="1">
        <v>45</v>
      </c>
      <c r="U286" s="1">
        <f t="shared" si="60"/>
        <v>45</v>
      </c>
      <c r="V286" s="1">
        <f t="shared" si="61"/>
        <v>75.8</v>
      </c>
      <c r="W286" s="10" t="str">
        <f t="shared" si="62"/>
        <v>High</v>
      </c>
      <c r="X286" s="1" t="s">
        <v>38</v>
      </c>
      <c r="Y286" s="1" t="str">
        <f t="shared" si="63"/>
        <v>No</v>
      </c>
      <c r="Z286" s="14">
        <v>5</v>
      </c>
      <c r="AA286" s="18">
        <f t="shared" si="64"/>
        <v>5</v>
      </c>
      <c r="AB286" s="18" t="str">
        <f t="shared" si="65"/>
        <v>No</v>
      </c>
      <c r="AC286" s="9" t="s">
        <v>1179</v>
      </c>
      <c r="AD286">
        <f>IF(AC286="",0,LEN(AC286)-LEN(SUBSTITUTE(AC286,",",""))+1)</f>
        <v>6</v>
      </c>
    </row>
    <row r="287" spans="1:30" ht="12.5" x14ac:dyDescent="0.25">
      <c r="A287" s="1" t="s">
        <v>1180</v>
      </c>
      <c r="B287" s="1" t="s">
        <v>1181</v>
      </c>
      <c r="C287" s="1" t="str">
        <v>Anthony Hayes</v>
      </c>
      <c r="D287" s="1" t="s">
        <v>1182</v>
      </c>
      <c r="E287" s="1" t="str">
        <v>barbaramoore@anderson.biz</v>
      </c>
      <c r="F287" t="str">
        <f t="shared" si="54"/>
        <v>Valid</v>
      </c>
      <c r="G287" s="1" t="s">
        <v>109</v>
      </c>
      <c r="H287" s="1" t="str">
        <f t="shared" si="55"/>
        <v>Male</v>
      </c>
      <c r="I287" s="1" t="s">
        <v>74</v>
      </c>
      <c r="J287" t="str">
        <f t="shared" si="56"/>
        <v>USA</v>
      </c>
      <c r="L287" s="1">
        <f t="shared" si="57"/>
        <v>19</v>
      </c>
      <c r="M287" s="1" t="str">
        <f t="shared" si="58"/>
        <v>Student</v>
      </c>
      <c r="N287" s="2">
        <v>45356</v>
      </c>
      <c r="O287" s="1" t="s">
        <v>146</v>
      </c>
      <c r="P287" s="1" t="s">
        <v>147</v>
      </c>
      <c r="Q287" s="4">
        <v>0.2</v>
      </c>
      <c r="R287" s="13">
        <f t="shared" si="59"/>
        <v>20</v>
      </c>
      <c r="S287" s="6">
        <f t="shared" si="53"/>
        <v>0.2</v>
      </c>
      <c r="T287" s="1">
        <v>1.5</v>
      </c>
      <c r="U287" s="1">
        <f t="shared" si="60"/>
        <v>1.5</v>
      </c>
      <c r="V287" s="1">
        <f t="shared" si="61"/>
        <v>14.45</v>
      </c>
      <c r="W287" s="10" t="str">
        <f t="shared" si="62"/>
        <v>Low</v>
      </c>
      <c r="X287" s="1" t="s">
        <v>32</v>
      </c>
      <c r="Y287" s="1" t="str">
        <f t="shared" si="63"/>
        <v>Yes</v>
      </c>
      <c r="Z287" s="14">
        <v>5</v>
      </c>
      <c r="AA287" s="18">
        <f t="shared" si="64"/>
        <v>5</v>
      </c>
      <c r="AB287" s="18" t="str">
        <f t="shared" si="65"/>
        <v>High Performer</v>
      </c>
      <c r="AC287" s="9">
        <v>45356</v>
      </c>
      <c r="AD287">
        <f>IF(AC287="",0,LEN(AC287)-LEN(SUBSTITUTE(AC287,",",""))+1)</f>
        <v>1</v>
      </c>
    </row>
    <row r="288" spans="1:30" ht="12.5" x14ac:dyDescent="0.25">
      <c r="A288" s="1" t="s">
        <v>1183</v>
      </c>
      <c r="B288" s="1" t="s">
        <v>1184</v>
      </c>
      <c r="C288" s="1" t="str">
        <v>Joseph Cross</v>
      </c>
      <c r="D288" s="1" t="s">
        <v>1185</v>
      </c>
      <c r="E288" s="1" t="str">
        <v>katherine83@rhodes.com</v>
      </c>
      <c r="F288" t="str">
        <f t="shared" si="54"/>
        <v>Valid</v>
      </c>
      <c r="G288" s="1" t="s">
        <v>119</v>
      </c>
      <c r="H288" s="1" t="str">
        <f t="shared" si="55"/>
        <v>Female</v>
      </c>
      <c r="I288" s="1" t="s">
        <v>74</v>
      </c>
      <c r="J288" t="str">
        <f t="shared" si="56"/>
        <v>USA</v>
      </c>
      <c r="L288" s="1">
        <f t="shared" si="57"/>
        <v>19</v>
      </c>
      <c r="M288" s="1" t="str">
        <f t="shared" si="58"/>
        <v>Student</v>
      </c>
      <c r="N288" s="9">
        <v>45284</v>
      </c>
      <c r="O288" s="1" t="s">
        <v>36</v>
      </c>
      <c r="P288" s="1" t="s">
        <v>37</v>
      </c>
      <c r="Q288" s="4">
        <v>0.51</v>
      </c>
      <c r="R288" s="13">
        <f t="shared" si="59"/>
        <v>51</v>
      </c>
      <c r="S288" s="6">
        <f t="shared" si="53"/>
        <v>0.51</v>
      </c>
      <c r="T288" s="1">
        <v>45</v>
      </c>
      <c r="U288" s="1">
        <f t="shared" si="60"/>
        <v>45</v>
      </c>
      <c r="V288" s="1">
        <f t="shared" si="61"/>
        <v>49.199999999999996</v>
      </c>
      <c r="W288" s="10" t="str">
        <f t="shared" si="62"/>
        <v>Medium</v>
      </c>
      <c r="X288" s="1" t="s">
        <v>76</v>
      </c>
      <c r="Y288" s="1" t="str">
        <f t="shared" si="63"/>
        <v>Yes</v>
      </c>
      <c r="Z288" s="14">
        <v>6</v>
      </c>
      <c r="AA288" s="18">
        <f t="shared" si="64"/>
        <v>6</v>
      </c>
      <c r="AB288" s="18" t="str">
        <f t="shared" si="65"/>
        <v>High Performer</v>
      </c>
      <c r="AC288" s="9" t="s">
        <v>1186</v>
      </c>
      <c r="AD288">
        <f>IF(AC288="",0,LEN(AC288)-LEN(SUBSTITUTE(AC288,",",""))+1)</f>
        <v>4</v>
      </c>
    </row>
    <row r="289" spans="1:30" ht="12.5" x14ac:dyDescent="0.25">
      <c r="A289" s="1" t="s">
        <v>1187</v>
      </c>
      <c r="B289" s="1" t="s">
        <v>1188</v>
      </c>
      <c r="C289" s="1" t="str">
        <v>James Chapman</v>
      </c>
      <c r="D289" s="1" t="s">
        <v>1189</v>
      </c>
      <c r="E289" s="1" t="str">
        <v>colonkenneth@bryant-meyer.net</v>
      </c>
      <c r="F289" t="str">
        <f t="shared" si="54"/>
        <v>Valid</v>
      </c>
      <c r="G289" s="1" t="s">
        <v>27</v>
      </c>
      <c r="H289" s="1" t="str">
        <f t="shared" si="55"/>
        <v>Male</v>
      </c>
      <c r="I289" s="1" t="s">
        <v>96</v>
      </c>
      <c r="J289" t="str">
        <f t="shared" si="56"/>
        <v>INDIA</v>
      </c>
      <c r="K289" s="14">
        <v>35</v>
      </c>
      <c r="L289" s="1">
        <f t="shared" si="57"/>
        <v>35</v>
      </c>
      <c r="M289" s="1" t="str">
        <f t="shared" si="58"/>
        <v>Mid Career</v>
      </c>
      <c r="N289" s="9">
        <v>45009</v>
      </c>
      <c r="O289" s="1" t="s">
        <v>114</v>
      </c>
      <c r="P289" s="1" t="s">
        <v>59</v>
      </c>
      <c r="Q289" s="4">
        <v>0.04</v>
      </c>
      <c r="R289" s="13">
        <f t="shared" si="59"/>
        <v>4</v>
      </c>
      <c r="S289" s="6">
        <f t="shared" si="53"/>
        <v>0.04</v>
      </c>
      <c r="T289" s="1">
        <v>1.5</v>
      </c>
      <c r="U289" s="1">
        <f t="shared" si="60"/>
        <v>1.5</v>
      </c>
      <c r="V289" s="1">
        <f t="shared" si="61"/>
        <v>3.25</v>
      </c>
      <c r="W289" s="10" t="str">
        <f t="shared" si="62"/>
        <v>Low</v>
      </c>
      <c r="X289" s="1" t="s">
        <v>38</v>
      </c>
      <c r="Y289" s="1" t="str">
        <f t="shared" si="63"/>
        <v>No</v>
      </c>
      <c r="Z289" s="14">
        <v>5</v>
      </c>
      <c r="AA289" s="18">
        <f t="shared" si="64"/>
        <v>5</v>
      </c>
      <c r="AB289" s="18" t="str">
        <f t="shared" si="65"/>
        <v>No</v>
      </c>
      <c r="AC289" s="9" t="s">
        <v>1190</v>
      </c>
      <c r="AD289">
        <f>IF(AC289="",0,LEN(AC289)-LEN(SUBSTITUTE(AC289,",",""))+1)</f>
        <v>1</v>
      </c>
    </row>
    <row r="290" spans="1:30" ht="12.5" x14ac:dyDescent="0.25">
      <c r="A290" s="1" t="s">
        <v>1191</v>
      </c>
      <c r="B290" s="1" t="s">
        <v>1192</v>
      </c>
      <c r="C290" s="1" t="str">
        <v>Zachary Henry</v>
      </c>
      <c r="D290" s="1" t="s">
        <v>1193</v>
      </c>
      <c r="E290" s="1" t="str">
        <v>stacyhull@smith-walker.com</v>
      </c>
      <c r="F290" t="str">
        <f t="shared" si="54"/>
        <v>Valid</v>
      </c>
      <c r="G290" s="1" t="s">
        <v>57</v>
      </c>
      <c r="H290" s="1" t="str">
        <f t="shared" si="55"/>
        <v>Female</v>
      </c>
      <c r="I290" s="1" t="s">
        <v>136</v>
      </c>
      <c r="J290" t="str">
        <f t="shared" si="56"/>
        <v>UK</v>
      </c>
      <c r="K290" s="14">
        <v>21</v>
      </c>
      <c r="L290" s="1">
        <f t="shared" si="57"/>
        <v>21</v>
      </c>
      <c r="M290" s="1" t="str">
        <f t="shared" si="58"/>
        <v>Student</v>
      </c>
      <c r="N290" s="9">
        <v>45182</v>
      </c>
      <c r="O290" s="1" t="s">
        <v>52</v>
      </c>
      <c r="P290" s="1" t="s">
        <v>37</v>
      </c>
      <c r="Q290" s="4">
        <v>42</v>
      </c>
      <c r="R290" s="13">
        <f t="shared" si="59"/>
        <v>42</v>
      </c>
      <c r="S290" s="6">
        <f t="shared" si="53"/>
        <v>0.42</v>
      </c>
      <c r="T290" s="1" t="s">
        <v>21</v>
      </c>
      <c r="U290" s="1">
        <f t="shared" si="60"/>
        <v>1.5</v>
      </c>
      <c r="V290" s="1">
        <f t="shared" si="61"/>
        <v>29.849999999999998</v>
      </c>
      <c r="W290" s="10" t="str">
        <f t="shared" si="62"/>
        <v>Low</v>
      </c>
      <c r="X290" s="1" t="s">
        <v>22</v>
      </c>
      <c r="Y290" s="1" t="str">
        <f t="shared" si="63"/>
        <v>No</v>
      </c>
      <c r="Z290" s="14">
        <v>5</v>
      </c>
      <c r="AA290" s="18">
        <f t="shared" si="64"/>
        <v>5</v>
      </c>
      <c r="AB290" s="18" t="str">
        <f t="shared" si="65"/>
        <v>No</v>
      </c>
      <c r="AC290" s="9" t="s">
        <v>1194</v>
      </c>
      <c r="AD290">
        <f>IF(AC290="",0,LEN(AC290)-LEN(SUBSTITUTE(AC290,",",""))+1)</f>
        <v>1</v>
      </c>
    </row>
    <row r="291" spans="1:30" ht="12.5" x14ac:dyDescent="0.25">
      <c r="A291" s="1" t="s">
        <v>1195</v>
      </c>
      <c r="B291" s="1" t="s">
        <v>1196</v>
      </c>
      <c r="C291" s="1" t="str">
        <v>Jacob Santos</v>
      </c>
      <c r="D291" s="1" t="s">
        <v>1197</v>
      </c>
      <c r="E291" s="1" t="str">
        <v>qmcdowell@dean.com</v>
      </c>
      <c r="F291" t="str">
        <f t="shared" si="54"/>
        <v>Valid</v>
      </c>
      <c r="G291" s="1" t="s">
        <v>95</v>
      </c>
      <c r="H291" s="1" t="str">
        <f t="shared" si="55"/>
        <v>Male</v>
      </c>
      <c r="I291" s="1" t="s">
        <v>51</v>
      </c>
      <c r="J291" t="str">
        <f t="shared" si="56"/>
        <v>UK</v>
      </c>
      <c r="K291" s="14">
        <v>33</v>
      </c>
      <c r="L291" s="1">
        <f t="shared" si="57"/>
        <v>33</v>
      </c>
      <c r="M291" s="1" t="str">
        <f t="shared" si="58"/>
        <v>Mid Career</v>
      </c>
      <c r="N291" s="2">
        <v>44929</v>
      </c>
      <c r="O291" s="1" t="s">
        <v>301</v>
      </c>
      <c r="P291" s="1" t="s">
        <v>20</v>
      </c>
      <c r="Q291" s="4">
        <v>37</v>
      </c>
      <c r="R291" s="13">
        <f t="shared" si="59"/>
        <v>37</v>
      </c>
      <c r="S291" s="6">
        <f t="shared" si="53"/>
        <v>0.37</v>
      </c>
      <c r="T291" s="1" t="s">
        <v>46</v>
      </c>
      <c r="U291" s="1">
        <f t="shared" si="60"/>
        <v>1</v>
      </c>
      <c r="V291" s="1">
        <f t="shared" si="61"/>
        <v>26.2</v>
      </c>
      <c r="W291" s="10" t="str">
        <f t="shared" si="62"/>
        <v>Low</v>
      </c>
      <c r="X291" s="1">
        <v>0</v>
      </c>
      <c r="Y291" s="1" t="str">
        <f t="shared" si="63"/>
        <v>No</v>
      </c>
      <c r="Z291" s="14">
        <v>5</v>
      </c>
      <c r="AA291" s="18">
        <f t="shared" si="64"/>
        <v>5</v>
      </c>
      <c r="AB291" s="18" t="str">
        <f t="shared" si="65"/>
        <v>No</v>
      </c>
      <c r="AC291" s="9" t="s">
        <v>1198</v>
      </c>
      <c r="AD291">
        <f>IF(AC291="",0,LEN(AC291)-LEN(SUBSTITUTE(AC291,",",""))+1)</f>
        <v>6</v>
      </c>
    </row>
    <row r="292" spans="1:30" ht="12.5" x14ac:dyDescent="0.25">
      <c r="A292" s="1" t="s">
        <v>1199</v>
      </c>
      <c r="B292" s="1" t="s">
        <v>1200</v>
      </c>
      <c r="C292" s="1" t="str">
        <v>Jeremy Martinez</v>
      </c>
      <c r="D292" s="1" t="s">
        <v>1201</v>
      </c>
      <c r="E292" s="1" t="str">
        <v>nmiles@hotmail.com</v>
      </c>
      <c r="F292" t="str">
        <f t="shared" si="54"/>
        <v>Valid</v>
      </c>
      <c r="G292" s="1" t="s">
        <v>43</v>
      </c>
      <c r="H292" s="1" t="str">
        <f t="shared" si="55"/>
        <v>Female</v>
      </c>
      <c r="I292" s="1" t="s">
        <v>156</v>
      </c>
      <c r="J292" t="str">
        <f t="shared" si="56"/>
        <v>IN</v>
      </c>
      <c r="L292" s="1">
        <f t="shared" si="57"/>
        <v>19</v>
      </c>
      <c r="M292" s="1" t="str">
        <f t="shared" si="58"/>
        <v>Student</v>
      </c>
      <c r="N292" s="9">
        <v>45673</v>
      </c>
      <c r="O292" s="1" t="s">
        <v>158</v>
      </c>
      <c r="P292" s="1" t="s">
        <v>59</v>
      </c>
      <c r="Q292" s="4">
        <v>0.15</v>
      </c>
      <c r="R292" s="13">
        <f t="shared" si="59"/>
        <v>15</v>
      </c>
      <c r="S292" s="6">
        <f t="shared" si="53"/>
        <v>0.15</v>
      </c>
      <c r="T292" s="1">
        <v>45</v>
      </c>
      <c r="U292" s="1">
        <f t="shared" si="60"/>
        <v>45</v>
      </c>
      <c r="V292" s="1">
        <f t="shared" si="61"/>
        <v>24</v>
      </c>
      <c r="W292" s="10" t="str">
        <f t="shared" si="62"/>
        <v>Low</v>
      </c>
      <c r="X292" s="1">
        <v>0</v>
      </c>
      <c r="Y292" s="1" t="str">
        <f t="shared" si="63"/>
        <v>No</v>
      </c>
      <c r="Z292" s="14">
        <v>6</v>
      </c>
      <c r="AA292" s="18">
        <f t="shared" si="64"/>
        <v>6</v>
      </c>
      <c r="AB292" s="18" t="str">
        <f t="shared" si="65"/>
        <v>No</v>
      </c>
      <c r="AC292" s="9" t="s">
        <v>1202</v>
      </c>
      <c r="AD292">
        <f>IF(AC292="",0,LEN(AC292)-LEN(SUBSTITUTE(AC292,",",""))+1)</f>
        <v>5</v>
      </c>
    </row>
    <row r="293" spans="1:30" ht="12.5" x14ac:dyDescent="0.25">
      <c r="A293" s="1" t="s">
        <v>1203</v>
      </c>
      <c r="B293" s="1" t="s">
        <v>1204</v>
      </c>
      <c r="C293" s="1" t="str">
        <v>Mary Nelson</v>
      </c>
      <c r="D293" s="1" t="s">
        <v>127</v>
      </c>
      <c r="E293" s="1" t="str">
        <v>invalid-email</v>
      </c>
      <c r="F293" t="str">
        <f t="shared" si="54"/>
        <v>Invalid</v>
      </c>
      <c r="G293" s="1" t="s">
        <v>95</v>
      </c>
      <c r="H293" s="1" t="str">
        <f t="shared" si="55"/>
        <v>Male</v>
      </c>
      <c r="I293" s="1" t="s">
        <v>96</v>
      </c>
      <c r="J293" t="str">
        <f t="shared" si="56"/>
        <v>INDIA</v>
      </c>
      <c r="K293" s="14">
        <v>0</v>
      </c>
      <c r="L293" s="1">
        <f t="shared" si="57"/>
        <v>19</v>
      </c>
      <c r="M293" s="1" t="str">
        <f t="shared" si="58"/>
        <v>Student</v>
      </c>
      <c r="N293" s="2">
        <v>45841</v>
      </c>
      <c r="O293" s="1" t="s">
        <v>90</v>
      </c>
      <c r="P293" s="1" t="s">
        <v>31</v>
      </c>
      <c r="Q293" s="4">
        <v>0.64</v>
      </c>
      <c r="R293" s="13">
        <f t="shared" si="59"/>
        <v>64</v>
      </c>
      <c r="S293" s="6">
        <f t="shared" si="53"/>
        <v>0.64</v>
      </c>
      <c r="T293" s="1" t="s">
        <v>64</v>
      </c>
      <c r="U293" s="1">
        <f t="shared" si="60"/>
        <v>2</v>
      </c>
      <c r="V293" s="1">
        <f t="shared" si="61"/>
        <v>45.4</v>
      </c>
      <c r="W293" s="10" t="str">
        <f t="shared" si="62"/>
        <v>Medium</v>
      </c>
      <c r="X293" s="1">
        <v>1</v>
      </c>
      <c r="Y293" s="1" t="str">
        <f t="shared" si="63"/>
        <v>Yes</v>
      </c>
      <c r="Z293" s="14">
        <v>2</v>
      </c>
      <c r="AA293" s="18">
        <f t="shared" si="64"/>
        <v>2</v>
      </c>
      <c r="AB293" s="18" t="str">
        <f t="shared" si="65"/>
        <v>No</v>
      </c>
      <c r="AC293" s="9" t="s">
        <v>1205</v>
      </c>
      <c r="AD293">
        <f>IF(AC293="",0,LEN(AC293)-LEN(SUBSTITUTE(AC293,",",""))+1)</f>
        <v>8</v>
      </c>
    </row>
    <row r="294" spans="1:30" ht="12.5" x14ac:dyDescent="0.25">
      <c r="A294" s="1" t="s">
        <v>1206</v>
      </c>
      <c r="B294" s="1" t="s">
        <v>1207</v>
      </c>
      <c r="C294" s="1" t="str">
        <v>Kayla Williamson</v>
      </c>
      <c r="D294" s="1" t="s">
        <v>1208</v>
      </c>
      <c r="E294" s="1" t="str">
        <v>glovertyler@hotmail.com</v>
      </c>
      <c r="F294" t="str">
        <f t="shared" si="54"/>
        <v>Valid</v>
      </c>
      <c r="G294" s="1" t="s">
        <v>57</v>
      </c>
      <c r="H294" s="1" t="str">
        <f t="shared" si="55"/>
        <v>Female</v>
      </c>
      <c r="I294" s="1" t="s">
        <v>96</v>
      </c>
      <c r="J294" t="str">
        <f t="shared" si="56"/>
        <v>INDIA</v>
      </c>
      <c r="L294" s="1">
        <f t="shared" si="57"/>
        <v>19</v>
      </c>
      <c r="M294" s="1" t="str">
        <f t="shared" si="58"/>
        <v>Student</v>
      </c>
      <c r="N294" s="2">
        <v>45333</v>
      </c>
      <c r="O294" s="1" t="s">
        <v>146</v>
      </c>
      <c r="P294" s="1" t="s">
        <v>147</v>
      </c>
      <c r="Q294" s="4">
        <v>13</v>
      </c>
      <c r="R294" s="13">
        <f t="shared" si="59"/>
        <v>13</v>
      </c>
      <c r="S294" s="6">
        <f t="shared" si="53"/>
        <v>0.13</v>
      </c>
      <c r="T294" s="1" t="s">
        <v>46</v>
      </c>
      <c r="U294" s="1">
        <f t="shared" si="60"/>
        <v>1</v>
      </c>
      <c r="V294" s="1">
        <f t="shared" si="61"/>
        <v>9.4</v>
      </c>
      <c r="W294" s="10" t="str">
        <f t="shared" si="62"/>
        <v>Low</v>
      </c>
      <c r="X294" s="1">
        <v>0</v>
      </c>
      <c r="Y294" s="1" t="str">
        <f t="shared" si="63"/>
        <v>No</v>
      </c>
      <c r="Z294" s="14">
        <v>4</v>
      </c>
      <c r="AA294" s="18">
        <f t="shared" si="64"/>
        <v>4</v>
      </c>
      <c r="AB294" s="18" t="str">
        <f t="shared" si="65"/>
        <v>No</v>
      </c>
      <c r="AC294" s="9" t="s">
        <v>1209</v>
      </c>
      <c r="AD294">
        <f>IF(AC294="",0,LEN(AC294)-LEN(SUBSTITUTE(AC294,",",""))+1)</f>
        <v>3</v>
      </c>
    </row>
    <row r="295" spans="1:30" ht="12.5" x14ac:dyDescent="0.25">
      <c r="A295" s="1" t="s">
        <v>1210</v>
      </c>
      <c r="B295" s="1" t="s">
        <v>1211</v>
      </c>
      <c r="C295" s="1" t="str">
        <v>Heather Ortiz</v>
      </c>
      <c r="D295" s="1" t="s">
        <v>1212</v>
      </c>
      <c r="E295" s="1" t="str">
        <v>kelleyrenee@fitzpatrick.com</v>
      </c>
      <c r="F295" t="str">
        <f t="shared" si="54"/>
        <v>Valid</v>
      </c>
      <c r="G295" s="1" t="s">
        <v>27</v>
      </c>
      <c r="H295" s="1" t="str">
        <f t="shared" si="55"/>
        <v>Male</v>
      </c>
      <c r="I295" s="1" t="s">
        <v>96</v>
      </c>
      <c r="J295" t="str">
        <f t="shared" si="56"/>
        <v>INDIA</v>
      </c>
      <c r="L295" s="1">
        <f t="shared" si="57"/>
        <v>19</v>
      </c>
      <c r="M295" s="1" t="str">
        <f t="shared" si="58"/>
        <v>Student</v>
      </c>
      <c r="N295" s="2">
        <v>45232</v>
      </c>
      <c r="O295" s="1" t="s">
        <v>170</v>
      </c>
      <c r="P295" s="1" t="s">
        <v>147</v>
      </c>
      <c r="Q295" s="4">
        <v>57</v>
      </c>
      <c r="R295" s="13">
        <f t="shared" si="59"/>
        <v>57</v>
      </c>
      <c r="S295" s="6">
        <f t="shared" si="53"/>
        <v>0.56999999999999995</v>
      </c>
      <c r="T295" s="1">
        <v>2</v>
      </c>
      <c r="U295" s="1">
        <f t="shared" si="60"/>
        <v>2</v>
      </c>
      <c r="V295" s="1">
        <f t="shared" si="61"/>
        <v>40.5</v>
      </c>
      <c r="W295" s="10" t="str">
        <f t="shared" si="62"/>
        <v>Low</v>
      </c>
      <c r="X295" s="1">
        <v>1</v>
      </c>
      <c r="Y295" s="1" t="str">
        <f t="shared" si="63"/>
        <v>Yes</v>
      </c>
      <c r="Z295" s="14">
        <v>6</v>
      </c>
      <c r="AA295" s="18">
        <f t="shared" si="64"/>
        <v>6</v>
      </c>
      <c r="AB295" s="18" t="str">
        <f t="shared" si="65"/>
        <v>High Performer</v>
      </c>
      <c r="AC295" s="9" t="s">
        <v>1213</v>
      </c>
      <c r="AD295">
        <f>IF(AC295="",0,LEN(AC295)-LEN(SUBSTITUTE(AC295,",",""))+1)</f>
        <v>7</v>
      </c>
    </row>
    <row r="296" spans="1:30" ht="12.5" x14ac:dyDescent="0.25">
      <c r="A296" s="1" t="s">
        <v>1214</v>
      </c>
      <c r="B296" s="1" t="s">
        <v>1215</v>
      </c>
      <c r="C296" s="1" t="str">
        <v>Brandon Hunt</v>
      </c>
      <c r="D296" s="1" t="s">
        <v>1216</v>
      </c>
      <c r="E296" s="1" t="str">
        <v>dawn74@marshall-garcia.com</v>
      </c>
      <c r="F296" t="str">
        <f t="shared" si="54"/>
        <v>Valid</v>
      </c>
      <c r="G296" s="1" t="s">
        <v>109</v>
      </c>
      <c r="H296" s="1" t="str">
        <f t="shared" si="55"/>
        <v>Male</v>
      </c>
      <c r="I296" s="1" t="s">
        <v>96</v>
      </c>
      <c r="J296" t="str">
        <f t="shared" si="56"/>
        <v>INDIA</v>
      </c>
      <c r="K296" s="14">
        <v>0</v>
      </c>
      <c r="L296" s="1">
        <f t="shared" si="57"/>
        <v>19</v>
      </c>
      <c r="M296" s="1" t="str">
        <f t="shared" si="58"/>
        <v>Student</v>
      </c>
      <c r="N296" s="9">
        <v>44829</v>
      </c>
      <c r="O296" s="1" t="s">
        <v>235</v>
      </c>
      <c r="P296" s="1" t="s">
        <v>147</v>
      </c>
      <c r="Q296" s="4">
        <v>87</v>
      </c>
      <c r="R296" s="13">
        <f t="shared" si="59"/>
        <v>87</v>
      </c>
      <c r="S296" s="6">
        <f t="shared" si="53"/>
        <v>0.87</v>
      </c>
      <c r="T296" s="1">
        <v>45</v>
      </c>
      <c r="U296" s="1">
        <f t="shared" si="60"/>
        <v>45</v>
      </c>
      <c r="V296" s="1">
        <f t="shared" si="61"/>
        <v>74.400000000000006</v>
      </c>
      <c r="W296" s="10" t="str">
        <f t="shared" si="62"/>
        <v>High</v>
      </c>
      <c r="X296" s="1">
        <v>0</v>
      </c>
      <c r="Y296" s="1" t="str">
        <f t="shared" si="63"/>
        <v>No</v>
      </c>
      <c r="Z296" s="14">
        <v>3</v>
      </c>
      <c r="AA296" s="18">
        <f t="shared" si="64"/>
        <v>3</v>
      </c>
      <c r="AB296" s="18" t="str">
        <f t="shared" si="65"/>
        <v>No</v>
      </c>
      <c r="AC296" s="9" t="s">
        <v>1217</v>
      </c>
      <c r="AD296">
        <f>IF(AC296="",0,LEN(AC296)-LEN(SUBSTITUTE(AC296,",",""))+1)</f>
        <v>4</v>
      </c>
    </row>
    <row r="297" spans="1:30" ht="12.5" x14ac:dyDescent="0.25">
      <c r="A297" s="1" t="s">
        <v>1218</v>
      </c>
      <c r="B297" s="1" t="s">
        <v>1219</v>
      </c>
      <c r="C297" s="1" t="str">
        <v>Jessica Wilson</v>
      </c>
      <c r="D297" s="1" t="s">
        <v>1220</v>
      </c>
      <c r="E297" s="1" t="str">
        <v>christianelizabeth@murphy.org</v>
      </c>
      <c r="F297" t="str">
        <f t="shared" si="54"/>
        <v>Valid</v>
      </c>
      <c r="G297" s="1" t="s">
        <v>27</v>
      </c>
      <c r="H297" s="1" t="str">
        <f t="shared" si="55"/>
        <v>Male</v>
      </c>
      <c r="I297" s="1" t="s">
        <v>18</v>
      </c>
      <c r="J297" t="str">
        <f t="shared" si="56"/>
        <v>US</v>
      </c>
      <c r="K297" s="14">
        <v>43</v>
      </c>
      <c r="L297" s="1">
        <f t="shared" si="57"/>
        <v>43</v>
      </c>
      <c r="M297" s="1" t="str">
        <f t="shared" si="58"/>
        <v>Senior</v>
      </c>
      <c r="N297" s="2">
        <v>44748</v>
      </c>
      <c r="O297" s="1" t="s">
        <v>301</v>
      </c>
      <c r="P297" s="1" t="s">
        <v>20</v>
      </c>
      <c r="Q297" s="4">
        <v>0.85</v>
      </c>
      <c r="R297" s="13">
        <f t="shared" si="59"/>
        <v>85</v>
      </c>
      <c r="S297" s="6">
        <f t="shared" si="53"/>
        <v>0.85</v>
      </c>
      <c r="T297" s="1">
        <v>45</v>
      </c>
      <c r="U297" s="1">
        <f t="shared" si="60"/>
        <v>45</v>
      </c>
      <c r="V297" s="1">
        <f t="shared" si="61"/>
        <v>73</v>
      </c>
      <c r="W297" s="10" t="str">
        <f t="shared" si="62"/>
        <v>High</v>
      </c>
      <c r="X297" s="1" t="s">
        <v>76</v>
      </c>
      <c r="Y297" s="1" t="str">
        <f t="shared" si="63"/>
        <v>Yes</v>
      </c>
      <c r="AA297" s="18" t="str">
        <f t="shared" si="64"/>
        <v>Invalid</v>
      </c>
      <c r="AB297" s="18" t="str">
        <f t="shared" si="65"/>
        <v>High Performer</v>
      </c>
      <c r="AC297" s="9" t="s">
        <v>1221</v>
      </c>
      <c r="AD297">
        <f>IF(AC297="",0,LEN(AC297)-LEN(SUBSTITUTE(AC297,",",""))+1)</f>
        <v>8</v>
      </c>
    </row>
    <row r="298" spans="1:30" ht="12.5" x14ac:dyDescent="0.25">
      <c r="A298" s="1" t="s">
        <v>1222</v>
      </c>
      <c r="B298" s="1" t="s">
        <v>1223</v>
      </c>
      <c r="C298" s="1" t="str">
        <v>Catherine Morales</v>
      </c>
      <c r="D298" s="1" t="s">
        <v>1224</v>
      </c>
      <c r="E298" s="1" t="str">
        <v>mary76@hotmail.com</v>
      </c>
      <c r="F298" t="str">
        <f t="shared" si="54"/>
        <v>Valid</v>
      </c>
      <c r="G298" s="1" t="s">
        <v>27</v>
      </c>
      <c r="H298" s="1" t="str">
        <f t="shared" si="55"/>
        <v>Male</v>
      </c>
      <c r="I298" s="1" t="s">
        <v>51</v>
      </c>
      <c r="J298" t="str">
        <f t="shared" si="56"/>
        <v>UK</v>
      </c>
      <c r="K298" s="14">
        <v>44</v>
      </c>
      <c r="L298" s="1">
        <f t="shared" si="57"/>
        <v>44</v>
      </c>
      <c r="M298" s="1" t="str">
        <f t="shared" si="58"/>
        <v>Senior</v>
      </c>
      <c r="N298" s="9">
        <v>45074</v>
      </c>
      <c r="O298" s="1" t="s">
        <v>158</v>
      </c>
      <c r="P298" s="1" t="s">
        <v>59</v>
      </c>
      <c r="Q298" s="4">
        <v>0.34</v>
      </c>
      <c r="R298" s="13">
        <f t="shared" si="59"/>
        <v>34</v>
      </c>
      <c r="S298" s="6">
        <f t="shared" si="53"/>
        <v>0.34</v>
      </c>
      <c r="T298" s="1" t="s">
        <v>46</v>
      </c>
      <c r="U298" s="1">
        <f t="shared" si="60"/>
        <v>1</v>
      </c>
      <c r="V298" s="1">
        <f t="shared" si="61"/>
        <v>24.099999999999998</v>
      </c>
      <c r="W298" s="10" t="str">
        <f t="shared" si="62"/>
        <v>Low</v>
      </c>
      <c r="X298" s="1" t="s">
        <v>32</v>
      </c>
      <c r="Y298" s="1" t="str">
        <f t="shared" si="63"/>
        <v>Yes</v>
      </c>
      <c r="Z298" s="14">
        <v>6</v>
      </c>
      <c r="AA298" s="18">
        <f t="shared" si="64"/>
        <v>6</v>
      </c>
      <c r="AB298" s="18" t="str">
        <f t="shared" si="65"/>
        <v>High Performer</v>
      </c>
      <c r="AC298" s="9" t="s">
        <v>260</v>
      </c>
      <c r="AD298">
        <f>IF(AC298="",0,LEN(AC298)-LEN(SUBSTITUTE(AC298,",",""))+1)</f>
        <v>1</v>
      </c>
    </row>
    <row r="299" spans="1:30" ht="12.5" x14ac:dyDescent="0.25">
      <c r="A299" s="1" t="s">
        <v>1225</v>
      </c>
      <c r="B299" s="1" t="s">
        <v>1226</v>
      </c>
      <c r="C299" s="1" t="str">
        <v>Tommy Moore</v>
      </c>
      <c r="D299" s="1" t="s">
        <v>1227</v>
      </c>
      <c r="E299" s="1" t="str">
        <v>rpham@yahoo.com</v>
      </c>
      <c r="F299" t="str">
        <f t="shared" si="54"/>
        <v>Valid</v>
      </c>
      <c r="G299" s="1" t="s">
        <v>43</v>
      </c>
      <c r="H299" s="1" t="str">
        <f t="shared" si="55"/>
        <v>Female</v>
      </c>
      <c r="I299" s="1" t="s">
        <v>96</v>
      </c>
      <c r="J299" t="str">
        <f t="shared" si="56"/>
        <v>INDIA</v>
      </c>
      <c r="K299" s="14">
        <v>30</v>
      </c>
      <c r="L299" s="1">
        <f t="shared" si="57"/>
        <v>30</v>
      </c>
      <c r="M299" s="1" t="str">
        <f t="shared" si="58"/>
        <v>Early Career</v>
      </c>
      <c r="N299" s="9">
        <v>44917</v>
      </c>
      <c r="O299" s="1" t="s">
        <v>146</v>
      </c>
      <c r="P299" s="1" t="s">
        <v>147</v>
      </c>
      <c r="Q299" s="4">
        <v>13</v>
      </c>
      <c r="R299" s="13">
        <f t="shared" si="59"/>
        <v>13</v>
      </c>
      <c r="S299" s="6">
        <f t="shared" si="53"/>
        <v>0.13</v>
      </c>
      <c r="T299" s="1">
        <v>2</v>
      </c>
      <c r="U299" s="1">
        <f t="shared" si="60"/>
        <v>2</v>
      </c>
      <c r="V299" s="1">
        <f t="shared" si="61"/>
        <v>9.6999999999999993</v>
      </c>
      <c r="W299" s="10" t="str">
        <f t="shared" si="62"/>
        <v>Low</v>
      </c>
      <c r="X299" s="1">
        <v>0</v>
      </c>
      <c r="Y299" s="1" t="str">
        <f t="shared" si="63"/>
        <v>No</v>
      </c>
      <c r="Z299" s="14">
        <v>5</v>
      </c>
      <c r="AA299" s="18">
        <f t="shared" si="64"/>
        <v>5</v>
      </c>
      <c r="AB299" s="18" t="str">
        <f t="shared" si="65"/>
        <v>No</v>
      </c>
      <c r="AC299" s="9" t="s">
        <v>897</v>
      </c>
      <c r="AD299">
        <f>IF(AC299="",0,LEN(AC299)-LEN(SUBSTITUTE(AC299,",",""))+1)</f>
        <v>1</v>
      </c>
    </row>
    <row r="300" spans="1:30" ht="12.5" x14ac:dyDescent="0.25">
      <c r="A300" s="1" t="s">
        <v>1228</v>
      </c>
      <c r="B300" s="1" t="s">
        <v>1229</v>
      </c>
      <c r="C300" s="1" t="str">
        <v>Shari Hobbs</v>
      </c>
      <c r="D300" s="1" t="s">
        <v>1230</v>
      </c>
      <c r="E300" s="1" t="str">
        <v>hknapp@alexander-brown.com</v>
      </c>
      <c r="F300" t="str">
        <f t="shared" si="54"/>
        <v>Valid</v>
      </c>
      <c r="G300" s="1" t="s">
        <v>95</v>
      </c>
      <c r="H300" s="1" t="str">
        <f t="shared" si="55"/>
        <v>Male</v>
      </c>
      <c r="I300" s="1" t="s">
        <v>44</v>
      </c>
      <c r="J300" t="str">
        <f t="shared" si="56"/>
        <v>CANADA</v>
      </c>
      <c r="K300" s="14">
        <v>0</v>
      </c>
      <c r="L300" s="1">
        <f t="shared" si="57"/>
        <v>19</v>
      </c>
      <c r="M300" s="1" t="str">
        <f t="shared" si="58"/>
        <v>Student</v>
      </c>
      <c r="N300" s="9">
        <v>44939</v>
      </c>
      <c r="O300" s="1" t="s">
        <v>75</v>
      </c>
      <c r="P300" s="1" t="s">
        <v>37</v>
      </c>
      <c r="Q300" s="4">
        <v>1</v>
      </c>
      <c r="R300" s="13">
        <f t="shared" si="59"/>
        <v>100</v>
      </c>
      <c r="S300" s="6">
        <f t="shared" si="53"/>
        <v>1</v>
      </c>
      <c r="T300" s="1" t="s">
        <v>64</v>
      </c>
      <c r="U300" s="1">
        <f t="shared" si="60"/>
        <v>2</v>
      </c>
      <c r="V300" s="1">
        <f t="shared" si="61"/>
        <v>70.599999999999994</v>
      </c>
      <c r="W300" s="10" t="str">
        <f t="shared" si="62"/>
        <v>Medium</v>
      </c>
      <c r="X300" s="1" t="s">
        <v>38</v>
      </c>
      <c r="Y300" s="1" t="str">
        <f t="shared" si="63"/>
        <v>No</v>
      </c>
      <c r="AA300" s="18" t="str">
        <f t="shared" si="64"/>
        <v>Invalid</v>
      </c>
      <c r="AB300" s="18" t="str">
        <f t="shared" si="65"/>
        <v>No</v>
      </c>
      <c r="AC300" s="9" t="s">
        <v>1231</v>
      </c>
      <c r="AD300">
        <f>IF(AC300="",0,LEN(AC300)-LEN(SUBSTITUTE(AC300,",",""))+1)</f>
        <v>1</v>
      </c>
    </row>
    <row r="301" spans="1:30" ht="12.5" x14ac:dyDescent="0.25">
      <c r="A301" s="1" t="s">
        <v>1232</v>
      </c>
      <c r="B301" s="1" t="s">
        <v>1233</v>
      </c>
      <c r="C301" s="1" t="str">
        <v>Laura Cunningham</v>
      </c>
      <c r="D301" s="1" t="s">
        <v>1234</v>
      </c>
      <c r="E301" s="1" t="str">
        <v>reynoldsjessica@yahoo.com</v>
      </c>
      <c r="F301" t="str">
        <f t="shared" si="54"/>
        <v>Valid</v>
      </c>
      <c r="G301" s="1" t="s">
        <v>27</v>
      </c>
      <c r="H301" s="1" t="str">
        <f t="shared" si="55"/>
        <v>Male</v>
      </c>
      <c r="I301" s="1" t="s">
        <v>136</v>
      </c>
      <c r="J301" t="str">
        <f t="shared" si="56"/>
        <v>UK</v>
      </c>
      <c r="K301" s="14">
        <v>0</v>
      </c>
      <c r="L301" s="1">
        <f t="shared" si="57"/>
        <v>19</v>
      </c>
      <c r="M301" s="1" t="str">
        <f t="shared" si="58"/>
        <v>Student</v>
      </c>
      <c r="N301" s="9">
        <v>44677</v>
      </c>
      <c r="O301" s="1" t="s">
        <v>146</v>
      </c>
      <c r="P301" s="1" t="s">
        <v>147</v>
      </c>
      <c r="Q301" s="4">
        <v>0.77</v>
      </c>
      <c r="R301" s="13">
        <f t="shared" si="59"/>
        <v>77</v>
      </c>
      <c r="S301" s="6">
        <f t="shared" si="53"/>
        <v>0.77</v>
      </c>
      <c r="T301" s="1">
        <v>45</v>
      </c>
      <c r="U301" s="1">
        <f t="shared" si="60"/>
        <v>45</v>
      </c>
      <c r="V301" s="1">
        <f t="shared" si="61"/>
        <v>67.400000000000006</v>
      </c>
      <c r="W301" s="10" t="str">
        <f t="shared" si="62"/>
        <v>Medium</v>
      </c>
      <c r="X301" s="1" t="s">
        <v>22</v>
      </c>
      <c r="Y301" s="1" t="str">
        <f t="shared" si="63"/>
        <v>No</v>
      </c>
      <c r="Z301" s="14">
        <v>2</v>
      </c>
      <c r="AA301" s="18">
        <f t="shared" si="64"/>
        <v>2</v>
      </c>
      <c r="AB301" s="18" t="str">
        <f t="shared" si="65"/>
        <v>No</v>
      </c>
      <c r="AC301" s="9" t="s">
        <v>1235</v>
      </c>
      <c r="AD301">
        <f>IF(AC301="",0,LEN(AC301)-LEN(SUBSTITUTE(AC301,",",""))+1)</f>
        <v>6</v>
      </c>
    </row>
    <row r="302" spans="1:30" ht="12.5" x14ac:dyDescent="0.25">
      <c r="A302" s="1" t="s">
        <v>1236</v>
      </c>
      <c r="B302" s="1" t="s">
        <v>1237</v>
      </c>
      <c r="C302" s="1" t="str">
        <v>Ronald Mcclain</v>
      </c>
      <c r="D302" s="1" t="s">
        <v>1238</v>
      </c>
      <c r="E302" s="1" t="str">
        <v>schneidereric@christian-booth.com</v>
      </c>
      <c r="F302" t="str">
        <f t="shared" si="54"/>
        <v>Valid</v>
      </c>
      <c r="G302" s="1" t="s">
        <v>27</v>
      </c>
      <c r="H302" s="1" t="str">
        <f t="shared" si="55"/>
        <v>Male</v>
      </c>
      <c r="I302" s="1" t="s">
        <v>28</v>
      </c>
      <c r="J302" t="str">
        <f t="shared" si="56"/>
        <v>INDIA</v>
      </c>
      <c r="L302" s="1">
        <f t="shared" si="57"/>
        <v>19</v>
      </c>
      <c r="M302" s="1" t="str">
        <f t="shared" si="58"/>
        <v>Student</v>
      </c>
      <c r="N302" s="9">
        <v>45195</v>
      </c>
      <c r="O302" s="1" t="s">
        <v>90</v>
      </c>
      <c r="P302" s="1" t="s">
        <v>31</v>
      </c>
      <c r="Q302" s="4">
        <v>0.71</v>
      </c>
      <c r="R302" s="13">
        <f t="shared" si="59"/>
        <v>71</v>
      </c>
      <c r="S302" s="6">
        <f t="shared" si="53"/>
        <v>0.71</v>
      </c>
      <c r="T302" s="1">
        <v>1.5</v>
      </c>
      <c r="U302" s="1">
        <f t="shared" si="60"/>
        <v>1.5</v>
      </c>
      <c r="V302" s="1">
        <f t="shared" si="61"/>
        <v>50.15</v>
      </c>
      <c r="W302" s="10" t="str">
        <f t="shared" si="62"/>
        <v>Medium</v>
      </c>
      <c r="X302" s="1" t="s">
        <v>22</v>
      </c>
      <c r="Y302" s="1" t="str">
        <f t="shared" si="63"/>
        <v>No</v>
      </c>
      <c r="Z302" s="14">
        <v>3</v>
      </c>
      <c r="AA302" s="18">
        <f t="shared" si="64"/>
        <v>3</v>
      </c>
      <c r="AB302" s="18" t="str">
        <f t="shared" si="65"/>
        <v>No</v>
      </c>
      <c r="AC302" s="9" t="s">
        <v>1239</v>
      </c>
      <c r="AD302">
        <f>IF(AC302="",0,LEN(AC302)-LEN(SUBSTITUTE(AC302,",",""))+1)</f>
        <v>7</v>
      </c>
    </row>
    <row r="303" spans="1:30" ht="12.5" x14ac:dyDescent="0.25">
      <c r="A303" s="1" t="s">
        <v>1240</v>
      </c>
      <c r="B303" s="1" t="s">
        <v>1241</v>
      </c>
      <c r="C303" s="1" t="str">
        <v>Jonathon Pierce</v>
      </c>
      <c r="D303" s="1" t="s">
        <v>1242</v>
      </c>
      <c r="E303" s="1" t="str">
        <v>fmontoya@yahoo.com</v>
      </c>
      <c r="F303" t="str">
        <f t="shared" si="54"/>
        <v>Valid</v>
      </c>
      <c r="G303" s="1" t="s">
        <v>57</v>
      </c>
      <c r="H303" s="1" t="str">
        <f t="shared" si="55"/>
        <v>Female</v>
      </c>
      <c r="I303" s="1" t="s">
        <v>74</v>
      </c>
      <c r="J303" t="str">
        <f t="shared" si="56"/>
        <v>USA</v>
      </c>
      <c r="K303" s="14">
        <v>0</v>
      </c>
      <c r="L303" s="1">
        <f t="shared" si="57"/>
        <v>19</v>
      </c>
      <c r="M303" s="1" t="str">
        <f t="shared" si="58"/>
        <v>Student</v>
      </c>
      <c r="N303" s="2">
        <v>45540</v>
      </c>
      <c r="O303" s="1" t="s">
        <v>19</v>
      </c>
      <c r="P303" s="1" t="s">
        <v>20</v>
      </c>
      <c r="Q303" s="4">
        <v>0.8</v>
      </c>
      <c r="R303" s="13">
        <f t="shared" si="59"/>
        <v>80</v>
      </c>
      <c r="S303" s="6">
        <f t="shared" si="53"/>
        <v>0.8</v>
      </c>
      <c r="T303" s="1">
        <v>45</v>
      </c>
      <c r="U303" s="1">
        <f t="shared" si="60"/>
        <v>45</v>
      </c>
      <c r="V303" s="1">
        <f t="shared" si="61"/>
        <v>69.5</v>
      </c>
      <c r="W303" s="10" t="str">
        <f t="shared" si="62"/>
        <v>Medium</v>
      </c>
      <c r="X303" s="1" t="s">
        <v>22</v>
      </c>
      <c r="Y303" s="1" t="str">
        <f t="shared" si="63"/>
        <v>No</v>
      </c>
      <c r="Z303" s="14">
        <v>5</v>
      </c>
      <c r="AA303" s="18">
        <f t="shared" si="64"/>
        <v>5</v>
      </c>
      <c r="AB303" s="18" t="str">
        <f t="shared" si="65"/>
        <v>No</v>
      </c>
      <c r="AC303" s="9" t="s">
        <v>1243</v>
      </c>
      <c r="AD303">
        <f>IF(AC303="",0,LEN(AC303)-LEN(SUBSTITUTE(AC303,",",""))+1)</f>
        <v>6</v>
      </c>
    </row>
    <row r="304" spans="1:30" ht="12.5" x14ac:dyDescent="0.25">
      <c r="A304" s="1" t="s">
        <v>1244</v>
      </c>
      <c r="B304" s="1" t="s">
        <v>1245</v>
      </c>
      <c r="C304" s="1" t="str">
        <v>Jillian Wilson</v>
      </c>
      <c r="D304" s="1" t="s">
        <v>1246</v>
      </c>
      <c r="E304" s="1" t="str">
        <v>garciarobert@hotmail.com</v>
      </c>
      <c r="F304" t="str">
        <f t="shared" si="54"/>
        <v>Valid</v>
      </c>
      <c r="G304" s="1" t="s">
        <v>43</v>
      </c>
      <c r="H304" s="1" t="str">
        <f t="shared" si="55"/>
        <v>Female</v>
      </c>
      <c r="I304" s="1" t="s">
        <v>156</v>
      </c>
      <c r="J304" t="str">
        <f t="shared" si="56"/>
        <v>IN</v>
      </c>
      <c r="L304" s="1">
        <f t="shared" si="57"/>
        <v>19</v>
      </c>
      <c r="M304" s="1" t="str">
        <f t="shared" si="58"/>
        <v>Student</v>
      </c>
      <c r="N304" s="9">
        <v>45348</v>
      </c>
      <c r="O304" s="1" t="s">
        <v>146</v>
      </c>
      <c r="P304" s="1" t="s">
        <v>147</v>
      </c>
      <c r="Q304" s="4">
        <v>0.69</v>
      </c>
      <c r="R304" s="13">
        <f t="shared" si="59"/>
        <v>69</v>
      </c>
      <c r="S304" s="6">
        <f t="shared" si="53"/>
        <v>0.69</v>
      </c>
      <c r="T304" s="1">
        <v>45</v>
      </c>
      <c r="U304" s="1">
        <f t="shared" si="60"/>
        <v>45</v>
      </c>
      <c r="V304" s="1">
        <f t="shared" si="61"/>
        <v>61.8</v>
      </c>
      <c r="W304" s="10" t="str">
        <f t="shared" si="62"/>
        <v>Medium</v>
      </c>
      <c r="X304" s="1">
        <v>1</v>
      </c>
      <c r="Y304" s="1" t="str">
        <f t="shared" si="63"/>
        <v>Yes</v>
      </c>
      <c r="Z304" s="14">
        <v>5</v>
      </c>
      <c r="AA304" s="18">
        <f t="shared" si="64"/>
        <v>5</v>
      </c>
      <c r="AB304" s="18" t="str">
        <f t="shared" si="65"/>
        <v>High Performer</v>
      </c>
      <c r="AC304" s="9" t="s">
        <v>1248</v>
      </c>
      <c r="AD304">
        <f>IF(AC304="",0,LEN(AC304)-LEN(SUBSTITUTE(AC304,",",""))+1)</f>
        <v>2</v>
      </c>
    </row>
    <row r="305" spans="1:30" ht="12.5" x14ac:dyDescent="0.25">
      <c r="A305" s="1" t="s">
        <v>1249</v>
      </c>
      <c r="B305" s="1" t="s">
        <v>1250</v>
      </c>
      <c r="C305" s="1" t="str">
        <v>Lisa Torres</v>
      </c>
      <c r="D305" s="1" t="s">
        <v>1251</v>
      </c>
      <c r="E305" s="1" t="str">
        <v>xclements@velasquez.com</v>
      </c>
      <c r="F305" t="str">
        <f t="shared" si="54"/>
        <v>Valid</v>
      </c>
      <c r="G305" s="1" t="s">
        <v>43</v>
      </c>
      <c r="H305" s="1" t="str">
        <f t="shared" si="55"/>
        <v>Female</v>
      </c>
      <c r="I305" s="1" t="s">
        <v>28</v>
      </c>
      <c r="J305" t="str">
        <f t="shared" si="56"/>
        <v>INDIA</v>
      </c>
      <c r="L305" s="1">
        <f t="shared" si="57"/>
        <v>19</v>
      </c>
      <c r="M305" s="1" t="str">
        <f t="shared" si="58"/>
        <v>Student</v>
      </c>
      <c r="N305" s="2">
        <v>45451</v>
      </c>
      <c r="O305" s="1" t="s">
        <v>69</v>
      </c>
      <c r="P305" s="1" t="s">
        <v>31</v>
      </c>
      <c r="Q305" s="4">
        <v>0.56999999999999995</v>
      </c>
      <c r="R305" s="13">
        <f t="shared" si="59"/>
        <v>56.999999999999993</v>
      </c>
      <c r="S305" s="6">
        <f t="shared" si="53"/>
        <v>0.56999999999999995</v>
      </c>
      <c r="T305" s="1">
        <v>1.5</v>
      </c>
      <c r="U305" s="1">
        <f t="shared" si="60"/>
        <v>1.5</v>
      </c>
      <c r="V305" s="1">
        <f t="shared" si="61"/>
        <v>40.349999999999994</v>
      </c>
      <c r="W305" s="10" t="str">
        <f t="shared" si="62"/>
        <v>Low</v>
      </c>
      <c r="X305" s="1" t="s">
        <v>76</v>
      </c>
      <c r="Y305" s="1" t="str">
        <f t="shared" si="63"/>
        <v>Yes</v>
      </c>
      <c r="Z305" s="14">
        <v>2</v>
      </c>
      <c r="AA305" s="18">
        <f t="shared" si="64"/>
        <v>2</v>
      </c>
      <c r="AB305" s="18" t="str">
        <f t="shared" si="65"/>
        <v>No</v>
      </c>
      <c r="AC305" s="9">
        <v>45451</v>
      </c>
      <c r="AD305">
        <f>IF(AC305="",0,LEN(AC305)-LEN(SUBSTITUTE(AC305,",",""))+1)</f>
        <v>1</v>
      </c>
    </row>
    <row r="306" spans="1:30" ht="12.5" x14ac:dyDescent="0.25">
      <c r="A306" s="1" t="s">
        <v>1252</v>
      </c>
      <c r="B306" s="1" t="s">
        <v>1253</v>
      </c>
      <c r="C306" s="1" t="str">
        <v>Heidi Chavez</v>
      </c>
      <c r="D306" s="1" t="s">
        <v>1254</v>
      </c>
      <c r="E306" s="1" t="str">
        <v>aaronkelly@brandt.com</v>
      </c>
      <c r="F306" t="str">
        <f t="shared" si="54"/>
        <v>Valid</v>
      </c>
      <c r="G306" s="1" t="s">
        <v>119</v>
      </c>
      <c r="H306" s="1" t="str">
        <f t="shared" si="55"/>
        <v>Female</v>
      </c>
      <c r="I306" s="1" t="s">
        <v>28</v>
      </c>
      <c r="J306" t="str">
        <f t="shared" si="56"/>
        <v>INDIA</v>
      </c>
      <c r="K306" s="14">
        <v>0</v>
      </c>
      <c r="L306" s="1">
        <f t="shared" si="57"/>
        <v>19</v>
      </c>
      <c r="M306" s="1" t="str">
        <f t="shared" si="58"/>
        <v>Student</v>
      </c>
      <c r="N306" s="9">
        <v>45528</v>
      </c>
      <c r="O306" s="1" t="s">
        <v>58</v>
      </c>
      <c r="P306" s="1" t="s">
        <v>59</v>
      </c>
      <c r="Q306" s="4">
        <v>98</v>
      </c>
      <c r="R306" s="13">
        <f t="shared" si="59"/>
        <v>98</v>
      </c>
      <c r="S306" s="6">
        <f t="shared" si="53"/>
        <v>0.98</v>
      </c>
      <c r="T306" s="1">
        <v>1.5</v>
      </c>
      <c r="U306" s="1">
        <f t="shared" si="60"/>
        <v>1.5</v>
      </c>
      <c r="V306" s="1">
        <f t="shared" si="61"/>
        <v>69.05</v>
      </c>
      <c r="W306" s="10" t="str">
        <f t="shared" si="62"/>
        <v>Medium</v>
      </c>
      <c r="X306" s="1">
        <v>1</v>
      </c>
      <c r="Y306" s="1" t="str">
        <f t="shared" si="63"/>
        <v>Yes</v>
      </c>
      <c r="Z306" s="14">
        <v>3</v>
      </c>
      <c r="AA306" s="18">
        <f t="shared" si="64"/>
        <v>3</v>
      </c>
      <c r="AB306" s="18" t="str">
        <f t="shared" si="65"/>
        <v>No</v>
      </c>
      <c r="AC306" s="9" t="s">
        <v>1255</v>
      </c>
      <c r="AD306">
        <f>IF(AC306="",0,LEN(AC306)-LEN(SUBSTITUTE(AC306,",",""))+1)</f>
        <v>5</v>
      </c>
    </row>
    <row r="307" spans="1:30" ht="12.5" x14ac:dyDescent="0.25">
      <c r="A307" s="1" t="s">
        <v>1256</v>
      </c>
      <c r="B307" s="1" t="s">
        <v>1257</v>
      </c>
      <c r="C307" s="1" t="str">
        <v>Natalie Ortiz</v>
      </c>
      <c r="D307" s="1" t="s">
        <v>1258</v>
      </c>
      <c r="E307" s="1" t="str">
        <v>jacobconrad@yahoo.com</v>
      </c>
      <c r="F307" t="str">
        <f t="shared" si="54"/>
        <v>Valid</v>
      </c>
      <c r="G307" s="1" t="s">
        <v>43</v>
      </c>
      <c r="H307" s="1" t="str">
        <f t="shared" si="55"/>
        <v>Female</v>
      </c>
      <c r="I307" s="1" t="s">
        <v>18</v>
      </c>
      <c r="J307" t="str">
        <f t="shared" si="56"/>
        <v>US</v>
      </c>
      <c r="K307" s="14">
        <v>44</v>
      </c>
      <c r="L307" s="1">
        <f t="shared" si="57"/>
        <v>44</v>
      </c>
      <c r="M307" s="1" t="str">
        <f t="shared" si="58"/>
        <v>Senior</v>
      </c>
      <c r="N307" s="9">
        <v>44729</v>
      </c>
      <c r="O307" s="1" t="s">
        <v>19</v>
      </c>
      <c r="P307" s="1" t="s">
        <v>20</v>
      </c>
      <c r="Q307" s="4">
        <v>0.8</v>
      </c>
      <c r="R307" s="13">
        <f t="shared" si="59"/>
        <v>80</v>
      </c>
      <c r="S307" s="6">
        <f t="shared" si="53"/>
        <v>0.8</v>
      </c>
      <c r="T307" s="1">
        <v>45</v>
      </c>
      <c r="U307" s="1">
        <f t="shared" si="60"/>
        <v>45</v>
      </c>
      <c r="V307" s="1">
        <f t="shared" si="61"/>
        <v>69.5</v>
      </c>
      <c r="W307" s="10" t="str">
        <f t="shared" si="62"/>
        <v>Medium</v>
      </c>
      <c r="X307" s="1">
        <v>0</v>
      </c>
      <c r="Y307" s="1" t="str">
        <f t="shared" si="63"/>
        <v>No</v>
      </c>
      <c r="Z307" s="14">
        <v>1</v>
      </c>
      <c r="AA307" s="18">
        <f t="shared" si="64"/>
        <v>1</v>
      </c>
      <c r="AB307" s="18" t="str">
        <f t="shared" si="65"/>
        <v>No</v>
      </c>
      <c r="AC307" s="9" t="s">
        <v>1259</v>
      </c>
      <c r="AD307">
        <f>IF(AC307="",0,LEN(AC307)-LEN(SUBSTITUTE(AC307,",",""))+1)</f>
        <v>3</v>
      </c>
    </row>
    <row r="308" spans="1:30" ht="12.5" x14ac:dyDescent="0.25">
      <c r="A308" s="1" t="s">
        <v>1260</v>
      </c>
      <c r="B308" s="1" t="s">
        <v>1261</v>
      </c>
      <c r="C308" s="1" t="str">
        <v>Ashley Perry</v>
      </c>
      <c r="D308" s="1" t="s">
        <v>127</v>
      </c>
      <c r="E308" s="1" t="str">
        <v>invalid-email</v>
      </c>
      <c r="F308" t="str">
        <f t="shared" si="54"/>
        <v>Invalid</v>
      </c>
      <c r="G308" s="1" t="s">
        <v>17</v>
      </c>
      <c r="H308" s="1" t="str">
        <f t="shared" si="55"/>
        <v>Female</v>
      </c>
      <c r="I308" s="1" t="s">
        <v>28</v>
      </c>
      <c r="J308" t="str">
        <f t="shared" si="56"/>
        <v>INDIA</v>
      </c>
      <c r="L308" s="1">
        <f t="shared" si="57"/>
        <v>19</v>
      </c>
      <c r="M308" s="1" t="str">
        <f t="shared" si="58"/>
        <v>Student</v>
      </c>
      <c r="N308" s="2">
        <v>45110</v>
      </c>
      <c r="O308" s="1" t="s">
        <v>114</v>
      </c>
      <c r="P308" s="1" t="s">
        <v>59</v>
      </c>
      <c r="Q308" s="4">
        <v>0.03</v>
      </c>
      <c r="R308" s="13">
        <f t="shared" si="59"/>
        <v>3</v>
      </c>
      <c r="S308" s="6">
        <f t="shared" si="53"/>
        <v>0.03</v>
      </c>
      <c r="T308" s="1" t="s">
        <v>46</v>
      </c>
      <c r="U308" s="1">
        <f t="shared" si="60"/>
        <v>1</v>
      </c>
      <c r="V308" s="1">
        <f t="shared" si="61"/>
        <v>2.3999999999999995</v>
      </c>
      <c r="W308" s="10" t="str">
        <f t="shared" si="62"/>
        <v>Low</v>
      </c>
      <c r="X308" s="1">
        <v>1</v>
      </c>
      <c r="Y308" s="1" t="str">
        <f t="shared" si="63"/>
        <v>Yes</v>
      </c>
      <c r="Z308" s="14">
        <v>4</v>
      </c>
      <c r="AA308" s="18">
        <f t="shared" si="64"/>
        <v>4</v>
      </c>
      <c r="AB308" s="18" t="str">
        <f t="shared" si="65"/>
        <v>High Performer</v>
      </c>
      <c r="AC308" s="9" t="s">
        <v>1262</v>
      </c>
      <c r="AD308">
        <f>IF(AC308="",0,LEN(AC308)-LEN(SUBSTITUTE(AC308,",",""))+1)</f>
        <v>2</v>
      </c>
    </row>
    <row r="309" spans="1:30" ht="12.5" x14ac:dyDescent="0.25">
      <c r="A309" s="1" t="s">
        <v>1263</v>
      </c>
      <c r="B309" s="1" t="s">
        <v>1264</v>
      </c>
      <c r="C309" s="1" t="str">
        <v>Joanna Barrett</v>
      </c>
      <c r="D309" s="1" t="s">
        <v>1265</v>
      </c>
      <c r="E309" s="1" t="str">
        <v>vsmith@tran.org</v>
      </c>
      <c r="F309" t="str">
        <f t="shared" si="54"/>
        <v>Valid</v>
      </c>
      <c r="G309" s="1" t="s">
        <v>17</v>
      </c>
      <c r="H309" s="1" t="str">
        <f t="shared" si="55"/>
        <v>Female</v>
      </c>
      <c r="I309" s="1" t="s">
        <v>96</v>
      </c>
      <c r="J309" t="str">
        <f t="shared" si="56"/>
        <v>INDIA</v>
      </c>
      <c r="K309" s="14">
        <v>0</v>
      </c>
      <c r="L309" s="1">
        <f t="shared" si="57"/>
        <v>19</v>
      </c>
      <c r="M309" s="1" t="str">
        <f t="shared" si="58"/>
        <v>Student</v>
      </c>
      <c r="N309" s="9">
        <v>45641</v>
      </c>
      <c r="O309" s="1" t="s">
        <v>170</v>
      </c>
      <c r="P309" s="1" t="s">
        <v>147</v>
      </c>
      <c r="Q309" s="4">
        <v>0.51</v>
      </c>
      <c r="R309" s="13">
        <f t="shared" si="59"/>
        <v>51</v>
      </c>
      <c r="S309" s="6">
        <f t="shared" si="53"/>
        <v>0.51</v>
      </c>
      <c r="T309" s="1" t="s">
        <v>64</v>
      </c>
      <c r="U309" s="1">
        <f t="shared" si="60"/>
        <v>2</v>
      </c>
      <c r="V309" s="1">
        <f t="shared" si="61"/>
        <v>36.299999999999997</v>
      </c>
      <c r="W309" s="10" t="str">
        <f t="shared" si="62"/>
        <v>Low</v>
      </c>
      <c r="X309" s="1" t="s">
        <v>76</v>
      </c>
      <c r="Y309" s="1" t="str">
        <f t="shared" si="63"/>
        <v>Yes</v>
      </c>
      <c r="Z309" s="14">
        <v>4</v>
      </c>
      <c r="AA309" s="18">
        <f t="shared" si="64"/>
        <v>4</v>
      </c>
      <c r="AB309" s="18" t="str">
        <f t="shared" si="65"/>
        <v>High Performer</v>
      </c>
      <c r="AC309" s="9" t="s">
        <v>1266</v>
      </c>
      <c r="AD309">
        <f>IF(AC309="",0,LEN(AC309)-LEN(SUBSTITUTE(AC309,",",""))+1)</f>
        <v>7</v>
      </c>
    </row>
    <row r="310" spans="1:30" ht="12.5" x14ac:dyDescent="0.25">
      <c r="A310" s="1" t="s">
        <v>1267</v>
      </c>
      <c r="B310" s="1" t="s">
        <v>1268</v>
      </c>
      <c r="C310" s="1" t="str">
        <v>Melissa Thompson</v>
      </c>
      <c r="D310" s="1" t="s">
        <v>1269</v>
      </c>
      <c r="E310" s="1" t="str">
        <v>hughescaroline@gordon-cruz.org</v>
      </c>
      <c r="F310" t="str">
        <f t="shared" si="54"/>
        <v>Valid</v>
      </c>
      <c r="G310" s="1" t="s">
        <v>17</v>
      </c>
      <c r="H310" s="1" t="str">
        <f t="shared" si="55"/>
        <v>Female</v>
      </c>
      <c r="I310" s="1" t="s">
        <v>44</v>
      </c>
      <c r="J310" t="str">
        <f t="shared" si="56"/>
        <v>CANADA</v>
      </c>
      <c r="L310" s="1">
        <f t="shared" si="57"/>
        <v>19</v>
      </c>
      <c r="M310" s="1" t="str">
        <f t="shared" si="58"/>
        <v>Student</v>
      </c>
      <c r="N310" s="9">
        <v>45408</v>
      </c>
      <c r="O310" s="1" t="s">
        <v>90</v>
      </c>
      <c r="P310" s="1" t="s">
        <v>31</v>
      </c>
      <c r="Q310" s="4">
        <v>13</v>
      </c>
      <c r="R310" s="13">
        <f t="shared" si="59"/>
        <v>13</v>
      </c>
      <c r="S310" s="6">
        <f t="shared" si="53"/>
        <v>0.13</v>
      </c>
      <c r="T310" s="1">
        <v>2</v>
      </c>
      <c r="U310" s="1">
        <f t="shared" si="60"/>
        <v>2</v>
      </c>
      <c r="V310" s="1">
        <f t="shared" si="61"/>
        <v>9.6999999999999993</v>
      </c>
      <c r="W310" s="10" t="str">
        <f t="shared" si="62"/>
        <v>Low</v>
      </c>
      <c r="X310" s="1">
        <v>0</v>
      </c>
      <c r="Y310" s="1" t="str">
        <f t="shared" si="63"/>
        <v>No</v>
      </c>
      <c r="Z310" s="14">
        <v>3</v>
      </c>
      <c r="AA310" s="18">
        <f t="shared" si="64"/>
        <v>3</v>
      </c>
      <c r="AB310" s="18" t="str">
        <f t="shared" si="65"/>
        <v>No</v>
      </c>
      <c r="AC310" s="9" t="s">
        <v>1270</v>
      </c>
      <c r="AD310">
        <f>IF(AC310="",0,LEN(AC310)-LEN(SUBSTITUTE(AC310,",",""))+1)</f>
        <v>2</v>
      </c>
    </row>
    <row r="311" spans="1:30" ht="12.5" x14ac:dyDescent="0.25">
      <c r="A311" s="1" t="s">
        <v>1271</v>
      </c>
      <c r="B311" s="1" t="s">
        <v>1272</v>
      </c>
      <c r="C311" s="1" t="str">
        <v>Tracy Chavez</v>
      </c>
      <c r="D311" s="1" t="s">
        <v>1273</v>
      </c>
      <c r="E311" s="1" t="str">
        <v>robertgraves@hunt.com</v>
      </c>
      <c r="F311" t="str">
        <f t="shared" si="54"/>
        <v>Valid</v>
      </c>
      <c r="G311" s="1" t="s">
        <v>27</v>
      </c>
      <c r="H311" s="1" t="str">
        <f t="shared" si="55"/>
        <v>Male</v>
      </c>
      <c r="I311" s="1" t="s">
        <v>51</v>
      </c>
      <c r="J311" t="str">
        <f t="shared" si="56"/>
        <v>UK</v>
      </c>
      <c r="K311" s="14">
        <v>0</v>
      </c>
      <c r="L311" s="1">
        <f t="shared" si="57"/>
        <v>19</v>
      </c>
      <c r="M311" s="1" t="str">
        <f t="shared" si="58"/>
        <v>Student</v>
      </c>
      <c r="N311" s="9">
        <v>45733</v>
      </c>
      <c r="O311" s="1" t="s">
        <v>301</v>
      </c>
      <c r="P311" s="1" t="s">
        <v>20</v>
      </c>
      <c r="Q311" s="4">
        <v>0.95</v>
      </c>
      <c r="R311" s="13">
        <f t="shared" si="59"/>
        <v>95</v>
      </c>
      <c r="S311" s="6">
        <f t="shared" si="53"/>
        <v>0.95</v>
      </c>
      <c r="T311" s="1">
        <v>45</v>
      </c>
      <c r="U311" s="1">
        <f t="shared" si="60"/>
        <v>45</v>
      </c>
      <c r="V311" s="1">
        <f t="shared" si="61"/>
        <v>80</v>
      </c>
      <c r="W311" s="10" t="str">
        <f t="shared" si="62"/>
        <v>High</v>
      </c>
      <c r="X311" s="1">
        <v>0</v>
      </c>
      <c r="Y311" s="1" t="str">
        <f t="shared" si="63"/>
        <v>No</v>
      </c>
      <c r="Z311" s="14">
        <v>4</v>
      </c>
      <c r="AA311" s="18">
        <f t="shared" si="64"/>
        <v>4</v>
      </c>
      <c r="AB311" s="18" t="str">
        <f t="shared" si="65"/>
        <v>No</v>
      </c>
      <c r="AC311" s="9" t="s">
        <v>1274</v>
      </c>
      <c r="AD311">
        <f>IF(AC311="",0,LEN(AC311)-LEN(SUBSTITUTE(AC311,",",""))+1)</f>
        <v>3</v>
      </c>
    </row>
    <row r="312" spans="1:30" ht="12.5" x14ac:dyDescent="0.25">
      <c r="A312" s="1" t="s">
        <v>1275</v>
      </c>
      <c r="B312" s="1" t="s">
        <v>1276</v>
      </c>
      <c r="C312" s="1" t="str">
        <v>Donna Reed</v>
      </c>
      <c r="D312" s="1" t="s">
        <v>1277</v>
      </c>
      <c r="E312" s="1" t="str">
        <v>williambenson@page-hodges.net</v>
      </c>
      <c r="F312" t="str">
        <f t="shared" si="54"/>
        <v>Valid</v>
      </c>
      <c r="G312" s="1" t="s">
        <v>17</v>
      </c>
      <c r="H312" s="1" t="str">
        <f t="shared" si="55"/>
        <v>Female</v>
      </c>
      <c r="I312" s="1" t="s">
        <v>44</v>
      </c>
      <c r="J312" t="str">
        <f t="shared" si="56"/>
        <v>CANADA</v>
      </c>
      <c r="K312" s="14">
        <v>0</v>
      </c>
      <c r="L312" s="1">
        <f t="shared" si="57"/>
        <v>19</v>
      </c>
      <c r="M312" s="1" t="str">
        <f t="shared" si="58"/>
        <v>Student</v>
      </c>
      <c r="N312" s="9">
        <v>45517</v>
      </c>
      <c r="O312" s="1" t="s">
        <v>36</v>
      </c>
      <c r="P312" s="1" t="s">
        <v>37</v>
      </c>
      <c r="Q312" s="4">
        <v>0.73</v>
      </c>
      <c r="R312" s="13">
        <f t="shared" si="59"/>
        <v>73</v>
      </c>
      <c r="S312" s="6">
        <f t="shared" si="53"/>
        <v>0.73</v>
      </c>
      <c r="T312" s="1">
        <v>1.5</v>
      </c>
      <c r="U312" s="1">
        <f t="shared" si="60"/>
        <v>1.5</v>
      </c>
      <c r="V312" s="1">
        <f t="shared" si="61"/>
        <v>51.55</v>
      </c>
      <c r="W312" s="10" t="str">
        <f t="shared" si="62"/>
        <v>Medium</v>
      </c>
      <c r="X312" s="1">
        <v>0</v>
      </c>
      <c r="Y312" s="1" t="str">
        <f t="shared" si="63"/>
        <v>No</v>
      </c>
      <c r="Z312" s="14">
        <v>5</v>
      </c>
      <c r="AA312" s="18">
        <f t="shared" si="64"/>
        <v>5</v>
      </c>
      <c r="AB312" s="18" t="str">
        <f t="shared" si="65"/>
        <v>No</v>
      </c>
      <c r="AC312" s="9" t="s">
        <v>1278</v>
      </c>
      <c r="AD312">
        <f>IF(AC312="",0,LEN(AC312)-LEN(SUBSTITUTE(AC312,",",""))+1)</f>
        <v>3</v>
      </c>
    </row>
    <row r="313" spans="1:30" ht="12.5" x14ac:dyDescent="0.25">
      <c r="A313" s="1" t="s">
        <v>1279</v>
      </c>
      <c r="B313" s="1" t="s">
        <v>1280</v>
      </c>
      <c r="C313" s="1" t="str">
        <v>Megan English</v>
      </c>
      <c r="D313" s="1" t="s">
        <v>1281</v>
      </c>
      <c r="E313" s="1" t="str">
        <v>hstokes@gmail.com</v>
      </c>
      <c r="F313" t="str">
        <f t="shared" si="54"/>
        <v>Valid</v>
      </c>
      <c r="G313" s="1" t="s">
        <v>27</v>
      </c>
      <c r="H313" s="1" t="str">
        <f t="shared" si="55"/>
        <v>Male</v>
      </c>
      <c r="I313" s="1" t="s">
        <v>89</v>
      </c>
      <c r="J313" t="str">
        <f t="shared" si="56"/>
        <v>GERMANY</v>
      </c>
      <c r="K313" s="14">
        <v>21</v>
      </c>
      <c r="L313" s="1">
        <f t="shared" si="57"/>
        <v>21</v>
      </c>
      <c r="M313" s="1" t="str">
        <f t="shared" si="58"/>
        <v>Student</v>
      </c>
      <c r="N313" s="9">
        <v>45404</v>
      </c>
      <c r="O313" s="1" t="s">
        <v>36</v>
      </c>
      <c r="P313" s="1" t="s">
        <v>37</v>
      </c>
      <c r="Q313" s="4">
        <v>18</v>
      </c>
      <c r="R313" s="13">
        <f t="shared" si="59"/>
        <v>18</v>
      </c>
      <c r="S313" s="6">
        <f t="shared" si="53"/>
        <v>0.18</v>
      </c>
      <c r="T313" s="1" t="s">
        <v>46</v>
      </c>
      <c r="U313" s="1">
        <f t="shared" si="60"/>
        <v>1</v>
      </c>
      <c r="V313" s="1">
        <f t="shared" si="61"/>
        <v>12.9</v>
      </c>
      <c r="W313" s="10" t="str">
        <f t="shared" si="62"/>
        <v>Low</v>
      </c>
      <c r="X313" s="1">
        <v>1</v>
      </c>
      <c r="Y313" s="1" t="str">
        <f t="shared" si="63"/>
        <v>Yes</v>
      </c>
      <c r="Z313" s="14">
        <v>2</v>
      </c>
      <c r="AA313" s="18">
        <f t="shared" si="64"/>
        <v>2</v>
      </c>
      <c r="AB313" s="18" t="str">
        <f t="shared" si="65"/>
        <v>No</v>
      </c>
      <c r="AC313" s="9" t="s">
        <v>1282</v>
      </c>
      <c r="AD313">
        <f>IF(AC313="",0,LEN(AC313)-LEN(SUBSTITUTE(AC313,",",""))+1)</f>
        <v>7</v>
      </c>
    </row>
    <row r="314" spans="1:30" ht="12.5" x14ac:dyDescent="0.25">
      <c r="A314" s="1" t="s">
        <v>1283</v>
      </c>
      <c r="B314" s="1" t="s">
        <v>1284</v>
      </c>
      <c r="C314" s="1" t="str">
        <v>Derek Floyd</v>
      </c>
      <c r="D314" s="1" t="s">
        <v>1285</v>
      </c>
      <c r="E314" s="1" t="str">
        <v>dwayne04@gmail.com</v>
      </c>
      <c r="F314" t="str">
        <f t="shared" si="54"/>
        <v>Valid</v>
      </c>
      <c r="G314" s="1" t="s">
        <v>119</v>
      </c>
      <c r="H314" s="1" t="str">
        <f t="shared" si="55"/>
        <v>Female</v>
      </c>
      <c r="I314" s="1" t="s">
        <v>156</v>
      </c>
      <c r="J314" t="str">
        <f t="shared" si="56"/>
        <v>IN</v>
      </c>
      <c r="K314" s="14">
        <v>29</v>
      </c>
      <c r="L314" s="1">
        <f t="shared" si="57"/>
        <v>29</v>
      </c>
      <c r="M314" s="1" t="str">
        <f t="shared" si="58"/>
        <v>Early Career</v>
      </c>
      <c r="N314" s="9">
        <v>44697</v>
      </c>
      <c r="O314" s="1" t="s">
        <v>45</v>
      </c>
      <c r="P314" s="1" t="s">
        <v>20</v>
      </c>
      <c r="Q314" s="4">
        <v>0.37</v>
      </c>
      <c r="R314" s="13">
        <f t="shared" si="59"/>
        <v>37</v>
      </c>
      <c r="S314" s="6">
        <f t="shared" si="53"/>
        <v>0.37</v>
      </c>
      <c r="T314" s="1" t="s">
        <v>46</v>
      </c>
      <c r="U314" s="1">
        <f t="shared" si="60"/>
        <v>1</v>
      </c>
      <c r="V314" s="1">
        <f t="shared" si="61"/>
        <v>26.2</v>
      </c>
      <c r="W314" s="10" t="str">
        <f t="shared" si="62"/>
        <v>Low</v>
      </c>
      <c r="X314" s="1" t="s">
        <v>22</v>
      </c>
      <c r="Y314" s="1" t="str">
        <f t="shared" si="63"/>
        <v>No</v>
      </c>
      <c r="AA314" s="18" t="str">
        <f t="shared" si="64"/>
        <v>Invalid</v>
      </c>
      <c r="AB314" s="18" t="str">
        <f t="shared" si="65"/>
        <v>No</v>
      </c>
      <c r="AC314" s="9" t="s">
        <v>1286</v>
      </c>
      <c r="AD314">
        <f>IF(AC314="",0,LEN(AC314)-LEN(SUBSTITUTE(AC314,",",""))+1)</f>
        <v>8</v>
      </c>
    </row>
    <row r="315" spans="1:30" ht="12.5" x14ac:dyDescent="0.25">
      <c r="A315" s="1" t="s">
        <v>1287</v>
      </c>
      <c r="B315" s="1" t="s">
        <v>1288</v>
      </c>
      <c r="C315" s="1" t="str">
        <v>Sean Stevenson</v>
      </c>
      <c r="D315" s="1" t="s">
        <v>1289</v>
      </c>
      <c r="E315" s="1" t="str">
        <v>yyoung@roberts.biz</v>
      </c>
      <c r="F315" t="str">
        <f t="shared" si="54"/>
        <v>Valid</v>
      </c>
      <c r="G315" s="1" t="s">
        <v>109</v>
      </c>
      <c r="H315" s="1" t="str">
        <f t="shared" si="55"/>
        <v>Male</v>
      </c>
      <c r="I315" s="1" t="s">
        <v>156</v>
      </c>
      <c r="J315" t="str">
        <f t="shared" si="56"/>
        <v>IN</v>
      </c>
      <c r="L315" s="1">
        <f t="shared" si="57"/>
        <v>19</v>
      </c>
      <c r="M315" s="1" t="str">
        <f t="shared" si="58"/>
        <v>Student</v>
      </c>
      <c r="N315" s="9">
        <v>45498</v>
      </c>
      <c r="O315" s="1" t="s">
        <v>301</v>
      </c>
      <c r="P315" s="1" t="s">
        <v>20</v>
      </c>
      <c r="Q315" s="4">
        <v>0.56999999999999995</v>
      </c>
      <c r="R315" s="13">
        <f t="shared" si="59"/>
        <v>56.999999999999993</v>
      </c>
      <c r="S315" s="6">
        <f t="shared" si="53"/>
        <v>0.56999999999999995</v>
      </c>
      <c r="T315" s="1" t="s">
        <v>21</v>
      </c>
      <c r="U315" s="1">
        <f t="shared" si="60"/>
        <v>1.5</v>
      </c>
      <c r="V315" s="1">
        <f t="shared" si="61"/>
        <v>40.349999999999994</v>
      </c>
      <c r="W315" s="10" t="str">
        <f t="shared" si="62"/>
        <v>Low</v>
      </c>
      <c r="X315" s="1" t="s">
        <v>22</v>
      </c>
      <c r="Y315" s="1" t="str">
        <f t="shared" si="63"/>
        <v>No</v>
      </c>
      <c r="Z315" s="14">
        <v>3</v>
      </c>
      <c r="AA315" s="18">
        <f t="shared" si="64"/>
        <v>3</v>
      </c>
      <c r="AB315" s="18" t="str">
        <f t="shared" si="65"/>
        <v>No</v>
      </c>
      <c r="AC315" s="9" t="s">
        <v>1291</v>
      </c>
      <c r="AD315">
        <f>IF(AC315="",0,LEN(AC315)-LEN(SUBSTITUTE(AC315,",",""))+1)</f>
        <v>2</v>
      </c>
    </row>
    <row r="316" spans="1:30" ht="12.5" x14ac:dyDescent="0.25">
      <c r="A316" s="1" t="s">
        <v>1292</v>
      </c>
      <c r="B316" s="1" t="s">
        <v>1293</v>
      </c>
      <c r="C316" s="1" t="str">
        <v>Juan Smith</v>
      </c>
      <c r="D316" s="1" t="s">
        <v>1294</v>
      </c>
      <c r="E316" s="1" t="str">
        <v>christinenorman@yahoo.com</v>
      </c>
      <c r="F316" t="str">
        <f t="shared" si="54"/>
        <v>Valid</v>
      </c>
      <c r="G316" s="1" t="s">
        <v>57</v>
      </c>
      <c r="H316" s="1" t="str">
        <f t="shared" si="55"/>
        <v>Female</v>
      </c>
      <c r="I316" s="1" t="s">
        <v>136</v>
      </c>
      <c r="J316" t="str">
        <f t="shared" si="56"/>
        <v>UK</v>
      </c>
      <c r="L316" s="1">
        <f t="shared" si="57"/>
        <v>19</v>
      </c>
      <c r="M316" s="1" t="str">
        <f t="shared" si="58"/>
        <v>Student</v>
      </c>
      <c r="N316" s="9">
        <v>45305</v>
      </c>
      <c r="O316" s="1" t="s">
        <v>301</v>
      </c>
      <c r="P316" s="1" t="s">
        <v>20</v>
      </c>
      <c r="Q316" s="4">
        <v>82</v>
      </c>
      <c r="R316" s="13">
        <f t="shared" si="59"/>
        <v>82</v>
      </c>
      <c r="S316" s="6">
        <f t="shared" si="53"/>
        <v>0.82</v>
      </c>
      <c r="T316" s="1" t="s">
        <v>21</v>
      </c>
      <c r="U316" s="1">
        <f t="shared" si="60"/>
        <v>1.5</v>
      </c>
      <c r="V316" s="1">
        <f t="shared" si="61"/>
        <v>57.85</v>
      </c>
      <c r="W316" s="10" t="str">
        <f t="shared" si="62"/>
        <v>Medium</v>
      </c>
      <c r="X316" s="1" t="s">
        <v>32</v>
      </c>
      <c r="Y316" s="1" t="str">
        <f t="shared" si="63"/>
        <v>Yes</v>
      </c>
      <c r="Z316" s="14">
        <v>4</v>
      </c>
      <c r="AA316" s="18">
        <f t="shared" si="64"/>
        <v>4</v>
      </c>
      <c r="AB316" s="18" t="str">
        <f t="shared" si="65"/>
        <v>High Performer</v>
      </c>
      <c r="AC316" s="9" t="s">
        <v>1295</v>
      </c>
      <c r="AD316">
        <f>IF(AC316="",0,LEN(AC316)-LEN(SUBSTITUTE(AC316,",",""))+1)</f>
        <v>4</v>
      </c>
    </row>
    <row r="317" spans="1:30" ht="12.5" x14ac:dyDescent="0.25">
      <c r="A317" s="1" t="s">
        <v>1296</v>
      </c>
      <c r="B317" s="1" t="s">
        <v>1297</v>
      </c>
      <c r="C317" s="1" t="str">
        <v>Nicole Payne</v>
      </c>
      <c r="D317" s="1" t="s">
        <v>1298</v>
      </c>
      <c r="E317" s="1" t="str">
        <v>kellythompson@jones.com</v>
      </c>
      <c r="F317" t="str">
        <f t="shared" si="54"/>
        <v>Valid</v>
      </c>
      <c r="G317" s="1" t="s">
        <v>43</v>
      </c>
      <c r="H317" s="1" t="str">
        <f t="shared" si="55"/>
        <v>Female</v>
      </c>
      <c r="I317" s="1" t="s">
        <v>44</v>
      </c>
      <c r="J317" t="str">
        <f t="shared" si="56"/>
        <v>CANADA</v>
      </c>
      <c r="K317" s="14">
        <v>0</v>
      </c>
      <c r="L317" s="1">
        <f t="shared" si="57"/>
        <v>19</v>
      </c>
      <c r="M317" s="1" t="str">
        <f t="shared" si="58"/>
        <v>Student</v>
      </c>
      <c r="N317" s="9">
        <v>45008</v>
      </c>
      <c r="O317" s="1" t="s">
        <v>114</v>
      </c>
      <c r="P317" s="1" t="s">
        <v>59</v>
      </c>
      <c r="Q317" s="4">
        <v>0.1</v>
      </c>
      <c r="R317" s="13">
        <f t="shared" si="59"/>
        <v>10</v>
      </c>
      <c r="S317" s="6">
        <f t="shared" si="53"/>
        <v>0.1</v>
      </c>
      <c r="T317" s="1" t="s">
        <v>21</v>
      </c>
      <c r="U317" s="1">
        <f t="shared" si="60"/>
        <v>1.5</v>
      </c>
      <c r="V317" s="1">
        <f t="shared" si="61"/>
        <v>7.45</v>
      </c>
      <c r="W317" s="10" t="str">
        <f t="shared" si="62"/>
        <v>Low</v>
      </c>
      <c r="X317" s="1" t="s">
        <v>76</v>
      </c>
      <c r="Y317" s="1" t="str">
        <f t="shared" si="63"/>
        <v>Yes</v>
      </c>
      <c r="Z317" s="14">
        <v>6</v>
      </c>
      <c r="AA317" s="18">
        <f t="shared" si="64"/>
        <v>6</v>
      </c>
      <c r="AB317" s="18" t="str">
        <f t="shared" si="65"/>
        <v>High Performer</v>
      </c>
      <c r="AC317" s="9" t="s">
        <v>1299</v>
      </c>
      <c r="AD317">
        <f>IF(AC317="",0,LEN(AC317)-LEN(SUBSTITUTE(AC317,",",""))+1)</f>
        <v>2</v>
      </c>
    </row>
    <row r="318" spans="1:30" ht="12.5" x14ac:dyDescent="0.25">
      <c r="A318" s="1" t="s">
        <v>1300</v>
      </c>
      <c r="B318" s="1" t="s">
        <v>1301</v>
      </c>
      <c r="C318" s="1" t="str">
        <v>Christopher Singleton</v>
      </c>
      <c r="D318" s="1" t="s">
        <v>127</v>
      </c>
      <c r="E318" s="1" t="str">
        <v>invalid-email</v>
      </c>
      <c r="F318" t="str">
        <f t="shared" si="54"/>
        <v>Invalid</v>
      </c>
      <c r="G318" s="1" t="s">
        <v>27</v>
      </c>
      <c r="H318" s="1" t="str">
        <f t="shared" si="55"/>
        <v>Male</v>
      </c>
      <c r="I318" s="1" t="s">
        <v>96</v>
      </c>
      <c r="J318" t="str">
        <f t="shared" si="56"/>
        <v>INDIA</v>
      </c>
      <c r="L318" s="1">
        <f t="shared" si="57"/>
        <v>19</v>
      </c>
      <c r="M318" s="1" t="str">
        <f t="shared" si="58"/>
        <v>Student</v>
      </c>
      <c r="N318" s="9">
        <v>45243</v>
      </c>
      <c r="O318" s="1" t="s">
        <v>45</v>
      </c>
      <c r="P318" s="1" t="s">
        <v>20</v>
      </c>
      <c r="Q318" s="4">
        <v>0.98</v>
      </c>
      <c r="R318" s="13">
        <f t="shared" si="59"/>
        <v>98</v>
      </c>
      <c r="S318" s="6">
        <f t="shared" si="53"/>
        <v>0.98</v>
      </c>
      <c r="T318" s="1">
        <v>45</v>
      </c>
      <c r="U318" s="1">
        <f t="shared" si="60"/>
        <v>45</v>
      </c>
      <c r="V318" s="1">
        <f t="shared" si="61"/>
        <v>82.1</v>
      </c>
      <c r="W318" s="10" t="str">
        <f t="shared" si="62"/>
        <v>High</v>
      </c>
      <c r="X318" s="1" t="s">
        <v>22</v>
      </c>
      <c r="Y318" s="1" t="str">
        <f t="shared" si="63"/>
        <v>No</v>
      </c>
      <c r="Z318" s="14">
        <v>5</v>
      </c>
      <c r="AA318" s="18">
        <f t="shared" si="64"/>
        <v>5</v>
      </c>
      <c r="AB318" s="18" t="str">
        <f t="shared" si="65"/>
        <v>No</v>
      </c>
      <c r="AC318" s="9" t="s">
        <v>1302</v>
      </c>
      <c r="AD318">
        <f>IF(AC318="",0,LEN(AC318)-LEN(SUBSTITUTE(AC318,",",""))+1)</f>
        <v>1</v>
      </c>
    </row>
    <row r="319" spans="1:30" ht="12.5" x14ac:dyDescent="0.25">
      <c r="A319" s="1" t="s">
        <v>1303</v>
      </c>
      <c r="B319" s="1" t="s">
        <v>1304</v>
      </c>
      <c r="C319" s="1" t="str">
        <v>Christian Morris</v>
      </c>
      <c r="D319" s="1" t="s">
        <v>1305</v>
      </c>
      <c r="E319" s="1" t="str">
        <v>tracy98@jones-zimmerman.net</v>
      </c>
      <c r="F319" t="str">
        <f t="shared" si="54"/>
        <v>Valid</v>
      </c>
      <c r="G319" s="1" t="s">
        <v>88</v>
      </c>
      <c r="H319" s="1" t="str">
        <f t="shared" si="55"/>
        <v>Male</v>
      </c>
      <c r="I319" s="1" t="s">
        <v>156</v>
      </c>
      <c r="J319" t="str">
        <f t="shared" si="56"/>
        <v>IN</v>
      </c>
      <c r="K319" s="14">
        <v>34</v>
      </c>
      <c r="L319" s="1">
        <f t="shared" si="57"/>
        <v>34</v>
      </c>
      <c r="M319" s="1" t="str">
        <f t="shared" si="58"/>
        <v>Mid Career</v>
      </c>
      <c r="N319" s="9">
        <v>44666</v>
      </c>
      <c r="O319" s="1" t="s">
        <v>52</v>
      </c>
      <c r="P319" s="1" t="s">
        <v>37</v>
      </c>
      <c r="Q319" s="4">
        <v>37</v>
      </c>
      <c r="R319" s="13">
        <f t="shared" si="59"/>
        <v>37</v>
      </c>
      <c r="S319" s="6">
        <f t="shared" si="53"/>
        <v>0.37</v>
      </c>
      <c r="T319" s="1">
        <v>45</v>
      </c>
      <c r="U319" s="1">
        <f t="shared" si="60"/>
        <v>45</v>
      </c>
      <c r="V319" s="1">
        <f t="shared" si="61"/>
        <v>39.4</v>
      </c>
      <c r="W319" s="10" t="str">
        <f t="shared" si="62"/>
        <v>Low</v>
      </c>
      <c r="X319" s="1">
        <v>1</v>
      </c>
      <c r="Y319" s="1" t="str">
        <f t="shared" si="63"/>
        <v>Yes</v>
      </c>
      <c r="Z319" s="14">
        <v>2</v>
      </c>
      <c r="AA319" s="18">
        <f t="shared" si="64"/>
        <v>2</v>
      </c>
      <c r="AB319" s="18" t="str">
        <f t="shared" si="65"/>
        <v>No</v>
      </c>
      <c r="AC319" s="9" t="s">
        <v>1306</v>
      </c>
      <c r="AD319">
        <f>IF(AC319="",0,LEN(AC319)-LEN(SUBSTITUTE(AC319,",",""))+1)</f>
        <v>4</v>
      </c>
    </row>
    <row r="320" spans="1:30" ht="12.5" x14ac:dyDescent="0.25">
      <c r="A320" s="1" t="s">
        <v>1307</v>
      </c>
      <c r="B320" s="1" t="s">
        <v>1308</v>
      </c>
      <c r="C320" s="1" t="str">
        <v>Caitlin Daniels</v>
      </c>
      <c r="D320" s="1" t="s">
        <v>1309</v>
      </c>
      <c r="E320" s="1" t="str">
        <v>baileynicole@hotmail.com</v>
      </c>
      <c r="F320" t="str">
        <f t="shared" si="54"/>
        <v>Valid</v>
      </c>
      <c r="G320" s="1" t="s">
        <v>119</v>
      </c>
      <c r="H320" s="1" t="str">
        <f t="shared" si="55"/>
        <v>Female</v>
      </c>
      <c r="I320" s="1" t="s">
        <v>156</v>
      </c>
      <c r="J320" t="str">
        <f t="shared" si="56"/>
        <v>IN</v>
      </c>
      <c r="K320" s="14">
        <v>19</v>
      </c>
      <c r="L320" s="1">
        <f t="shared" si="57"/>
        <v>19</v>
      </c>
      <c r="M320" s="1" t="str">
        <f t="shared" si="58"/>
        <v>Student</v>
      </c>
      <c r="N320" s="9">
        <v>44999</v>
      </c>
      <c r="O320" s="1" t="s">
        <v>146</v>
      </c>
      <c r="P320" s="1" t="s">
        <v>147</v>
      </c>
      <c r="Q320" s="4">
        <v>0.72</v>
      </c>
      <c r="R320" s="13">
        <f t="shared" si="59"/>
        <v>72</v>
      </c>
      <c r="S320" s="6">
        <f t="shared" si="53"/>
        <v>0.72</v>
      </c>
      <c r="T320" s="1" t="s">
        <v>64</v>
      </c>
      <c r="U320" s="1">
        <f t="shared" si="60"/>
        <v>2</v>
      </c>
      <c r="V320" s="1">
        <f t="shared" si="61"/>
        <v>51</v>
      </c>
      <c r="W320" s="10" t="str">
        <f t="shared" si="62"/>
        <v>Medium</v>
      </c>
      <c r="X320" s="1" t="s">
        <v>22</v>
      </c>
      <c r="Y320" s="1" t="str">
        <f t="shared" si="63"/>
        <v>No</v>
      </c>
      <c r="Z320" s="14">
        <v>5</v>
      </c>
      <c r="AA320" s="18">
        <f t="shared" si="64"/>
        <v>5</v>
      </c>
      <c r="AB320" s="18" t="str">
        <f t="shared" si="65"/>
        <v>No</v>
      </c>
      <c r="AC320" s="9" t="s">
        <v>1310</v>
      </c>
      <c r="AD320">
        <f>IF(AC320="",0,LEN(AC320)-LEN(SUBSTITUTE(AC320,",",""))+1)</f>
        <v>3</v>
      </c>
    </row>
    <row r="321" spans="1:30" ht="12.5" x14ac:dyDescent="0.25">
      <c r="A321" s="1" t="s">
        <v>1311</v>
      </c>
      <c r="B321" s="1" t="s">
        <v>1312</v>
      </c>
      <c r="C321" s="1" t="str">
        <v>Lisa Wells</v>
      </c>
      <c r="D321" s="1" t="s">
        <v>1313</v>
      </c>
      <c r="E321" s="1" t="str">
        <v>caldwellsean@austin.com</v>
      </c>
      <c r="F321" t="str">
        <f t="shared" si="54"/>
        <v>Valid</v>
      </c>
      <c r="G321" s="1" t="s">
        <v>119</v>
      </c>
      <c r="H321" s="1" t="str">
        <f t="shared" si="55"/>
        <v>Female</v>
      </c>
      <c r="I321" s="1" t="s">
        <v>136</v>
      </c>
      <c r="J321" t="str">
        <f t="shared" si="56"/>
        <v>UK</v>
      </c>
      <c r="K321" s="14">
        <v>19</v>
      </c>
      <c r="L321" s="1">
        <f t="shared" si="57"/>
        <v>19</v>
      </c>
      <c r="M321" s="1" t="str">
        <f t="shared" si="58"/>
        <v>Student</v>
      </c>
      <c r="N321" s="2">
        <v>45025</v>
      </c>
      <c r="O321" s="1" t="s">
        <v>301</v>
      </c>
      <c r="P321" s="1" t="s">
        <v>20</v>
      </c>
      <c r="Q321" s="4">
        <v>0.26</v>
      </c>
      <c r="R321" s="13">
        <f t="shared" si="59"/>
        <v>26</v>
      </c>
      <c r="S321" s="6">
        <f t="shared" si="53"/>
        <v>0.26</v>
      </c>
      <c r="T321" s="1" t="s">
        <v>21</v>
      </c>
      <c r="U321" s="1">
        <f t="shared" si="60"/>
        <v>1.5</v>
      </c>
      <c r="V321" s="1">
        <f t="shared" si="61"/>
        <v>18.649999999999999</v>
      </c>
      <c r="W321" s="10" t="str">
        <f t="shared" si="62"/>
        <v>Low</v>
      </c>
      <c r="X321" s="1" t="s">
        <v>32</v>
      </c>
      <c r="Y321" s="1" t="str">
        <f t="shared" si="63"/>
        <v>Yes</v>
      </c>
      <c r="Z321" s="14">
        <v>5</v>
      </c>
      <c r="AA321" s="18">
        <f t="shared" si="64"/>
        <v>5</v>
      </c>
      <c r="AB321" s="18" t="str">
        <f t="shared" si="65"/>
        <v>High Performer</v>
      </c>
      <c r="AC321" s="9" t="s">
        <v>1314</v>
      </c>
      <c r="AD321">
        <f>IF(AC321="",0,LEN(AC321)-LEN(SUBSTITUTE(AC321,",",""))+1)</f>
        <v>6</v>
      </c>
    </row>
    <row r="322" spans="1:30" ht="12.5" x14ac:dyDescent="0.25">
      <c r="A322" s="1" t="s">
        <v>1315</v>
      </c>
      <c r="B322" s="1" t="s">
        <v>1316</v>
      </c>
      <c r="C322" s="1" t="str">
        <v>Joshua Campbell</v>
      </c>
      <c r="D322" s="1" t="s">
        <v>1317</v>
      </c>
      <c r="E322" s="1" t="str">
        <v>stucker@hotmail.com</v>
      </c>
      <c r="F322" t="str">
        <f t="shared" si="54"/>
        <v>Valid</v>
      </c>
      <c r="G322" s="1" t="s">
        <v>57</v>
      </c>
      <c r="H322" s="1" t="str">
        <f t="shared" si="55"/>
        <v>Female</v>
      </c>
      <c r="I322" s="1" t="s">
        <v>74</v>
      </c>
      <c r="J322" t="str">
        <f t="shared" si="56"/>
        <v>USA</v>
      </c>
      <c r="L322" s="1">
        <f t="shared" si="57"/>
        <v>19</v>
      </c>
      <c r="M322" s="1" t="str">
        <f t="shared" si="58"/>
        <v>Student</v>
      </c>
      <c r="N322" s="9">
        <v>45250</v>
      </c>
      <c r="O322" s="1" t="s">
        <v>45</v>
      </c>
      <c r="P322" s="1" t="s">
        <v>20</v>
      </c>
      <c r="Q322" s="4">
        <v>0.69</v>
      </c>
      <c r="R322" s="13">
        <f t="shared" si="59"/>
        <v>69</v>
      </c>
      <c r="S322" s="6">
        <f t="shared" ref="S322:S385" si="66">R322/100</f>
        <v>0.69</v>
      </c>
      <c r="T322" s="1" t="s">
        <v>46</v>
      </c>
      <c r="U322" s="1">
        <f t="shared" si="60"/>
        <v>1</v>
      </c>
      <c r="V322" s="1">
        <f t="shared" si="61"/>
        <v>48.599999999999994</v>
      </c>
      <c r="W322" s="10" t="str">
        <f t="shared" si="62"/>
        <v>Medium</v>
      </c>
      <c r="X322" s="1" t="s">
        <v>22</v>
      </c>
      <c r="Y322" s="1" t="str">
        <f t="shared" si="63"/>
        <v>No</v>
      </c>
      <c r="Z322" s="14">
        <v>5</v>
      </c>
      <c r="AA322" s="18">
        <f t="shared" si="64"/>
        <v>5</v>
      </c>
      <c r="AB322" s="18" t="str">
        <f t="shared" si="65"/>
        <v>No</v>
      </c>
      <c r="AC322" s="9" t="s">
        <v>1318</v>
      </c>
      <c r="AD322">
        <f>IF(AC322="",0,LEN(AC322)-LEN(SUBSTITUTE(AC322,",",""))+1)</f>
        <v>5</v>
      </c>
    </row>
    <row r="323" spans="1:30" ht="12.5" x14ac:dyDescent="0.25">
      <c r="A323" s="1" t="s">
        <v>1319</v>
      </c>
      <c r="B323" s="1" t="s">
        <v>1320</v>
      </c>
      <c r="C323" s="1" t="str">
        <v>Wesley Ayala</v>
      </c>
      <c r="D323" s="1" t="s">
        <v>1321</v>
      </c>
      <c r="E323" s="1" t="str">
        <v>clarkcrystal@hancock.com</v>
      </c>
      <c r="F323" t="str">
        <f t="shared" ref="F323:F386" si="67">IF(ISNUMBER(SEARCH("@", E323)), "Valid", "Invalid")</f>
        <v>Valid</v>
      </c>
      <c r="G323" s="1" t="s">
        <v>119</v>
      </c>
      <c r="H323" s="1" t="str">
        <f t="shared" ref="H323:H386" si="68">IF(OR(LOWER(G323)="m", LOWER(G323)="male"), "Male", IF(OR(LOWER(G323)="f", LOWER(G323)="female"), "Female","Other"))</f>
        <v>Female</v>
      </c>
      <c r="I323" s="1" t="s">
        <v>51</v>
      </c>
      <c r="J323" t="str">
        <f t="shared" ref="J323:J386" si="69">UPPER(TRIM(I323))</f>
        <v>UK</v>
      </c>
      <c r="K323" s="14">
        <v>25</v>
      </c>
      <c r="L323" s="1">
        <f t="shared" ref="L323:L386" si="70">IF(OR(K323=0,K323&lt;10,K323&gt;100), $L$1202, K323)</f>
        <v>25</v>
      </c>
      <c r="M323" s="1" t="str">
        <f t="shared" ref="M323:M386" si="71">IF(K323&lt;22,"Student",
IF(K323&lt;=30,"Early Career",
IF(K323&lt;=40,"Mid Career",
IF(K323&lt;=50,"Senior","Expert"))))</f>
        <v>Early Career</v>
      </c>
      <c r="N323" s="9">
        <v>44957</v>
      </c>
      <c r="O323" s="1" t="s">
        <v>69</v>
      </c>
      <c r="P323" s="1" t="s">
        <v>31</v>
      </c>
      <c r="Q323" s="4">
        <v>0.61</v>
      </c>
      <c r="R323" s="13">
        <f t="shared" ref="R323:R386" si="72">IF(Q323&lt;=1, Q323*100, Q323)</f>
        <v>61</v>
      </c>
      <c r="S323" s="6">
        <f t="shared" si="66"/>
        <v>0.61</v>
      </c>
      <c r="T323" s="1">
        <v>2</v>
      </c>
      <c r="U323" s="1">
        <f t="shared" ref="U323:U386" si="73">IF(ISNUMBER(T323), T323,
IF(ISNUMBER(SEARCH("min", T323)), VALUE(LEFT(T323, FIND(" ", T323)-1))/60,
IF(ISNUMBER(SEARCH("hour", T323)), VALUE(LEFT(T323, FIND(" ", T323)-1)),
"")))</f>
        <v>2</v>
      </c>
      <c r="V323" s="1">
        <f t="shared" ref="V323:V386" si="74">MIN( (0.7*R323 + 0.3*(U323)), 100 )</f>
        <v>43.3</v>
      </c>
      <c r="W323" s="10" t="str">
        <f t="shared" ref="W323:W386" si="75">IF(V323&lt;41,"Low",IF(V323&lt;71,"Medium","High"))</f>
        <v>Medium</v>
      </c>
      <c r="X323" s="1" t="s">
        <v>32</v>
      </c>
      <c r="Y323" s="1" t="str">
        <f t="shared" ref="Y323:Y386" si="76">IF(OR(X323="Yes", X323="Y", X323=1), "Yes", "No")</f>
        <v>Yes</v>
      </c>
      <c r="Z323" s="14">
        <v>5</v>
      </c>
      <c r="AA323" s="18">
        <f t="shared" ref="AA323:AA386" si="77">IF(AND(Z323&gt;=1,Z323&lt;=6),Z323,"Invalid")</f>
        <v>5</v>
      </c>
      <c r="AB323" s="18" t="str">
        <f t="shared" ref="AB323:AB386" si="78">IF(AND(Y323="Yes",AA323&gt;=4),"High Performer","No")</f>
        <v>High Performer</v>
      </c>
      <c r="AC323" s="9" t="s">
        <v>1322</v>
      </c>
      <c r="AD323">
        <f>IF(AC323="",0,LEN(AC323)-LEN(SUBSTITUTE(AC323,",",""))+1)</f>
        <v>6</v>
      </c>
    </row>
    <row r="324" spans="1:30" ht="12.5" x14ac:dyDescent="0.25">
      <c r="A324" s="1" t="s">
        <v>1323</v>
      </c>
      <c r="B324" s="1" t="s">
        <v>1324</v>
      </c>
      <c r="C324" s="1" t="str">
        <v>Patricia Lucas</v>
      </c>
      <c r="D324" s="1" t="s">
        <v>1325</v>
      </c>
      <c r="E324" s="1" t="str">
        <v>andrewlove@miller.com</v>
      </c>
      <c r="F324" t="str">
        <f t="shared" si="67"/>
        <v>Valid</v>
      </c>
      <c r="G324" s="1" t="s">
        <v>57</v>
      </c>
      <c r="H324" s="1" t="str">
        <f t="shared" si="68"/>
        <v>Female</v>
      </c>
      <c r="I324" s="1" t="s">
        <v>74</v>
      </c>
      <c r="J324" t="str">
        <f t="shared" si="69"/>
        <v>USA</v>
      </c>
      <c r="K324" s="14">
        <v>0</v>
      </c>
      <c r="L324" s="1">
        <f t="shared" si="70"/>
        <v>19</v>
      </c>
      <c r="M324" s="1" t="str">
        <f t="shared" si="71"/>
        <v>Student</v>
      </c>
      <c r="N324" s="9">
        <v>44977</v>
      </c>
      <c r="O324" s="1" t="s">
        <v>235</v>
      </c>
      <c r="P324" s="1" t="s">
        <v>147</v>
      </c>
      <c r="Q324" s="4">
        <v>0.91</v>
      </c>
      <c r="R324" s="13">
        <f t="shared" si="72"/>
        <v>91</v>
      </c>
      <c r="S324" s="6">
        <f t="shared" si="66"/>
        <v>0.91</v>
      </c>
      <c r="T324" s="1" t="s">
        <v>21</v>
      </c>
      <c r="U324" s="1">
        <f t="shared" si="73"/>
        <v>1.5</v>
      </c>
      <c r="V324" s="1">
        <f t="shared" si="74"/>
        <v>64.149999999999991</v>
      </c>
      <c r="W324" s="10" t="str">
        <f t="shared" si="75"/>
        <v>Medium</v>
      </c>
      <c r="X324" s="1" t="s">
        <v>22</v>
      </c>
      <c r="Y324" s="1" t="str">
        <f t="shared" si="76"/>
        <v>No</v>
      </c>
      <c r="Z324" s="14">
        <v>6</v>
      </c>
      <c r="AA324" s="18">
        <f t="shared" si="77"/>
        <v>6</v>
      </c>
      <c r="AB324" s="18" t="str">
        <f t="shared" si="78"/>
        <v>No</v>
      </c>
      <c r="AC324" s="9" t="s">
        <v>1326</v>
      </c>
      <c r="AD324">
        <f>IF(AC324="",0,LEN(AC324)-LEN(SUBSTITUTE(AC324,",",""))+1)</f>
        <v>3</v>
      </c>
    </row>
    <row r="325" spans="1:30" ht="12.5" x14ac:dyDescent="0.25">
      <c r="A325" s="1" t="s">
        <v>1327</v>
      </c>
      <c r="B325" s="1" t="s">
        <v>1328</v>
      </c>
      <c r="C325" s="1" t="str">
        <v>David Hughes</v>
      </c>
      <c r="D325" s="1" t="s">
        <v>1329</v>
      </c>
      <c r="E325" s="1" t="str">
        <v>ystewart@hotmail.com</v>
      </c>
      <c r="F325" t="str">
        <f t="shared" si="67"/>
        <v>Valid</v>
      </c>
      <c r="G325" s="1" t="s">
        <v>95</v>
      </c>
      <c r="H325" s="1" t="str">
        <f t="shared" si="68"/>
        <v>Male</v>
      </c>
      <c r="I325" s="1" t="s">
        <v>51</v>
      </c>
      <c r="J325" t="str">
        <f t="shared" si="69"/>
        <v>UK</v>
      </c>
      <c r="K325" s="14">
        <v>19</v>
      </c>
      <c r="L325" s="1">
        <f t="shared" si="70"/>
        <v>19</v>
      </c>
      <c r="M325" s="1" t="str">
        <f t="shared" si="71"/>
        <v>Student</v>
      </c>
      <c r="N325" s="2">
        <v>44990</v>
      </c>
      <c r="O325" s="1" t="s">
        <v>90</v>
      </c>
      <c r="P325" s="1" t="s">
        <v>31</v>
      </c>
      <c r="Q325" s="4">
        <v>0.16</v>
      </c>
      <c r="R325" s="13">
        <f t="shared" si="72"/>
        <v>16</v>
      </c>
      <c r="S325" s="6">
        <f t="shared" si="66"/>
        <v>0.16</v>
      </c>
      <c r="T325" s="1">
        <v>1.5</v>
      </c>
      <c r="U325" s="1">
        <f t="shared" si="73"/>
        <v>1.5</v>
      </c>
      <c r="V325" s="1">
        <f t="shared" si="74"/>
        <v>11.649999999999999</v>
      </c>
      <c r="W325" s="10" t="str">
        <f t="shared" si="75"/>
        <v>Low</v>
      </c>
      <c r="X325" s="1" t="s">
        <v>22</v>
      </c>
      <c r="Y325" s="1" t="str">
        <f t="shared" si="76"/>
        <v>No</v>
      </c>
      <c r="Z325" s="14">
        <v>5</v>
      </c>
      <c r="AA325" s="18">
        <f t="shared" si="77"/>
        <v>5</v>
      </c>
      <c r="AB325" s="18" t="str">
        <f t="shared" si="78"/>
        <v>No</v>
      </c>
      <c r="AC325" s="9" t="s">
        <v>1330</v>
      </c>
      <c r="AD325">
        <f>IF(AC325="",0,LEN(AC325)-LEN(SUBSTITUTE(AC325,",",""))+1)</f>
        <v>7</v>
      </c>
    </row>
    <row r="326" spans="1:30" ht="12.5" x14ac:dyDescent="0.25">
      <c r="A326" s="1" t="s">
        <v>1331</v>
      </c>
      <c r="B326" s="1" t="s">
        <v>1332</v>
      </c>
      <c r="C326" s="1" t="str">
        <v>Nicole Richards</v>
      </c>
      <c r="D326" s="1" t="s">
        <v>1333</v>
      </c>
      <c r="E326" s="1" t="str">
        <v>sarah14@turner.info</v>
      </c>
      <c r="F326" t="str">
        <f t="shared" si="67"/>
        <v>Valid</v>
      </c>
      <c r="G326" s="1" t="s">
        <v>119</v>
      </c>
      <c r="H326" s="1" t="str">
        <f t="shared" si="68"/>
        <v>Female</v>
      </c>
      <c r="I326" s="1" t="s">
        <v>136</v>
      </c>
      <c r="J326" t="str">
        <f t="shared" si="69"/>
        <v>UK</v>
      </c>
      <c r="K326" s="14">
        <v>23</v>
      </c>
      <c r="L326" s="1">
        <f t="shared" si="70"/>
        <v>23</v>
      </c>
      <c r="M326" s="1" t="str">
        <f t="shared" si="71"/>
        <v>Early Career</v>
      </c>
      <c r="N326" s="2">
        <v>44752</v>
      </c>
      <c r="O326" s="1" t="s">
        <v>69</v>
      </c>
      <c r="P326" s="1" t="s">
        <v>31</v>
      </c>
      <c r="Q326" s="4">
        <v>36</v>
      </c>
      <c r="R326" s="13">
        <f t="shared" si="72"/>
        <v>36</v>
      </c>
      <c r="S326" s="6">
        <f t="shared" si="66"/>
        <v>0.36</v>
      </c>
      <c r="T326" s="1" t="s">
        <v>46</v>
      </c>
      <c r="U326" s="1">
        <f t="shared" si="73"/>
        <v>1</v>
      </c>
      <c r="V326" s="1">
        <f t="shared" si="74"/>
        <v>25.5</v>
      </c>
      <c r="W326" s="10" t="str">
        <f t="shared" si="75"/>
        <v>Low</v>
      </c>
      <c r="X326" s="1">
        <v>1</v>
      </c>
      <c r="Y326" s="1" t="str">
        <f t="shared" si="76"/>
        <v>Yes</v>
      </c>
      <c r="Z326" s="14">
        <v>1</v>
      </c>
      <c r="AA326" s="18">
        <f t="shared" si="77"/>
        <v>1</v>
      </c>
      <c r="AB326" s="18" t="str">
        <f t="shared" si="78"/>
        <v>No</v>
      </c>
      <c r="AC326" s="9">
        <v>44752</v>
      </c>
      <c r="AD326">
        <f>IF(AC326="",0,LEN(AC326)-LEN(SUBSTITUTE(AC326,",",""))+1)</f>
        <v>1</v>
      </c>
    </row>
    <row r="327" spans="1:30" ht="12.5" x14ac:dyDescent="0.25">
      <c r="A327" s="1" t="s">
        <v>1334</v>
      </c>
      <c r="B327" s="1" t="s">
        <v>1335</v>
      </c>
      <c r="C327" s="1" t="str">
        <v>Joseph Taylor</v>
      </c>
      <c r="D327" s="1" t="s">
        <v>1336</v>
      </c>
      <c r="E327" s="1" t="str">
        <v>susan24@hotmail.com</v>
      </c>
      <c r="F327" t="str">
        <f t="shared" si="67"/>
        <v>Valid</v>
      </c>
      <c r="G327" s="1" t="s">
        <v>119</v>
      </c>
      <c r="H327" s="1" t="str">
        <f t="shared" si="68"/>
        <v>Female</v>
      </c>
      <c r="I327" s="1" t="s">
        <v>74</v>
      </c>
      <c r="J327" t="str">
        <f t="shared" si="69"/>
        <v>USA</v>
      </c>
      <c r="L327" s="1">
        <f t="shared" si="70"/>
        <v>19</v>
      </c>
      <c r="M327" s="1" t="str">
        <f t="shared" si="71"/>
        <v>Student</v>
      </c>
      <c r="N327" s="9">
        <v>45250</v>
      </c>
      <c r="O327" s="1" t="s">
        <v>146</v>
      </c>
      <c r="P327" s="1" t="s">
        <v>147</v>
      </c>
      <c r="Q327" s="4">
        <v>0.33</v>
      </c>
      <c r="R327" s="13">
        <f t="shared" si="72"/>
        <v>33</v>
      </c>
      <c r="S327" s="6">
        <f t="shared" si="66"/>
        <v>0.33</v>
      </c>
      <c r="T327" s="1">
        <v>45</v>
      </c>
      <c r="U327" s="1">
        <f t="shared" si="73"/>
        <v>45</v>
      </c>
      <c r="V327" s="1">
        <f t="shared" si="74"/>
        <v>36.599999999999994</v>
      </c>
      <c r="W327" s="10" t="str">
        <f t="shared" si="75"/>
        <v>Low</v>
      </c>
      <c r="X327" s="1" t="s">
        <v>76</v>
      </c>
      <c r="Y327" s="1" t="str">
        <f t="shared" si="76"/>
        <v>Yes</v>
      </c>
      <c r="Z327" s="14">
        <v>2</v>
      </c>
      <c r="AA327" s="18">
        <f t="shared" si="77"/>
        <v>2</v>
      </c>
      <c r="AB327" s="18" t="str">
        <f t="shared" si="78"/>
        <v>No</v>
      </c>
      <c r="AC327" s="9" t="s">
        <v>1337</v>
      </c>
      <c r="AD327">
        <f>IF(AC327="",0,LEN(AC327)-LEN(SUBSTITUTE(AC327,",",""))+1)</f>
        <v>3</v>
      </c>
    </row>
    <row r="328" spans="1:30" ht="12.5" x14ac:dyDescent="0.25">
      <c r="A328" s="1" t="s">
        <v>1338</v>
      </c>
      <c r="B328" s="1" t="s">
        <v>1339</v>
      </c>
      <c r="C328" s="1" t="str">
        <v>Kristen Martinez</v>
      </c>
      <c r="D328" s="1" t="s">
        <v>1340</v>
      </c>
      <c r="E328" s="1" t="str">
        <v>fmedina@clark-figueroa.com</v>
      </c>
      <c r="F328" t="str">
        <f t="shared" si="67"/>
        <v>Valid</v>
      </c>
      <c r="G328" s="1" t="s">
        <v>17</v>
      </c>
      <c r="H328" s="1" t="str">
        <f t="shared" si="68"/>
        <v>Female</v>
      </c>
      <c r="I328" s="1" t="s">
        <v>74</v>
      </c>
      <c r="J328" t="str">
        <f t="shared" si="69"/>
        <v>USA</v>
      </c>
      <c r="K328" s="14">
        <v>0</v>
      </c>
      <c r="L328" s="1">
        <f t="shared" si="70"/>
        <v>19</v>
      </c>
      <c r="M328" s="1" t="str">
        <f t="shared" si="71"/>
        <v>Student</v>
      </c>
      <c r="N328" s="2">
        <v>45839</v>
      </c>
      <c r="O328" s="1" t="s">
        <v>19</v>
      </c>
      <c r="P328" s="1" t="s">
        <v>20</v>
      </c>
      <c r="Q328" s="4">
        <v>0.22</v>
      </c>
      <c r="R328" s="13">
        <f t="shared" si="72"/>
        <v>22</v>
      </c>
      <c r="S328" s="6">
        <f t="shared" si="66"/>
        <v>0.22</v>
      </c>
      <c r="T328" s="1" t="s">
        <v>21</v>
      </c>
      <c r="U328" s="1">
        <f t="shared" si="73"/>
        <v>1.5</v>
      </c>
      <c r="V328" s="1">
        <f t="shared" si="74"/>
        <v>15.849999999999998</v>
      </c>
      <c r="W328" s="10" t="str">
        <f t="shared" si="75"/>
        <v>Low</v>
      </c>
      <c r="X328" s="1">
        <v>1</v>
      </c>
      <c r="Y328" s="1" t="str">
        <f t="shared" si="76"/>
        <v>Yes</v>
      </c>
      <c r="Z328" s="14">
        <v>4</v>
      </c>
      <c r="AA328" s="18">
        <f t="shared" si="77"/>
        <v>4</v>
      </c>
      <c r="AB328" s="18" t="str">
        <f t="shared" si="78"/>
        <v>High Performer</v>
      </c>
      <c r="AC328" s="9" t="s">
        <v>1341</v>
      </c>
      <c r="AD328">
        <f>IF(AC328="",0,LEN(AC328)-LEN(SUBSTITUTE(AC328,",",""))+1)</f>
        <v>7</v>
      </c>
    </row>
    <row r="329" spans="1:30" ht="12.5" x14ac:dyDescent="0.25">
      <c r="A329" s="1" t="s">
        <v>1342</v>
      </c>
      <c r="B329" s="1" t="s">
        <v>1343</v>
      </c>
      <c r="C329" s="1" t="str">
        <v>Candace Walker</v>
      </c>
      <c r="D329" s="1" t="s">
        <v>1344</v>
      </c>
      <c r="E329" s="1" t="str">
        <v>dannylambert@hotmail.com</v>
      </c>
      <c r="F329" t="str">
        <f t="shared" si="67"/>
        <v>Valid</v>
      </c>
      <c r="G329" s="1" t="s">
        <v>119</v>
      </c>
      <c r="H329" s="1" t="str">
        <f t="shared" si="68"/>
        <v>Female</v>
      </c>
      <c r="I329" s="1" t="s">
        <v>18</v>
      </c>
      <c r="J329" t="str">
        <f t="shared" si="69"/>
        <v>US</v>
      </c>
      <c r="K329" s="14">
        <v>0</v>
      </c>
      <c r="L329" s="1">
        <f t="shared" si="70"/>
        <v>19</v>
      </c>
      <c r="M329" s="1" t="str">
        <f t="shared" si="71"/>
        <v>Student</v>
      </c>
      <c r="N329" s="2">
        <v>44929</v>
      </c>
      <c r="O329" s="1" t="s">
        <v>90</v>
      </c>
      <c r="P329" s="1" t="s">
        <v>31</v>
      </c>
      <c r="Q329" s="4">
        <v>0.05</v>
      </c>
      <c r="R329" s="13">
        <f t="shared" si="72"/>
        <v>5</v>
      </c>
      <c r="S329" s="6">
        <f t="shared" si="66"/>
        <v>0.05</v>
      </c>
      <c r="T329" s="1">
        <v>45</v>
      </c>
      <c r="U329" s="1">
        <f t="shared" si="73"/>
        <v>45</v>
      </c>
      <c r="V329" s="1">
        <f t="shared" si="74"/>
        <v>17</v>
      </c>
      <c r="W329" s="10" t="str">
        <f t="shared" si="75"/>
        <v>Low</v>
      </c>
      <c r="X329" s="1">
        <v>0</v>
      </c>
      <c r="Y329" s="1" t="str">
        <f t="shared" si="76"/>
        <v>No</v>
      </c>
      <c r="AA329" s="18" t="str">
        <f t="shared" si="77"/>
        <v>Invalid</v>
      </c>
      <c r="AB329" s="18" t="str">
        <f t="shared" si="78"/>
        <v>No</v>
      </c>
      <c r="AC329" s="9" t="s">
        <v>1345</v>
      </c>
      <c r="AD329">
        <f>IF(AC329="",0,LEN(AC329)-LEN(SUBSTITUTE(AC329,",",""))+1)</f>
        <v>7</v>
      </c>
    </row>
    <row r="330" spans="1:30" ht="12.5" x14ac:dyDescent="0.25">
      <c r="A330" s="1" t="s">
        <v>1346</v>
      </c>
      <c r="B330" s="1" t="s">
        <v>1347</v>
      </c>
      <c r="C330" s="1" t="str">
        <v>Julia Dunn Md</v>
      </c>
      <c r="D330" s="1" t="s">
        <v>1348</v>
      </c>
      <c r="E330" s="1" t="str">
        <v>corey97@howard-lambert.com</v>
      </c>
      <c r="F330" t="str">
        <f t="shared" si="67"/>
        <v>Valid</v>
      </c>
      <c r="G330" s="1" t="s">
        <v>88</v>
      </c>
      <c r="H330" s="1" t="str">
        <f t="shared" si="68"/>
        <v>Male</v>
      </c>
      <c r="I330" s="1" t="s">
        <v>44</v>
      </c>
      <c r="J330" t="str">
        <f t="shared" si="69"/>
        <v>CANADA</v>
      </c>
      <c r="K330" s="14">
        <v>24</v>
      </c>
      <c r="L330" s="1">
        <f t="shared" si="70"/>
        <v>24</v>
      </c>
      <c r="M330" s="1" t="str">
        <f t="shared" si="71"/>
        <v>Early Career</v>
      </c>
      <c r="N330" s="9">
        <v>44742</v>
      </c>
      <c r="O330" s="1" t="s">
        <v>90</v>
      </c>
      <c r="P330" s="1" t="s">
        <v>31</v>
      </c>
      <c r="Q330" s="4">
        <v>0.98</v>
      </c>
      <c r="R330" s="13">
        <f t="shared" si="72"/>
        <v>98</v>
      </c>
      <c r="S330" s="6">
        <f t="shared" si="66"/>
        <v>0.98</v>
      </c>
      <c r="T330" s="1" t="s">
        <v>21</v>
      </c>
      <c r="U330" s="1">
        <f t="shared" si="73"/>
        <v>1.5</v>
      </c>
      <c r="V330" s="1">
        <f t="shared" si="74"/>
        <v>69.05</v>
      </c>
      <c r="W330" s="10" t="str">
        <f t="shared" si="75"/>
        <v>Medium</v>
      </c>
      <c r="X330" s="1" t="s">
        <v>76</v>
      </c>
      <c r="Y330" s="1" t="str">
        <f t="shared" si="76"/>
        <v>Yes</v>
      </c>
      <c r="Z330" s="14">
        <v>2</v>
      </c>
      <c r="AA330" s="18">
        <f t="shared" si="77"/>
        <v>2</v>
      </c>
      <c r="AB330" s="18" t="str">
        <f t="shared" si="78"/>
        <v>No</v>
      </c>
      <c r="AC330" s="9" t="s">
        <v>1349</v>
      </c>
      <c r="AD330">
        <f>IF(AC330="",0,LEN(AC330)-LEN(SUBSTITUTE(AC330,",",""))+1)</f>
        <v>7</v>
      </c>
    </row>
    <row r="331" spans="1:30" ht="12.5" x14ac:dyDescent="0.25">
      <c r="A331" s="1" t="s">
        <v>1350</v>
      </c>
      <c r="B331" s="1" t="s">
        <v>1351</v>
      </c>
      <c r="C331" s="1" t="str">
        <v>John Murphy</v>
      </c>
      <c r="D331" s="1" t="s">
        <v>1352</v>
      </c>
      <c r="E331" s="1" t="str">
        <v>arianadiaz@yahoo.com</v>
      </c>
      <c r="F331" t="str">
        <f t="shared" si="67"/>
        <v>Valid</v>
      </c>
      <c r="G331" s="1" t="s">
        <v>57</v>
      </c>
      <c r="H331" s="1" t="str">
        <f t="shared" si="68"/>
        <v>Female</v>
      </c>
      <c r="I331" s="1" t="s">
        <v>74</v>
      </c>
      <c r="J331" t="str">
        <f t="shared" si="69"/>
        <v>USA</v>
      </c>
      <c r="L331" s="1">
        <f t="shared" si="70"/>
        <v>19</v>
      </c>
      <c r="M331" s="1" t="str">
        <f t="shared" si="71"/>
        <v>Student</v>
      </c>
      <c r="N331" s="2">
        <v>44813</v>
      </c>
      <c r="O331" s="1" t="s">
        <v>30</v>
      </c>
      <c r="P331" s="1" t="s">
        <v>31</v>
      </c>
      <c r="Q331" s="4">
        <v>0.83</v>
      </c>
      <c r="R331" s="13">
        <f t="shared" si="72"/>
        <v>83</v>
      </c>
      <c r="S331" s="6">
        <f t="shared" si="66"/>
        <v>0.83</v>
      </c>
      <c r="T331" s="1">
        <v>45</v>
      </c>
      <c r="U331" s="1">
        <f t="shared" si="73"/>
        <v>45</v>
      </c>
      <c r="V331" s="1">
        <f t="shared" si="74"/>
        <v>71.599999999999994</v>
      </c>
      <c r="W331" s="10" t="str">
        <f t="shared" si="75"/>
        <v>High</v>
      </c>
      <c r="X331" s="1" t="s">
        <v>32</v>
      </c>
      <c r="Y331" s="1" t="str">
        <f t="shared" si="76"/>
        <v>Yes</v>
      </c>
      <c r="Z331" s="14">
        <v>2</v>
      </c>
      <c r="AA331" s="18">
        <f t="shared" si="77"/>
        <v>2</v>
      </c>
      <c r="AB331" s="18" t="str">
        <f t="shared" si="78"/>
        <v>No</v>
      </c>
      <c r="AC331" s="9" t="s">
        <v>1353</v>
      </c>
      <c r="AD331">
        <f>IF(AC331="",0,LEN(AC331)-LEN(SUBSTITUTE(AC331,",",""))+1)</f>
        <v>2</v>
      </c>
    </row>
    <row r="332" spans="1:30" ht="12.5" x14ac:dyDescent="0.25">
      <c r="A332" s="1" t="s">
        <v>1354</v>
      </c>
      <c r="B332" s="1" t="s">
        <v>1355</v>
      </c>
      <c r="C332" s="1" t="str">
        <v>Michelle Davidson</v>
      </c>
      <c r="D332" s="1" t="s">
        <v>1356</v>
      </c>
      <c r="E332" s="1" t="str">
        <v>dennis57@yahoo.com</v>
      </c>
      <c r="F332" t="str">
        <f t="shared" si="67"/>
        <v>Valid</v>
      </c>
      <c r="G332" s="1" t="s">
        <v>119</v>
      </c>
      <c r="H332" s="1" t="str">
        <f t="shared" si="68"/>
        <v>Female</v>
      </c>
      <c r="I332" s="1" t="s">
        <v>51</v>
      </c>
      <c r="J332" t="str">
        <f t="shared" si="69"/>
        <v>UK</v>
      </c>
      <c r="K332" s="14">
        <v>0</v>
      </c>
      <c r="L332" s="1">
        <f t="shared" si="70"/>
        <v>19</v>
      </c>
      <c r="M332" s="1" t="str">
        <f t="shared" si="71"/>
        <v>Student</v>
      </c>
      <c r="N332" s="2">
        <v>45293</v>
      </c>
      <c r="O332" s="1" t="s">
        <v>75</v>
      </c>
      <c r="P332" s="1" t="s">
        <v>37</v>
      </c>
      <c r="Q332" s="4">
        <v>0.35</v>
      </c>
      <c r="R332" s="13">
        <f t="shared" si="72"/>
        <v>35</v>
      </c>
      <c r="S332" s="6">
        <f t="shared" si="66"/>
        <v>0.35</v>
      </c>
      <c r="T332" s="1">
        <v>45</v>
      </c>
      <c r="U332" s="1">
        <f t="shared" si="73"/>
        <v>45</v>
      </c>
      <c r="V332" s="1">
        <f t="shared" si="74"/>
        <v>38</v>
      </c>
      <c r="W332" s="10" t="str">
        <f t="shared" si="75"/>
        <v>Low</v>
      </c>
      <c r="X332" s="1" t="s">
        <v>32</v>
      </c>
      <c r="Y332" s="1" t="str">
        <f t="shared" si="76"/>
        <v>Yes</v>
      </c>
      <c r="AA332" s="18" t="str">
        <f t="shared" si="77"/>
        <v>Invalid</v>
      </c>
      <c r="AB332" s="18" t="str">
        <f t="shared" si="78"/>
        <v>High Performer</v>
      </c>
      <c r="AC332" s="9" t="s">
        <v>1357</v>
      </c>
      <c r="AD332">
        <f>IF(AC332="",0,LEN(AC332)-LEN(SUBSTITUTE(AC332,",",""))+1)</f>
        <v>7</v>
      </c>
    </row>
    <row r="333" spans="1:30" ht="12.5" x14ac:dyDescent="0.25">
      <c r="A333" s="1" t="s">
        <v>1358</v>
      </c>
      <c r="B333" s="1" t="s">
        <v>1359</v>
      </c>
      <c r="C333" s="1" t="str">
        <v>Casey Obrien</v>
      </c>
      <c r="D333" s="1" t="s">
        <v>1360</v>
      </c>
      <c r="E333" s="1" t="str">
        <v>patriciagonzalez@hotmail.com</v>
      </c>
      <c r="F333" t="str">
        <f t="shared" si="67"/>
        <v>Valid</v>
      </c>
      <c r="G333" s="1" t="s">
        <v>43</v>
      </c>
      <c r="H333" s="1" t="str">
        <f t="shared" si="68"/>
        <v>Female</v>
      </c>
      <c r="I333" s="1" t="s">
        <v>136</v>
      </c>
      <c r="J333" t="str">
        <f t="shared" si="69"/>
        <v>UK</v>
      </c>
      <c r="K333" s="14">
        <v>0</v>
      </c>
      <c r="L333" s="1">
        <f t="shared" si="70"/>
        <v>19</v>
      </c>
      <c r="M333" s="1" t="str">
        <f t="shared" si="71"/>
        <v>Student</v>
      </c>
      <c r="N333" s="9">
        <v>45349</v>
      </c>
      <c r="O333" s="1" t="s">
        <v>75</v>
      </c>
      <c r="P333" s="1" t="s">
        <v>37</v>
      </c>
      <c r="Q333" s="4">
        <v>0.17</v>
      </c>
      <c r="R333" s="13">
        <f t="shared" si="72"/>
        <v>17</v>
      </c>
      <c r="S333" s="6">
        <f t="shared" si="66"/>
        <v>0.17</v>
      </c>
      <c r="T333" s="1" t="s">
        <v>46</v>
      </c>
      <c r="U333" s="1">
        <f t="shared" si="73"/>
        <v>1</v>
      </c>
      <c r="V333" s="1">
        <f t="shared" si="74"/>
        <v>12.2</v>
      </c>
      <c r="W333" s="10" t="str">
        <f t="shared" si="75"/>
        <v>Low</v>
      </c>
      <c r="X333" s="1" t="s">
        <v>76</v>
      </c>
      <c r="Y333" s="1" t="str">
        <f t="shared" si="76"/>
        <v>Yes</v>
      </c>
      <c r="Z333" s="14">
        <v>6</v>
      </c>
      <c r="AA333" s="18">
        <f t="shared" si="77"/>
        <v>6</v>
      </c>
      <c r="AB333" s="18" t="str">
        <f t="shared" si="78"/>
        <v>High Performer</v>
      </c>
      <c r="AC333" s="9" t="s">
        <v>1361</v>
      </c>
      <c r="AD333">
        <f>IF(AC333="",0,LEN(AC333)-LEN(SUBSTITUTE(AC333,",",""))+1)</f>
        <v>6</v>
      </c>
    </row>
    <row r="334" spans="1:30" ht="12.5" x14ac:dyDescent="0.25">
      <c r="A334" s="1" t="s">
        <v>1362</v>
      </c>
      <c r="B334" s="1" t="s">
        <v>1363</v>
      </c>
      <c r="C334" s="1" t="str">
        <v>Jonathon Johnson</v>
      </c>
      <c r="D334" s="1" t="s">
        <v>1364</v>
      </c>
      <c r="E334" s="1" t="str">
        <v>rebeccaarnold@hotmail.com</v>
      </c>
      <c r="F334" t="str">
        <f t="shared" si="67"/>
        <v>Valid</v>
      </c>
      <c r="G334" s="1" t="s">
        <v>88</v>
      </c>
      <c r="H334" s="1" t="str">
        <f t="shared" si="68"/>
        <v>Male</v>
      </c>
      <c r="I334" s="1" t="s">
        <v>28</v>
      </c>
      <c r="J334" t="str">
        <f t="shared" si="69"/>
        <v>INDIA</v>
      </c>
      <c r="K334" s="14">
        <v>43</v>
      </c>
      <c r="L334" s="1">
        <f t="shared" si="70"/>
        <v>43</v>
      </c>
      <c r="M334" s="1" t="str">
        <f t="shared" si="71"/>
        <v>Senior</v>
      </c>
      <c r="N334" s="2">
        <v>45424</v>
      </c>
      <c r="O334" s="1" t="s">
        <v>146</v>
      </c>
      <c r="P334" s="1" t="s">
        <v>147</v>
      </c>
      <c r="Q334" s="4">
        <v>78</v>
      </c>
      <c r="R334" s="13">
        <f t="shared" si="72"/>
        <v>78</v>
      </c>
      <c r="S334" s="6">
        <f t="shared" si="66"/>
        <v>0.78</v>
      </c>
      <c r="T334" s="1">
        <v>2</v>
      </c>
      <c r="U334" s="1">
        <f t="shared" si="73"/>
        <v>2</v>
      </c>
      <c r="V334" s="1">
        <f t="shared" si="74"/>
        <v>55.199999999999996</v>
      </c>
      <c r="W334" s="10" t="str">
        <f t="shared" si="75"/>
        <v>Medium</v>
      </c>
      <c r="X334" s="1" t="s">
        <v>38</v>
      </c>
      <c r="Y334" s="1" t="str">
        <f t="shared" si="76"/>
        <v>No</v>
      </c>
      <c r="AA334" s="18" t="str">
        <f t="shared" si="77"/>
        <v>Invalid</v>
      </c>
      <c r="AB334" s="18" t="str">
        <f t="shared" si="78"/>
        <v>No</v>
      </c>
      <c r="AC334" s="9" t="s">
        <v>1365</v>
      </c>
      <c r="AD334">
        <f>IF(AC334="",0,LEN(AC334)-LEN(SUBSTITUTE(AC334,",",""))+1)</f>
        <v>7</v>
      </c>
    </row>
    <row r="335" spans="1:30" ht="12.5" x14ac:dyDescent="0.25">
      <c r="A335" s="1" t="s">
        <v>1366</v>
      </c>
      <c r="B335" s="1" t="s">
        <v>1367</v>
      </c>
      <c r="C335" s="1" t="str">
        <v>Daniel Barton</v>
      </c>
      <c r="D335" s="1" t="s">
        <v>1368</v>
      </c>
      <c r="E335" s="1" t="str">
        <v>stevendixon@yahoo.com</v>
      </c>
      <c r="F335" t="str">
        <f t="shared" si="67"/>
        <v>Valid</v>
      </c>
      <c r="G335" s="1" t="s">
        <v>88</v>
      </c>
      <c r="H335" s="1" t="str">
        <f t="shared" si="68"/>
        <v>Male</v>
      </c>
      <c r="I335" s="1" t="s">
        <v>96</v>
      </c>
      <c r="J335" t="str">
        <f t="shared" si="69"/>
        <v>INDIA</v>
      </c>
      <c r="K335" s="14">
        <v>0</v>
      </c>
      <c r="L335" s="1">
        <f t="shared" si="70"/>
        <v>19</v>
      </c>
      <c r="M335" s="1" t="str">
        <f t="shared" si="71"/>
        <v>Student</v>
      </c>
      <c r="N335" s="9">
        <v>45496</v>
      </c>
      <c r="O335" s="1" t="s">
        <v>69</v>
      </c>
      <c r="P335" s="1" t="s">
        <v>31</v>
      </c>
      <c r="Q335" s="4">
        <v>0.47</v>
      </c>
      <c r="R335" s="13">
        <f t="shared" si="72"/>
        <v>47</v>
      </c>
      <c r="S335" s="6">
        <f t="shared" si="66"/>
        <v>0.47</v>
      </c>
      <c r="T335" s="1">
        <v>1.5</v>
      </c>
      <c r="U335" s="1">
        <f t="shared" si="73"/>
        <v>1.5</v>
      </c>
      <c r="V335" s="1">
        <f t="shared" si="74"/>
        <v>33.35</v>
      </c>
      <c r="W335" s="10" t="str">
        <f t="shared" si="75"/>
        <v>Low</v>
      </c>
      <c r="X335" s="1" t="s">
        <v>76</v>
      </c>
      <c r="Y335" s="1" t="str">
        <f t="shared" si="76"/>
        <v>Yes</v>
      </c>
      <c r="Z335" s="14">
        <v>1</v>
      </c>
      <c r="AA335" s="18">
        <f t="shared" si="77"/>
        <v>1</v>
      </c>
      <c r="AB335" s="18" t="str">
        <f t="shared" si="78"/>
        <v>No</v>
      </c>
      <c r="AC335" s="9" t="s">
        <v>1369</v>
      </c>
      <c r="AD335">
        <f>IF(AC335="",0,LEN(AC335)-LEN(SUBSTITUTE(AC335,",",""))+1)</f>
        <v>2</v>
      </c>
    </row>
    <row r="336" spans="1:30" ht="12.5" x14ac:dyDescent="0.25">
      <c r="A336" s="1" t="s">
        <v>1370</v>
      </c>
      <c r="B336" s="1" t="s">
        <v>1371</v>
      </c>
      <c r="C336" s="1" t="str">
        <v>Renee Mendez</v>
      </c>
      <c r="D336" s="1" t="s">
        <v>1372</v>
      </c>
      <c r="E336" s="1" t="str">
        <v>seanwhite@hopkins.info</v>
      </c>
      <c r="F336" t="str">
        <f t="shared" si="67"/>
        <v>Valid</v>
      </c>
      <c r="G336" s="1" t="s">
        <v>43</v>
      </c>
      <c r="H336" s="1" t="str">
        <f t="shared" si="68"/>
        <v>Female</v>
      </c>
      <c r="I336" s="1" t="s">
        <v>51</v>
      </c>
      <c r="J336" t="str">
        <f t="shared" si="69"/>
        <v>UK</v>
      </c>
      <c r="K336" s="14">
        <v>39</v>
      </c>
      <c r="L336" s="1">
        <f t="shared" si="70"/>
        <v>39</v>
      </c>
      <c r="M336" s="1" t="str">
        <f t="shared" si="71"/>
        <v>Mid Career</v>
      </c>
      <c r="N336" s="9">
        <v>45223</v>
      </c>
      <c r="O336" s="1" t="s">
        <v>146</v>
      </c>
      <c r="P336" s="1" t="s">
        <v>147</v>
      </c>
      <c r="Q336" s="4">
        <v>0.84</v>
      </c>
      <c r="R336" s="13">
        <f t="shared" si="72"/>
        <v>84</v>
      </c>
      <c r="S336" s="6">
        <f t="shared" si="66"/>
        <v>0.84</v>
      </c>
      <c r="T336" s="1" t="s">
        <v>64</v>
      </c>
      <c r="U336" s="1">
        <f t="shared" si="73"/>
        <v>2</v>
      </c>
      <c r="V336" s="1">
        <f t="shared" si="74"/>
        <v>59.4</v>
      </c>
      <c r="W336" s="10" t="str">
        <f t="shared" si="75"/>
        <v>Medium</v>
      </c>
      <c r="X336" s="1">
        <v>0</v>
      </c>
      <c r="Y336" s="1" t="str">
        <f t="shared" si="76"/>
        <v>No</v>
      </c>
      <c r="Z336" s="14">
        <v>6</v>
      </c>
      <c r="AA336" s="18">
        <f t="shared" si="77"/>
        <v>6</v>
      </c>
      <c r="AB336" s="18" t="str">
        <f t="shared" si="78"/>
        <v>No</v>
      </c>
      <c r="AC336" s="9" t="s">
        <v>1373</v>
      </c>
      <c r="AD336">
        <f>IF(AC336="",0,LEN(AC336)-LEN(SUBSTITUTE(AC336,",",""))+1)</f>
        <v>8</v>
      </c>
    </row>
    <row r="337" spans="1:30" ht="12.5" x14ac:dyDescent="0.25">
      <c r="A337" s="1" t="s">
        <v>1374</v>
      </c>
      <c r="B337" s="1" t="s">
        <v>1375</v>
      </c>
      <c r="C337" s="1" t="str">
        <v>Dennis Young</v>
      </c>
      <c r="D337" s="1" t="s">
        <v>1376</v>
      </c>
      <c r="E337" s="1" t="str">
        <v>paul70@hooper.com</v>
      </c>
      <c r="F337" t="str">
        <f t="shared" si="67"/>
        <v>Valid</v>
      </c>
      <c r="G337" s="1" t="s">
        <v>95</v>
      </c>
      <c r="H337" s="1" t="str">
        <f t="shared" si="68"/>
        <v>Male</v>
      </c>
      <c r="I337" s="1" t="s">
        <v>74</v>
      </c>
      <c r="J337" t="str">
        <f t="shared" si="69"/>
        <v>USA</v>
      </c>
      <c r="K337" s="14">
        <v>0</v>
      </c>
      <c r="L337" s="1">
        <f t="shared" si="70"/>
        <v>19</v>
      </c>
      <c r="M337" s="1" t="str">
        <f t="shared" si="71"/>
        <v>Student</v>
      </c>
      <c r="N337" s="9">
        <v>45215</v>
      </c>
      <c r="O337" s="1" t="s">
        <v>19</v>
      </c>
      <c r="P337" s="1" t="s">
        <v>20</v>
      </c>
      <c r="Q337" s="4">
        <v>45</v>
      </c>
      <c r="R337" s="13">
        <f t="shared" si="72"/>
        <v>45</v>
      </c>
      <c r="S337" s="6">
        <f t="shared" si="66"/>
        <v>0.45</v>
      </c>
      <c r="T337" s="1">
        <v>2</v>
      </c>
      <c r="U337" s="1">
        <f t="shared" si="73"/>
        <v>2</v>
      </c>
      <c r="V337" s="1">
        <f t="shared" si="74"/>
        <v>32.099999999999994</v>
      </c>
      <c r="W337" s="10" t="str">
        <f t="shared" si="75"/>
        <v>Low</v>
      </c>
      <c r="X337" s="1">
        <v>1</v>
      </c>
      <c r="Y337" s="1" t="str">
        <f t="shared" si="76"/>
        <v>Yes</v>
      </c>
      <c r="AA337" s="18" t="str">
        <f t="shared" si="77"/>
        <v>Invalid</v>
      </c>
      <c r="AB337" s="18" t="str">
        <f t="shared" si="78"/>
        <v>High Performer</v>
      </c>
      <c r="AC337" s="9" t="s">
        <v>1377</v>
      </c>
      <c r="AD337">
        <f>IF(AC337="",0,LEN(AC337)-LEN(SUBSTITUTE(AC337,",",""))+1)</f>
        <v>2</v>
      </c>
    </row>
    <row r="338" spans="1:30" ht="12.5" x14ac:dyDescent="0.25">
      <c r="A338" s="1" t="s">
        <v>1378</v>
      </c>
      <c r="B338" s="1" t="s">
        <v>1379</v>
      </c>
      <c r="C338" s="1" t="str">
        <v>Patrick Lane</v>
      </c>
      <c r="D338" s="1" t="s">
        <v>1380</v>
      </c>
      <c r="E338" s="1" t="str">
        <v>xvaldez@valdez.biz</v>
      </c>
      <c r="F338" t="str">
        <f t="shared" si="67"/>
        <v>Valid</v>
      </c>
      <c r="G338" s="1" t="s">
        <v>27</v>
      </c>
      <c r="H338" s="1" t="str">
        <f t="shared" si="68"/>
        <v>Male</v>
      </c>
      <c r="I338" s="1" t="s">
        <v>51</v>
      </c>
      <c r="J338" t="str">
        <f t="shared" si="69"/>
        <v>UK</v>
      </c>
      <c r="K338" s="14">
        <v>0</v>
      </c>
      <c r="L338" s="1">
        <f t="shared" si="70"/>
        <v>19</v>
      </c>
      <c r="M338" s="1" t="str">
        <f t="shared" si="71"/>
        <v>Student</v>
      </c>
      <c r="N338" s="2">
        <v>45751</v>
      </c>
      <c r="O338" s="1" t="s">
        <v>69</v>
      </c>
      <c r="P338" s="1" t="s">
        <v>31</v>
      </c>
      <c r="Q338" s="4">
        <v>0.24</v>
      </c>
      <c r="R338" s="13">
        <f t="shared" si="72"/>
        <v>24</v>
      </c>
      <c r="S338" s="6">
        <f t="shared" si="66"/>
        <v>0.24</v>
      </c>
      <c r="T338" s="1">
        <v>2</v>
      </c>
      <c r="U338" s="1">
        <f t="shared" si="73"/>
        <v>2</v>
      </c>
      <c r="V338" s="1">
        <f t="shared" si="74"/>
        <v>17.399999999999999</v>
      </c>
      <c r="W338" s="10" t="str">
        <f t="shared" si="75"/>
        <v>Low</v>
      </c>
      <c r="X338" s="1" t="s">
        <v>76</v>
      </c>
      <c r="Y338" s="1" t="str">
        <f t="shared" si="76"/>
        <v>Yes</v>
      </c>
      <c r="Z338" s="14">
        <v>4</v>
      </c>
      <c r="AA338" s="18">
        <f t="shared" si="77"/>
        <v>4</v>
      </c>
      <c r="AB338" s="18" t="str">
        <f t="shared" si="78"/>
        <v>High Performer</v>
      </c>
      <c r="AC338" s="9" t="s">
        <v>1381</v>
      </c>
      <c r="AD338">
        <f>IF(AC338="",0,LEN(AC338)-LEN(SUBSTITUTE(AC338,",",""))+1)</f>
        <v>6</v>
      </c>
    </row>
    <row r="339" spans="1:30" ht="12.5" x14ac:dyDescent="0.25">
      <c r="A339" s="1" t="s">
        <v>1382</v>
      </c>
      <c r="B339" s="1" t="s">
        <v>1383</v>
      </c>
      <c r="C339" s="1" t="str">
        <v>Katelyn Olson</v>
      </c>
      <c r="D339" s="1" t="s">
        <v>1384</v>
      </c>
      <c r="E339" s="1" t="str">
        <v>scotthall@schneider.com</v>
      </c>
      <c r="F339" t="str">
        <f t="shared" si="67"/>
        <v>Valid</v>
      </c>
      <c r="G339" s="1" t="s">
        <v>119</v>
      </c>
      <c r="H339" s="1" t="str">
        <f t="shared" si="68"/>
        <v>Female</v>
      </c>
      <c r="I339" s="1" t="s">
        <v>18</v>
      </c>
      <c r="J339" t="str">
        <f t="shared" si="69"/>
        <v>US</v>
      </c>
      <c r="L339" s="1">
        <f t="shared" si="70"/>
        <v>19</v>
      </c>
      <c r="M339" s="1" t="str">
        <f t="shared" si="71"/>
        <v>Student</v>
      </c>
      <c r="N339" s="9">
        <v>45004</v>
      </c>
      <c r="O339" s="1" t="s">
        <v>69</v>
      </c>
      <c r="P339" s="1" t="s">
        <v>31</v>
      </c>
      <c r="Q339" s="4">
        <v>32</v>
      </c>
      <c r="R339" s="13">
        <f t="shared" si="72"/>
        <v>32</v>
      </c>
      <c r="S339" s="6">
        <f t="shared" si="66"/>
        <v>0.32</v>
      </c>
      <c r="T339" s="1">
        <v>1.5</v>
      </c>
      <c r="U339" s="1">
        <f t="shared" si="73"/>
        <v>1.5</v>
      </c>
      <c r="V339" s="1">
        <f t="shared" si="74"/>
        <v>22.849999999999998</v>
      </c>
      <c r="W339" s="10" t="str">
        <f t="shared" si="75"/>
        <v>Low</v>
      </c>
      <c r="X339" s="1" t="s">
        <v>32</v>
      </c>
      <c r="Y339" s="1" t="str">
        <f t="shared" si="76"/>
        <v>Yes</v>
      </c>
      <c r="Z339" s="14">
        <v>5</v>
      </c>
      <c r="AA339" s="18">
        <f t="shared" si="77"/>
        <v>5</v>
      </c>
      <c r="AB339" s="18" t="str">
        <f t="shared" si="78"/>
        <v>High Performer</v>
      </c>
      <c r="AC339" s="9" t="s">
        <v>1385</v>
      </c>
      <c r="AD339">
        <f>IF(AC339="",0,LEN(AC339)-LEN(SUBSTITUTE(AC339,",",""))+1)</f>
        <v>6</v>
      </c>
    </row>
    <row r="340" spans="1:30" ht="12.5" x14ac:dyDescent="0.25">
      <c r="A340" s="1" t="s">
        <v>1386</v>
      </c>
      <c r="B340" s="1" t="s">
        <v>1387</v>
      </c>
      <c r="C340" s="1" t="str">
        <v>Robert Cortez</v>
      </c>
      <c r="D340" s="1" t="s">
        <v>1388</v>
      </c>
      <c r="E340" s="1" t="str">
        <v>lmendoza@gmail.com</v>
      </c>
      <c r="F340" t="str">
        <f t="shared" si="67"/>
        <v>Valid</v>
      </c>
      <c r="G340" s="1" t="s">
        <v>43</v>
      </c>
      <c r="H340" s="1" t="str">
        <f t="shared" si="68"/>
        <v>Female</v>
      </c>
      <c r="I340" s="1" t="s">
        <v>89</v>
      </c>
      <c r="J340" t="str">
        <f t="shared" si="69"/>
        <v>GERMANY</v>
      </c>
      <c r="L340" s="1">
        <f t="shared" si="70"/>
        <v>19</v>
      </c>
      <c r="M340" s="1" t="str">
        <f t="shared" si="71"/>
        <v>Student</v>
      </c>
      <c r="N340" s="9">
        <v>45593</v>
      </c>
      <c r="O340" s="1" t="s">
        <v>114</v>
      </c>
      <c r="P340" s="1" t="s">
        <v>59</v>
      </c>
      <c r="Q340" s="4">
        <v>61</v>
      </c>
      <c r="R340" s="13">
        <f t="shared" si="72"/>
        <v>61</v>
      </c>
      <c r="S340" s="6">
        <f t="shared" si="66"/>
        <v>0.61</v>
      </c>
      <c r="T340" s="1">
        <v>45</v>
      </c>
      <c r="U340" s="1">
        <f t="shared" si="73"/>
        <v>45</v>
      </c>
      <c r="V340" s="1">
        <f t="shared" si="74"/>
        <v>56.199999999999996</v>
      </c>
      <c r="W340" s="10" t="str">
        <f t="shared" si="75"/>
        <v>Medium</v>
      </c>
      <c r="X340" s="1" t="s">
        <v>32</v>
      </c>
      <c r="Y340" s="1" t="str">
        <f t="shared" si="76"/>
        <v>Yes</v>
      </c>
      <c r="Z340" s="14">
        <v>1</v>
      </c>
      <c r="AA340" s="18">
        <f t="shared" si="77"/>
        <v>1</v>
      </c>
      <c r="AB340" s="18" t="str">
        <f t="shared" si="78"/>
        <v>No</v>
      </c>
      <c r="AC340" s="9" t="s">
        <v>1389</v>
      </c>
      <c r="AD340">
        <f>IF(AC340="",0,LEN(AC340)-LEN(SUBSTITUTE(AC340,",",""))+1)</f>
        <v>8</v>
      </c>
    </row>
    <row r="341" spans="1:30" ht="12.5" x14ac:dyDescent="0.25">
      <c r="A341" s="1" t="s">
        <v>1390</v>
      </c>
      <c r="B341" s="1" t="s">
        <v>1391</v>
      </c>
      <c r="C341" s="1" t="str">
        <v>Kenneth Martin</v>
      </c>
      <c r="D341" s="1" t="s">
        <v>1392</v>
      </c>
      <c r="E341" s="1" t="str">
        <v>brianscott@black.org</v>
      </c>
      <c r="F341" t="str">
        <f t="shared" si="67"/>
        <v>Valid</v>
      </c>
      <c r="G341" s="1" t="s">
        <v>57</v>
      </c>
      <c r="H341" s="1" t="str">
        <f t="shared" si="68"/>
        <v>Female</v>
      </c>
      <c r="I341" s="1" t="s">
        <v>74</v>
      </c>
      <c r="J341" t="str">
        <f t="shared" si="69"/>
        <v>USA</v>
      </c>
      <c r="K341" s="14">
        <v>35</v>
      </c>
      <c r="L341" s="1">
        <f t="shared" si="70"/>
        <v>35</v>
      </c>
      <c r="M341" s="1" t="str">
        <f t="shared" si="71"/>
        <v>Mid Career</v>
      </c>
      <c r="N341" s="2">
        <v>45809</v>
      </c>
      <c r="O341" s="1" t="s">
        <v>30</v>
      </c>
      <c r="P341" s="1" t="s">
        <v>31</v>
      </c>
      <c r="Q341" s="4">
        <v>31</v>
      </c>
      <c r="R341" s="13">
        <f t="shared" si="72"/>
        <v>31</v>
      </c>
      <c r="S341" s="6">
        <f t="shared" si="66"/>
        <v>0.31</v>
      </c>
      <c r="T341" s="1" t="s">
        <v>46</v>
      </c>
      <c r="U341" s="1">
        <f t="shared" si="73"/>
        <v>1</v>
      </c>
      <c r="V341" s="1">
        <f t="shared" si="74"/>
        <v>22</v>
      </c>
      <c r="W341" s="10" t="str">
        <f t="shared" si="75"/>
        <v>Low</v>
      </c>
      <c r="X341" s="1" t="s">
        <v>32</v>
      </c>
      <c r="Y341" s="1" t="str">
        <f t="shared" si="76"/>
        <v>Yes</v>
      </c>
      <c r="Z341" s="14">
        <v>3</v>
      </c>
      <c r="AA341" s="18">
        <f t="shared" si="77"/>
        <v>3</v>
      </c>
      <c r="AB341" s="18" t="str">
        <f t="shared" si="78"/>
        <v>No</v>
      </c>
      <c r="AC341" s="9">
        <v>45809</v>
      </c>
      <c r="AD341">
        <f>IF(AC341="",0,LEN(AC341)-LEN(SUBSTITUTE(AC341,",",""))+1)</f>
        <v>1</v>
      </c>
    </row>
    <row r="342" spans="1:30" ht="12.5" x14ac:dyDescent="0.25">
      <c r="A342" s="1" t="s">
        <v>1393</v>
      </c>
      <c r="B342" s="1" t="s">
        <v>1394</v>
      </c>
      <c r="C342" s="1" t="str">
        <v>Samantha Valentine</v>
      </c>
      <c r="D342" s="1" t="s">
        <v>1395</v>
      </c>
      <c r="E342" s="1" t="str">
        <v>eobrien@jackson-greer.org</v>
      </c>
      <c r="F342" t="str">
        <f t="shared" si="67"/>
        <v>Valid</v>
      </c>
      <c r="G342" s="1" t="s">
        <v>43</v>
      </c>
      <c r="H342" s="1" t="str">
        <f t="shared" si="68"/>
        <v>Female</v>
      </c>
      <c r="I342" s="1" t="s">
        <v>44</v>
      </c>
      <c r="J342" t="str">
        <f t="shared" si="69"/>
        <v>CANADA</v>
      </c>
      <c r="K342" s="14">
        <v>24</v>
      </c>
      <c r="L342" s="1">
        <f t="shared" si="70"/>
        <v>24</v>
      </c>
      <c r="M342" s="1" t="str">
        <f t="shared" si="71"/>
        <v>Early Career</v>
      </c>
      <c r="N342" s="9">
        <v>45533</v>
      </c>
      <c r="O342" s="1" t="s">
        <v>146</v>
      </c>
      <c r="P342" s="1" t="s">
        <v>147</v>
      </c>
      <c r="Q342" s="4">
        <v>87</v>
      </c>
      <c r="R342" s="13">
        <f t="shared" si="72"/>
        <v>87</v>
      </c>
      <c r="S342" s="6">
        <f t="shared" si="66"/>
        <v>0.87</v>
      </c>
      <c r="T342" s="1" t="s">
        <v>21</v>
      </c>
      <c r="U342" s="1">
        <f t="shared" si="73"/>
        <v>1.5</v>
      </c>
      <c r="V342" s="1">
        <f t="shared" si="74"/>
        <v>61.35</v>
      </c>
      <c r="W342" s="10" t="str">
        <f t="shared" si="75"/>
        <v>Medium</v>
      </c>
      <c r="X342" s="1" t="s">
        <v>22</v>
      </c>
      <c r="Y342" s="1" t="str">
        <f t="shared" si="76"/>
        <v>No</v>
      </c>
      <c r="Z342" s="14">
        <v>2</v>
      </c>
      <c r="AA342" s="18">
        <f t="shared" si="77"/>
        <v>2</v>
      </c>
      <c r="AB342" s="18" t="str">
        <f t="shared" si="78"/>
        <v>No</v>
      </c>
      <c r="AC342" s="9" t="s">
        <v>1396</v>
      </c>
      <c r="AD342">
        <f>IF(AC342="",0,LEN(AC342)-LEN(SUBSTITUTE(AC342,",",""))+1)</f>
        <v>5</v>
      </c>
    </row>
    <row r="343" spans="1:30" ht="12.5" x14ac:dyDescent="0.25">
      <c r="A343" s="1" t="s">
        <v>1397</v>
      </c>
      <c r="B343" s="1" t="s">
        <v>1398</v>
      </c>
      <c r="C343" s="1" t="str">
        <v>Matthew Baker</v>
      </c>
      <c r="D343" s="1" t="s">
        <v>1399</v>
      </c>
      <c r="E343" s="1" t="str">
        <v>ecarlson@gmail.com</v>
      </c>
      <c r="F343" t="str">
        <f t="shared" si="67"/>
        <v>Valid</v>
      </c>
      <c r="G343" s="1" t="s">
        <v>95</v>
      </c>
      <c r="H343" s="1" t="str">
        <f t="shared" si="68"/>
        <v>Male</v>
      </c>
      <c r="I343" s="1" t="s">
        <v>96</v>
      </c>
      <c r="J343" t="str">
        <f t="shared" si="69"/>
        <v>INDIA</v>
      </c>
      <c r="L343" s="1">
        <f t="shared" si="70"/>
        <v>19</v>
      </c>
      <c r="M343" s="1" t="str">
        <f t="shared" si="71"/>
        <v>Student</v>
      </c>
      <c r="N343" s="9">
        <v>44879</v>
      </c>
      <c r="O343" s="1" t="s">
        <v>69</v>
      </c>
      <c r="P343" s="1" t="s">
        <v>31</v>
      </c>
      <c r="Q343" s="4">
        <v>0.1</v>
      </c>
      <c r="R343" s="13">
        <f t="shared" si="72"/>
        <v>10</v>
      </c>
      <c r="S343" s="6">
        <f t="shared" si="66"/>
        <v>0.1</v>
      </c>
      <c r="T343" s="1">
        <v>1.5</v>
      </c>
      <c r="U343" s="1">
        <f t="shared" si="73"/>
        <v>1.5</v>
      </c>
      <c r="V343" s="1">
        <f t="shared" si="74"/>
        <v>7.45</v>
      </c>
      <c r="W343" s="10" t="str">
        <f t="shared" si="75"/>
        <v>Low</v>
      </c>
      <c r="X343" s="1" t="s">
        <v>32</v>
      </c>
      <c r="Y343" s="1" t="str">
        <f t="shared" si="76"/>
        <v>Yes</v>
      </c>
      <c r="AA343" s="18" t="str">
        <f t="shared" si="77"/>
        <v>Invalid</v>
      </c>
      <c r="AB343" s="18" t="str">
        <f t="shared" si="78"/>
        <v>High Performer</v>
      </c>
      <c r="AC343" s="9" t="s">
        <v>1400</v>
      </c>
      <c r="AD343">
        <f>IF(AC343="",0,LEN(AC343)-LEN(SUBSTITUTE(AC343,",",""))+1)</f>
        <v>3</v>
      </c>
    </row>
    <row r="344" spans="1:30" ht="12.5" x14ac:dyDescent="0.25">
      <c r="A344" s="1" t="s">
        <v>1401</v>
      </c>
      <c r="B344" s="1" t="s">
        <v>1402</v>
      </c>
      <c r="C344" s="1" t="str">
        <v>Scott Gordon</v>
      </c>
      <c r="D344" s="1" t="s">
        <v>1403</v>
      </c>
      <c r="E344" s="1" t="str">
        <v>catherinethompson@hotmail.com</v>
      </c>
      <c r="F344" t="str">
        <f t="shared" si="67"/>
        <v>Valid</v>
      </c>
      <c r="G344" s="1" t="s">
        <v>109</v>
      </c>
      <c r="H344" s="1" t="str">
        <f t="shared" si="68"/>
        <v>Male</v>
      </c>
      <c r="I344" s="1" t="s">
        <v>28</v>
      </c>
      <c r="J344" t="str">
        <f t="shared" si="69"/>
        <v>INDIA</v>
      </c>
      <c r="L344" s="1">
        <f t="shared" si="70"/>
        <v>19</v>
      </c>
      <c r="M344" s="1" t="str">
        <f t="shared" si="71"/>
        <v>Student</v>
      </c>
      <c r="N344" s="9">
        <v>45245</v>
      </c>
      <c r="O344" s="1" t="s">
        <v>114</v>
      </c>
      <c r="P344" s="1" t="s">
        <v>59</v>
      </c>
      <c r="Q344" s="4">
        <v>0.97</v>
      </c>
      <c r="R344" s="13">
        <f t="shared" si="72"/>
        <v>97</v>
      </c>
      <c r="S344" s="6">
        <f t="shared" si="66"/>
        <v>0.97</v>
      </c>
      <c r="T344" s="1" t="s">
        <v>64</v>
      </c>
      <c r="U344" s="1">
        <f t="shared" si="73"/>
        <v>2</v>
      </c>
      <c r="V344" s="1">
        <f t="shared" si="74"/>
        <v>68.499999999999986</v>
      </c>
      <c r="W344" s="10" t="str">
        <f t="shared" si="75"/>
        <v>Medium</v>
      </c>
      <c r="X344" s="1">
        <v>1</v>
      </c>
      <c r="Y344" s="1" t="str">
        <f t="shared" si="76"/>
        <v>Yes</v>
      </c>
      <c r="Z344" s="14">
        <v>5</v>
      </c>
      <c r="AA344" s="18">
        <f t="shared" si="77"/>
        <v>5</v>
      </c>
      <c r="AB344" s="18" t="str">
        <f t="shared" si="78"/>
        <v>High Performer</v>
      </c>
      <c r="AC344" s="9" t="s">
        <v>1404</v>
      </c>
      <c r="AD344">
        <f>IF(AC344="",0,LEN(AC344)-LEN(SUBSTITUTE(AC344,",",""))+1)</f>
        <v>5</v>
      </c>
    </row>
    <row r="345" spans="1:30" ht="12.5" x14ac:dyDescent="0.25">
      <c r="A345" s="1" t="s">
        <v>1405</v>
      </c>
      <c r="B345" s="1" t="s">
        <v>1406</v>
      </c>
      <c r="C345" s="1" t="str">
        <v>Autumn Olson</v>
      </c>
      <c r="D345" s="1" t="s">
        <v>1407</v>
      </c>
      <c r="E345" s="1" t="str">
        <v>princekimberly@reynolds.net</v>
      </c>
      <c r="F345" t="str">
        <f t="shared" si="67"/>
        <v>Valid</v>
      </c>
      <c r="G345" s="1" t="s">
        <v>119</v>
      </c>
      <c r="H345" s="1" t="str">
        <f t="shared" si="68"/>
        <v>Female</v>
      </c>
      <c r="I345" s="1" t="s">
        <v>156</v>
      </c>
      <c r="J345" t="str">
        <f t="shared" si="69"/>
        <v>IN</v>
      </c>
      <c r="K345" s="14">
        <v>40</v>
      </c>
      <c r="L345" s="1">
        <f t="shared" si="70"/>
        <v>40</v>
      </c>
      <c r="M345" s="1" t="str">
        <f t="shared" si="71"/>
        <v>Mid Career</v>
      </c>
      <c r="N345" s="9">
        <v>45589</v>
      </c>
      <c r="O345" s="1" t="s">
        <v>45</v>
      </c>
      <c r="P345" s="1" t="s">
        <v>20</v>
      </c>
      <c r="Q345" s="4">
        <v>99</v>
      </c>
      <c r="R345" s="13">
        <f t="shared" si="72"/>
        <v>99</v>
      </c>
      <c r="S345" s="6">
        <f t="shared" si="66"/>
        <v>0.99</v>
      </c>
      <c r="T345" s="1" t="s">
        <v>64</v>
      </c>
      <c r="U345" s="1">
        <f t="shared" si="73"/>
        <v>2</v>
      </c>
      <c r="V345" s="1">
        <f t="shared" si="74"/>
        <v>69.899999999999991</v>
      </c>
      <c r="W345" s="10" t="str">
        <f t="shared" si="75"/>
        <v>Medium</v>
      </c>
      <c r="X345" s="1" t="s">
        <v>22</v>
      </c>
      <c r="Y345" s="1" t="str">
        <f t="shared" si="76"/>
        <v>No</v>
      </c>
      <c r="Z345" s="14">
        <v>2</v>
      </c>
      <c r="AA345" s="18">
        <f t="shared" si="77"/>
        <v>2</v>
      </c>
      <c r="AB345" s="18" t="str">
        <f t="shared" si="78"/>
        <v>No</v>
      </c>
      <c r="AC345" s="9" t="s">
        <v>1408</v>
      </c>
      <c r="AD345">
        <f>IF(AC345="",0,LEN(AC345)-LEN(SUBSTITUTE(AC345,",",""))+1)</f>
        <v>6</v>
      </c>
    </row>
    <row r="346" spans="1:30" ht="12.5" x14ac:dyDescent="0.25">
      <c r="A346" s="1" t="s">
        <v>1409</v>
      </c>
      <c r="B346" s="1" t="s">
        <v>1410</v>
      </c>
      <c r="C346" s="1" t="str">
        <v>Jane Chapman</v>
      </c>
      <c r="D346" s="1" t="s">
        <v>1411</v>
      </c>
      <c r="E346" s="1" t="str">
        <v>eanderson@kent.com</v>
      </c>
      <c r="F346" t="str">
        <f t="shared" si="67"/>
        <v>Valid</v>
      </c>
      <c r="G346" s="1" t="s">
        <v>119</v>
      </c>
      <c r="H346" s="1" t="str">
        <f t="shared" si="68"/>
        <v>Female</v>
      </c>
      <c r="I346" s="1" t="s">
        <v>156</v>
      </c>
      <c r="J346" t="str">
        <f t="shared" si="69"/>
        <v>IN</v>
      </c>
      <c r="K346" s="14">
        <v>29</v>
      </c>
      <c r="L346" s="1">
        <f t="shared" si="70"/>
        <v>29</v>
      </c>
      <c r="M346" s="1" t="str">
        <f t="shared" si="71"/>
        <v>Early Career</v>
      </c>
      <c r="N346" s="2">
        <v>45324</v>
      </c>
      <c r="O346" s="1" t="s">
        <v>114</v>
      </c>
      <c r="P346" s="1" t="s">
        <v>59</v>
      </c>
      <c r="Q346" s="4">
        <v>0.33</v>
      </c>
      <c r="R346" s="13">
        <f t="shared" si="72"/>
        <v>33</v>
      </c>
      <c r="S346" s="6">
        <f t="shared" si="66"/>
        <v>0.33</v>
      </c>
      <c r="T346" s="1">
        <v>2</v>
      </c>
      <c r="U346" s="1">
        <f t="shared" si="73"/>
        <v>2</v>
      </c>
      <c r="V346" s="1">
        <f t="shared" si="74"/>
        <v>23.7</v>
      </c>
      <c r="W346" s="10" t="str">
        <f t="shared" si="75"/>
        <v>Low</v>
      </c>
      <c r="X346" s="1" t="s">
        <v>22</v>
      </c>
      <c r="Y346" s="1" t="str">
        <f t="shared" si="76"/>
        <v>No</v>
      </c>
      <c r="Z346" s="14">
        <v>2</v>
      </c>
      <c r="AA346" s="18">
        <f t="shared" si="77"/>
        <v>2</v>
      </c>
      <c r="AB346" s="18" t="str">
        <f t="shared" si="78"/>
        <v>No</v>
      </c>
      <c r="AC346" s="9" t="s">
        <v>1412</v>
      </c>
      <c r="AD346">
        <f>IF(AC346="",0,LEN(AC346)-LEN(SUBSTITUTE(AC346,",",""))+1)</f>
        <v>2</v>
      </c>
    </row>
    <row r="347" spans="1:30" ht="12.5" x14ac:dyDescent="0.25">
      <c r="A347" s="1" t="s">
        <v>1413</v>
      </c>
      <c r="B347" s="1" t="s">
        <v>1414</v>
      </c>
      <c r="C347" s="1" t="str">
        <v>Michael Clarke</v>
      </c>
      <c r="D347" s="1" t="s">
        <v>1415</v>
      </c>
      <c r="E347" s="1" t="str">
        <v>brooksjamie@ortiz-rodriguez.biz</v>
      </c>
      <c r="F347" t="str">
        <f t="shared" si="67"/>
        <v>Valid</v>
      </c>
      <c r="G347" s="1" t="s">
        <v>43</v>
      </c>
      <c r="H347" s="1" t="str">
        <f t="shared" si="68"/>
        <v>Female</v>
      </c>
      <c r="I347" s="1" t="s">
        <v>74</v>
      </c>
      <c r="J347" t="str">
        <f t="shared" si="69"/>
        <v>USA</v>
      </c>
      <c r="L347" s="1">
        <f t="shared" si="70"/>
        <v>19</v>
      </c>
      <c r="M347" s="1" t="str">
        <f t="shared" si="71"/>
        <v>Student</v>
      </c>
      <c r="N347" s="9">
        <v>45587</v>
      </c>
      <c r="O347" s="1" t="s">
        <v>114</v>
      </c>
      <c r="P347" s="1" t="s">
        <v>59</v>
      </c>
      <c r="Q347" s="4">
        <v>35</v>
      </c>
      <c r="R347" s="13">
        <f t="shared" si="72"/>
        <v>35</v>
      </c>
      <c r="S347" s="6">
        <f t="shared" si="66"/>
        <v>0.35</v>
      </c>
      <c r="T347" s="1">
        <v>2</v>
      </c>
      <c r="U347" s="1">
        <f t="shared" si="73"/>
        <v>2</v>
      </c>
      <c r="V347" s="1">
        <f t="shared" si="74"/>
        <v>25.1</v>
      </c>
      <c r="W347" s="10" t="str">
        <f t="shared" si="75"/>
        <v>Low</v>
      </c>
      <c r="X347" s="1">
        <v>1</v>
      </c>
      <c r="Y347" s="1" t="str">
        <f t="shared" si="76"/>
        <v>Yes</v>
      </c>
      <c r="Z347" s="14">
        <v>4</v>
      </c>
      <c r="AA347" s="18">
        <f t="shared" si="77"/>
        <v>4</v>
      </c>
      <c r="AB347" s="18" t="str">
        <f t="shared" si="78"/>
        <v>High Performer</v>
      </c>
      <c r="AC347" s="9" t="s">
        <v>1416</v>
      </c>
      <c r="AD347">
        <f>IF(AC347="",0,LEN(AC347)-LEN(SUBSTITUTE(AC347,",",""))+1)</f>
        <v>6</v>
      </c>
    </row>
    <row r="348" spans="1:30" ht="12.5" x14ac:dyDescent="0.25">
      <c r="A348" s="1" t="s">
        <v>1417</v>
      </c>
      <c r="B348" s="1" t="s">
        <v>1418</v>
      </c>
      <c r="C348" s="1" t="str">
        <v>Krystal Carr</v>
      </c>
      <c r="D348" s="1" t="s">
        <v>127</v>
      </c>
      <c r="E348" s="1" t="str">
        <v>invalid-email</v>
      </c>
      <c r="F348" t="str">
        <f t="shared" si="67"/>
        <v>Invalid</v>
      </c>
      <c r="G348" s="1" t="s">
        <v>88</v>
      </c>
      <c r="H348" s="1" t="str">
        <f t="shared" si="68"/>
        <v>Male</v>
      </c>
      <c r="I348" s="1" t="s">
        <v>136</v>
      </c>
      <c r="J348" t="str">
        <f t="shared" si="69"/>
        <v>UK</v>
      </c>
      <c r="K348" s="14">
        <v>0</v>
      </c>
      <c r="L348" s="1">
        <f t="shared" si="70"/>
        <v>19</v>
      </c>
      <c r="M348" s="1" t="str">
        <f t="shared" si="71"/>
        <v>Student</v>
      </c>
      <c r="N348" s="9">
        <v>45670</v>
      </c>
      <c r="O348" s="1" t="s">
        <v>58</v>
      </c>
      <c r="P348" s="1" t="s">
        <v>59</v>
      </c>
      <c r="Q348" s="4">
        <v>94</v>
      </c>
      <c r="R348" s="13">
        <f t="shared" si="72"/>
        <v>94</v>
      </c>
      <c r="S348" s="6">
        <f t="shared" si="66"/>
        <v>0.94</v>
      </c>
      <c r="T348" s="1" t="s">
        <v>21</v>
      </c>
      <c r="U348" s="1">
        <f t="shared" si="73"/>
        <v>1.5</v>
      </c>
      <c r="V348" s="1">
        <f t="shared" si="74"/>
        <v>66.25</v>
      </c>
      <c r="W348" s="10" t="str">
        <f t="shared" si="75"/>
        <v>Medium</v>
      </c>
      <c r="X348" s="1">
        <v>0</v>
      </c>
      <c r="Y348" s="1" t="str">
        <f t="shared" si="76"/>
        <v>No</v>
      </c>
      <c r="Z348" s="14">
        <v>2</v>
      </c>
      <c r="AA348" s="18">
        <f t="shared" si="77"/>
        <v>2</v>
      </c>
      <c r="AB348" s="18" t="str">
        <f t="shared" si="78"/>
        <v>No</v>
      </c>
      <c r="AC348" s="9" t="s">
        <v>1419</v>
      </c>
      <c r="AD348">
        <f>IF(AC348="",0,LEN(AC348)-LEN(SUBSTITUTE(AC348,",",""))+1)</f>
        <v>4</v>
      </c>
    </row>
    <row r="349" spans="1:30" ht="12.5" x14ac:dyDescent="0.25">
      <c r="A349" s="1" t="s">
        <v>1420</v>
      </c>
      <c r="B349" s="1" t="s">
        <v>1421</v>
      </c>
      <c r="C349" s="1" t="str">
        <v>Kristin White</v>
      </c>
      <c r="D349" s="1" t="s">
        <v>1422</v>
      </c>
      <c r="E349" s="1" t="str">
        <v>vanessa95@hotmail.com</v>
      </c>
      <c r="F349" t="str">
        <f t="shared" si="67"/>
        <v>Valid</v>
      </c>
      <c r="G349" s="1" t="s">
        <v>95</v>
      </c>
      <c r="H349" s="1" t="str">
        <f t="shared" si="68"/>
        <v>Male</v>
      </c>
      <c r="I349" s="1" t="s">
        <v>89</v>
      </c>
      <c r="J349" t="str">
        <f t="shared" si="69"/>
        <v>GERMANY</v>
      </c>
      <c r="L349" s="1">
        <f t="shared" si="70"/>
        <v>19</v>
      </c>
      <c r="M349" s="1" t="str">
        <f t="shared" si="71"/>
        <v>Student</v>
      </c>
      <c r="N349" s="9">
        <v>45715</v>
      </c>
      <c r="O349" s="1" t="s">
        <v>52</v>
      </c>
      <c r="P349" s="1" t="s">
        <v>37</v>
      </c>
      <c r="Q349" s="4">
        <v>0.72</v>
      </c>
      <c r="R349" s="13">
        <f t="shared" si="72"/>
        <v>72</v>
      </c>
      <c r="S349" s="6">
        <f t="shared" si="66"/>
        <v>0.72</v>
      </c>
      <c r="T349" s="1">
        <v>2</v>
      </c>
      <c r="U349" s="1">
        <f t="shared" si="73"/>
        <v>2</v>
      </c>
      <c r="V349" s="1">
        <f t="shared" si="74"/>
        <v>51</v>
      </c>
      <c r="W349" s="10" t="str">
        <f t="shared" si="75"/>
        <v>Medium</v>
      </c>
      <c r="X349" s="1">
        <v>0</v>
      </c>
      <c r="Y349" s="1" t="str">
        <f t="shared" si="76"/>
        <v>No</v>
      </c>
      <c r="Z349" s="14">
        <v>1</v>
      </c>
      <c r="AA349" s="18">
        <f t="shared" si="77"/>
        <v>1</v>
      </c>
      <c r="AB349" s="18" t="str">
        <f t="shared" si="78"/>
        <v>No</v>
      </c>
      <c r="AC349" s="9" t="s">
        <v>1423</v>
      </c>
      <c r="AD349">
        <f>IF(AC349="",0,LEN(AC349)-LEN(SUBSTITUTE(AC349,",",""))+1)</f>
        <v>5</v>
      </c>
    </row>
    <row r="350" spans="1:30" ht="12.5" x14ac:dyDescent="0.25">
      <c r="A350" s="1" t="s">
        <v>1424</v>
      </c>
      <c r="B350" s="1" t="s">
        <v>1425</v>
      </c>
      <c r="C350" s="1" t="str">
        <v>Nicole Griffin</v>
      </c>
      <c r="D350" s="1" t="s">
        <v>1426</v>
      </c>
      <c r="E350" s="1" t="str">
        <v>lewisrichard@owen-mendez.com</v>
      </c>
      <c r="F350" t="str">
        <f t="shared" si="67"/>
        <v>Valid</v>
      </c>
      <c r="G350" s="1" t="s">
        <v>95</v>
      </c>
      <c r="H350" s="1" t="str">
        <f t="shared" si="68"/>
        <v>Male</v>
      </c>
      <c r="I350" s="1" t="s">
        <v>18</v>
      </c>
      <c r="J350" t="str">
        <f t="shared" si="69"/>
        <v>US</v>
      </c>
      <c r="L350" s="1">
        <f t="shared" si="70"/>
        <v>19</v>
      </c>
      <c r="M350" s="1" t="str">
        <f t="shared" si="71"/>
        <v>Student</v>
      </c>
      <c r="N350" s="9">
        <v>45276</v>
      </c>
      <c r="O350" s="1" t="s">
        <v>301</v>
      </c>
      <c r="P350" s="1" t="s">
        <v>20</v>
      </c>
      <c r="Q350" s="4">
        <v>0.71</v>
      </c>
      <c r="R350" s="13">
        <f t="shared" si="72"/>
        <v>71</v>
      </c>
      <c r="S350" s="6">
        <f t="shared" si="66"/>
        <v>0.71</v>
      </c>
      <c r="T350" s="1">
        <v>2</v>
      </c>
      <c r="U350" s="1">
        <f t="shared" si="73"/>
        <v>2</v>
      </c>
      <c r="V350" s="1">
        <f t="shared" si="74"/>
        <v>50.3</v>
      </c>
      <c r="W350" s="10" t="str">
        <f t="shared" si="75"/>
        <v>Medium</v>
      </c>
      <c r="X350" s="1">
        <v>1</v>
      </c>
      <c r="Y350" s="1" t="str">
        <f t="shared" si="76"/>
        <v>Yes</v>
      </c>
      <c r="Z350" s="14">
        <v>5</v>
      </c>
      <c r="AA350" s="18">
        <f t="shared" si="77"/>
        <v>5</v>
      </c>
      <c r="AB350" s="18" t="str">
        <f t="shared" si="78"/>
        <v>High Performer</v>
      </c>
      <c r="AC350" s="9" t="s">
        <v>1427</v>
      </c>
      <c r="AD350">
        <f>IF(AC350="",0,LEN(AC350)-LEN(SUBSTITUTE(AC350,",",""))+1)</f>
        <v>6</v>
      </c>
    </row>
    <row r="351" spans="1:30" ht="12.5" x14ac:dyDescent="0.25">
      <c r="A351" s="1" t="s">
        <v>1428</v>
      </c>
      <c r="B351" s="1" t="s">
        <v>1429</v>
      </c>
      <c r="C351" s="1" t="str">
        <v>Samantha Ruiz</v>
      </c>
      <c r="D351" s="1" t="s">
        <v>1430</v>
      </c>
      <c r="E351" s="1" t="str">
        <v>brownjeffrey@gmail.com</v>
      </c>
      <c r="F351" t="str">
        <f t="shared" si="67"/>
        <v>Valid</v>
      </c>
      <c r="G351" s="1" t="s">
        <v>17</v>
      </c>
      <c r="H351" s="1" t="str">
        <f t="shared" si="68"/>
        <v>Female</v>
      </c>
      <c r="I351" s="1" t="s">
        <v>18</v>
      </c>
      <c r="J351" t="str">
        <f t="shared" si="69"/>
        <v>US</v>
      </c>
      <c r="L351" s="1">
        <f t="shared" si="70"/>
        <v>19</v>
      </c>
      <c r="M351" s="1" t="str">
        <f t="shared" si="71"/>
        <v>Student</v>
      </c>
      <c r="N351" s="3">
        <v>44907</v>
      </c>
      <c r="O351" s="1" t="s">
        <v>146</v>
      </c>
      <c r="P351" s="1" t="s">
        <v>147</v>
      </c>
      <c r="Q351" s="4">
        <v>0.86</v>
      </c>
      <c r="R351" s="13">
        <f t="shared" si="72"/>
        <v>86</v>
      </c>
      <c r="S351" s="6">
        <f t="shared" si="66"/>
        <v>0.86</v>
      </c>
      <c r="T351" s="1">
        <v>2</v>
      </c>
      <c r="U351" s="1">
        <f t="shared" si="73"/>
        <v>2</v>
      </c>
      <c r="V351" s="1">
        <f t="shared" si="74"/>
        <v>60.8</v>
      </c>
      <c r="W351" s="10" t="str">
        <f t="shared" si="75"/>
        <v>Medium</v>
      </c>
      <c r="X351" s="1" t="s">
        <v>22</v>
      </c>
      <c r="Y351" s="1" t="str">
        <f t="shared" si="76"/>
        <v>No</v>
      </c>
      <c r="Z351" s="14">
        <v>5</v>
      </c>
      <c r="AA351" s="18">
        <f t="shared" si="77"/>
        <v>5</v>
      </c>
      <c r="AB351" s="18" t="str">
        <f t="shared" si="78"/>
        <v>No</v>
      </c>
      <c r="AC351" s="9" t="s">
        <v>1431</v>
      </c>
      <c r="AD351">
        <f>IF(AC351="",0,LEN(AC351)-LEN(SUBSTITUTE(AC351,",",""))+1)</f>
        <v>3</v>
      </c>
    </row>
    <row r="352" spans="1:30" ht="12.5" x14ac:dyDescent="0.25">
      <c r="A352" s="1" t="s">
        <v>1432</v>
      </c>
      <c r="B352" s="1" t="s">
        <v>1433</v>
      </c>
      <c r="C352" s="1" t="str">
        <v>Miss Kelly Dawson</v>
      </c>
      <c r="D352" s="1" t="s">
        <v>1434</v>
      </c>
      <c r="E352" s="1" t="str">
        <v>daniellegonzales@jefferson.com</v>
      </c>
      <c r="F352" t="str">
        <f t="shared" si="67"/>
        <v>Valid</v>
      </c>
      <c r="G352" s="1" t="s">
        <v>109</v>
      </c>
      <c r="H352" s="1" t="str">
        <f t="shared" si="68"/>
        <v>Male</v>
      </c>
      <c r="I352" s="1" t="s">
        <v>156</v>
      </c>
      <c r="J352" t="str">
        <f t="shared" si="69"/>
        <v>IN</v>
      </c>
      <c r="L352" s="1">
        <f t="shared" si="70"/>
        <v>19</v>
      </c>
      <c r="M352" s="1" t="str">
        <f t="shared" si="71"/>
        <v>Student</v>
      </c>
      <c r="N352" s="2">
        <v>45515</v>
      </c>
      <c r="O352" s="1" t="s">
        <v>146</v>
      </c>
      <c r="P352" s="1" t="s">
        <v>147</v>
      </c>
      <c r="Q352" s="4">
        <v>0.73</v>
      </c>
      <c r="R352" s="13">
        <f t="shared" si="72"/>
        <v>73</v>
      </c>
      <c r="S352" s="6">
        <f t="shared" si="66"/>
        <v>0.73</v>
      </c>
      <c r="T352" s="1" t="s">
        <v>64</v>
      </c>
      <c r="U352" s="1">
        <f t="shared" si="73"/>
        <v>2</v>
      </c>
      <c r="V352" s="1">
        <f t="shared" si="74"/>
        <v>51.699999999999996</v>
      </c>
      <c r="W352" s="10" t="str">
        <f t="shared" si="75"/>
        <v>Medium</v>
      </c>
      <c r="X352" s="1" t="s">
        <v>32</v>
      </c>
      <c r="Y352" s="1" t="str">
        <f t="shared" si="76"/>
        <v>Yes</v>
      </c>
      <c r="Z352" s="14">
        <v>4</v>
      </c>
      <c r="AA352" s="18">
        <f t="shared" si="77"/>
        <v>4</v>
      </c>
      <c r="AB352" s="18" t="str">
        <f t="shared" si="78"/>
        <v>High Performer</v>
      </c>
      <c r="AC352" s="9" t="s">
        <v>1435</v>
      </c>
      <c r="AD352">
        <f>IF(AC352="",0,LEN(AC352)-LEN(SUBSTITUTE(AC352,",",""))+1)</f>
        <v>6</v>
      </c>
    </row>
    <row r="353" spans="1:30" ht="12.5" x14ac:dyDescent="0.25">
      <c r="A353" s="1" t="s">
        <v>1436</v>
      </c>
      <c r="B353" s="1" t="s">
        <v>1437</v>
      </c>
      <c r="C353" s="1" t="str">
        <v>Crystal Jackson</v>
      </c>
      <c r="D353" s="1" t="s">
        <v>1438</v>
      </c>
      <c r="E353" s="1" t="str">
        <v>john02@shea.com</v>
      </c>
      <c r="F353" t="str">
        <f t="shared" si="67"/>
        <v>Valid</v>
      </c>
      <c r="G353" s="1" t="s">
        <v>119</v>
      </c>
      <c r="H353" s="1" t="str">
        <f t="shared" si="68"/>
        <v>Female</v>
      </c>
      <c r="I353" s="1" t="s">
        <v>18</v>
      </c>
      <c r="J353" t="str">
        <f t="shared" si="69"/>
        <v>US</v>
      </c>
      <c r="K353" s="14">
        <v>23</v>
      </c>
      <c r="L353" s="1">
        <f t="shared" si="70"/>
        <v>23</v>
      </c>
      <c r="M353" s="1" t="str">
        <f t="shared" si="71"/>
        <v>Early Career</v>
      </c>
      <c r="N353" s="2">
        <v>44987</v>
      </c>
      <c r="O353" s="1" t="s">
        <v>75</v>
      </c>
      <c r="P353" s="1" t="s">
        <v>37</v>
      </c>
      <c r="Q353" s="4">
        <v>99</v>
      </c>
      <c r="R353" s="13">
        <f t="shared" si="72"/>
        <v>99</v>
      </c>
      <c r="S353" s="6">
        <f t="shared" si="66"/>
        <v>0.99</v>
      </c>
      <c r="T353" s="1">
        <v>2</v>
      </c>
      <c r="U353" s="1">
        <f t="shared" si="73"/>
        <v>2</v>
      </c>
      <c r="V353" s="1">
        <f t="shared" si="74"/>
        <v>69.899999999999991</v>
      </c>
      <c r="W353" s="10" t="str">
        <f t="shared" si="75"/>
        <v>Medium</v>
      </c>
      <c r="X353" s="1" t="s">
        <v>22</v>
      </c>
      <c r="Y353" s="1" t="str">
        <f t="shared" si="76"/>
        <v>No</v>
      </c>
      <c r="Z353" s="14">
        <v>6</v>
      </c>
      <c r="AA353" s="18">
        <f t="shared" si="77"/>
        <v>6</v>
      </c>
      <c r="AB353" s="18" t="str">
        <f t="shared" si="78"/>
        <v>No</v>
      </c>
      <c r="AC353" s="9" t="s">
        <v>1439</v>
      </c>
      <c r="AD353">
        <f>IF(AC353="",0,LEN(AC353)-LEN(SUBSTITUTE(AC353,",",""))+1)</f>
        <v>7</v>
      </c>
    </row>
    <row r="354" spans="1:30" ht="12.5" x14ac:dyDescent="0.25">
      <c r="A354" s="1" t="s">
        <v>1440</v>
      </c>
      <c r="B354" s="1" t="s">
        <v>1441</v>
      </c>
      <c r="C354" s="1" t="str">
        <v>Nancy Jones</v>
      </c>
      <c r="D354" s="1" t="s">
        <v>1442</v>
      </c>
      <c r="E354" s="1" t="str">
        <v>jessica89@bailey-ochoa.com</v>
      </c>
      <c r="F354" t="str">
        <f t="shared" si="67"/>
        <v>Valid</v>
      </c>
      <c r="G354" s="1" t="s">
        <v>17</v>
      </c>
      <c r="H354" s="1" t="str">
        <f t="shared" si="68"/>
        <v>Female</v>
      </c>
      <c r="I354" s="1" t="s">
        <v>136</v>
      </c>
      <c r="J354" t="str">
        <f t="shared" si="69"/>
        <v>UK</v>
      </c>
      <c r="K354" s="14">
        <v>35</v>
      </c>
      <c r="L354" s="1">
        <f t="shared" si="70"/>
        <v>35</v>
      </c>
      <c r="M354" s="1" t="str">
        <f t="shared" si="71"/>
        <v>Mid Career</v>
      </c>
      <c r="N354" s="2">
        <v>45932</v>
      </c>
      <c r="O354" s="1" t="s">
        <v>146</v>
      </c>
      <c r="P354" s="1" t="s">
        <v>147</v>
      </c>
      <c r="Q354" s="4">
        <v>10</v>
      </c>
      <c r="R354" s="13">
        <f t="shared" si="72"/>
        <v>10</v>
      </c>
      <c r="S354" s="6">
        <f t="shared" si="66"/>
        <v>0.1</v>
      </c>
      <c r="T354" s="1" t="s">
        <v>46</v>
      </c>
      <c r="U354" s="1">
        <f t="shared" si="73"/>
        <v>1</v>
      </c>
      <c r="V354" s="1">
        <f t="shared" si="74"/>
        <v>7.3</v>
      </c>
      <c r="W354" s="10" t="str">
        <f t="shared" si="75"/>
        <v>Low</v>
      </c>
      <c r="X354" s="1" t="s">
        <v>38</v>
      </c>
      <c r="Y354" s="1" t="str">
        <f t="shared" si="76"/>
        <v>No</v>
      </c>
      <c r="Z354" s="14">
        <v>2</v>
      </c>
      <c r="AA354" s="18">
        <f t="shared" si="77"/>
        <v>2</v>
      </c>
      <c r="AB354" s="18" t="str">
        <f t="shared" si="78"/>
        <v>No</v>
      </c>
      <c r="AC354" s="9" t="s">
        <v>1443</v>
      </c>
      <c r="AD354">
        <f>IF(AC354="",0,LEN(AC354)-LEN(SUBSTITUTE(AC354,",",""))+1)</f>
        <v>5</v>
      </c>
    </row>
    <row r="355" spans="1:30" ht="12.5" x14ac:dyDescent="0.25">
      <c r="A355" s="1" t="s">
        <v>1444</v>
      </c>
      <c r="B355" s="1" t="s">
        <v>1445</v>
      </c>
      <c r="C355" s="1" t="str">
        <v>Aaron Thompson</v>
      </c>
      <c r="D355" s="1" t="s">
        <v>1446</v>
      </c>
      <c r="E355" s="1" t="str">
        <v>gordonmatthew@pratt.net</v>
      </c>
      <c r="F355" t="str">
        <f t="shared" si="67"/>
        <v>Valid</v>
      </c>
      <c r="G355" s="1" t="s">
        <v>43</v>
      </c>
      <c r="H355" s="1" t="str">
        <f t="shared" si="68"/>
        <v>Female</v>
      </c>
      <c r="I355" s="1" t="s">
        <v>89</v>
      </c>
      <c r="J355" t="str">
        <f t="shared" si="69"/>
        <v>GERMANY</v>
      </c>
      <c r="L355" s="1">
        <f t="shared" si="70"/>
        <v>19</v>
      </c>
      <c r="M355" s="1" t="str">
        <f t="shared" si="71"/>
        <v>Student</v>
      </c>
      <c r="N355" s="2">
        <v>45362</v>
      </c>
      <c r="O355" s="1" t="s">
        <v>90</v>
      </c>
      <c r="P355" s="1" t="s">
        <v>31</v>
      </c>
      <c r="Q355" s="4">
        <v>0.1</v>
      </c>
      <c r="R355" s="13">
        <f t="shared" si="72"/>
        <v>10</v>
      </c>
      <c r="S355" s="6">
        <f t="shared" si="66"/>
        <v>0.1</v>
      </c>
      <c r="T355" s="1">
        <v>2</v>
      </c>
      <c r="U355" s="1">
        <f t="shared" si="73"/>
        <v>2</v>
      </c>
      <c r="V355" s="1">
        <f t="shared" si="74"/>
        <v>7.6</v>
      </c>
      <c r="W355" s="10" t="str">
        <f t="shared" si="75"/>
        <v>Low</v>
      </c>
      <c r="X355" s="1" t="s">
        <v>22</v>
      </c>
      <c r="Y355" s="1" t="str">
        <f t="shared" si="76"/>
        <v>No</v>
      </c>
      <c r="AA355" s="18" t="str">
        <f t="shared" si="77"/>
        <v>Invalid</v>
      </c>
      <c r="AB355" s="18" t="str">
        <f t="shared" si="78"/>
        <v>No</v>
      </c>
      <c r="AC355" s="9" t="s">
        <v>1447</v>
      </c>
      <c r="AD355">
        <f>IF(AC355="",0,LEN(AC355)-LEN(SUBSTITUTE(AC355,",",""))+1)</f>
        <v>2</v>
      </c>
    </row>
    <row r="356" spans="1:30" ht="12.5" x14ac:dyDescent="0.25">
      <c r="A356" s="1" t="s">
        <v>1448</v>
      </c>
      <c r="B356" s="1" t="s">
        <v>1449</v>
      </c>
      <c r="C356" s="1" t="str">
        <v>John Sanchez</v>
      </c>
      <c r="D356" s="1" t="s">
        <v>1450</v>
      </c>
      <c r="E356" s="1" t="str">
        <v>lmaldonado@gmail.com</v>
      </c>
      <c r="F356" t="str">
        <f t="shared" si="67"/>
        <v>Valid</v>
      </c>
      <c r="G356" s="1" t="s">
        <v>119</v>
      </c>
      <c r="H356" s="1" t="str">
        <f t="shared" si="68"/>
        <v>Female</v>
      </c>
      <c r="I356" s="1" t="s">
        <v>96</v>
      </c>
      <c r="J356" t="str">
        <f t="shared" si="69"/>
        <v>INDIA</v>
      </c>
      <c r="K356" s="14">
        <v>0</v>
      </c>
      <c r="L356" s="1">
        <f t="shared" si="70"/>
        <v>19</v>
      </c>
      <c r="M356" s="1" t="str">
        <f t="shared" si="71"/>
        <v>Student</v>
      </c>
      <c r="N356" s="9">
        <v>45551</v>
      </c>
      <c r="O356" s="1" t="s">
        <v>146</v>
      </c>
      <c r="P356" s="1" t="s">
        <v>147</v>
      </c>
      <c r="Q356" s="4">
        <v>0.45</v>
      </c>
      <c r="R356" s="13">
        <f t="shared" si="72"/>
        <v>45</v>
      </c>
      <c r="S356" s="6">
        <f t="shared" si="66"/>
        <v>0.45</v>
      </c>
      <c r="T356" s="1">
        <v>1.5</v>
      </c>
      <c r="U356" s="1">
        <f t="shared" si="73"/>
        <v>1.5</v>
      </c>
      <c r="V356" s="1">
        <f t="shared" si="74"/>
        <v>31.949999999999996</v>
      </c>
      <c r="W356" s="10" t="str">
        <f t="shared" si="75"/>
        <v>Low</v>
      </c>
      <c r="X356" s="1">
        <v>0</v>
      </c>
      <c r="Y356" s="1" t="str">
        <f t="shared" si="76"/>
        <v>No</v>
      </c>
      <c r="Z356" s="14">
        <v>6</v>
      </c>
      <c r="AA356" s="18">
        <f t="shared" si="77"/>
        <v>6</v>
      </c>
      <c r="AB356" s="18" t="str">
        <f t="shared" si="78"/>
        <v>No</v>
      </c>
      <c r="AC356" s="9" t="s">
        <v>1452</v>
      </c>
      <c r="AD356">
        <f>IF(AC356="",0,LEN(AC356)-LEN(SUBSTITUTE(AC356,",",""))+1)</f>
        <v>3</v>
      </c>
    </row>
    <row r="357" spans="1:30" ht="12.5" x14ac:dyDescent="0.25">
      <c r="A357" s="1" t="s">
        <v>1453</v>
      </c>
      <c r="B357" s="1" t="s">
        <v>1454</v>
      </c>
      <c r="C357" s="1" t="str">
        <v>Wendy Rhodes</v>
      </c>
      <c r="D357" s="1" t="s">
        <v>1455</v>
      </c>
      <c r="E357" s="1" t="str">
        <v>robert58@smith.com</v>
      </c>
      <c r="F357" t="str">
        <f t="shared" si="67"/>
        <v>Valid</v>
      </c>
      <c r="G357" s="1" t="s">
        <v>27</v>
      </c>
      <c r="H357" s="1" t="str">
        <f t="shared" si="68"/>
        <v>Male</v>
      </c>
      <c r="I357" s="1" t="s">
        <v>156</v>
      </c>
      <c r="J357" t="str">
        <f t="shared" si="69"/>
        <v>IN</v>
      </c>
      <c r="K357" s="14">
        <v>0</v>
      </c>
      <c r="L357" s="1">
        <f t="shared" si="70"/>
        <v>19</v>
      </c>
      <c r="M357" s="1" t="str">
        <f t="shared" si="71"/>
        <v>Student</v>
      </c>
      <c r="N357" s="9">
        <v>45406</v>
      </c>
      <c r="O357" s="1" t="s">
        <v>90</v>
      </c>
      <c r="P357" s="1" t="s">
        <v>31</v>
      </c>
      <c r="Q357" s="4">
        <v>72</v>
      </c>
      <c r="R357" s="13">
        <f t="shared" si="72"/>
        <v>72</v>
      </c>
      <c r="S357" s="6">
        <f t="shared" si="66"/>
        <v>0.72</v>
      </c>
      <c r="T357" s="1" t="s">
        <v>46</v>
      </c>
      <c r="U357" s="1">
        <f t="shared" si="73"/>
        <v>1</v>
      </c>
      <c r="V357" s="1">
        <f t="shared" si="74"/>
        <v>50.699999999999996</v>
      </c>
      <c r="W357" s="10" t="str">
        <f t="shared" si="75"/>
        <v>Medium</v>
      </c>
      <c r="X357" s="1" t="s">
        <v>76</v>
      </c>
      <c r="Y357" s="1" t="str">
        <f t="shared" si="76"/>
        <v>Yes</v>
      </c>
      <c r="Z357" s="14">
        <v>4</v>
      </c>
      <c r="AA357" s="18">
        <f t="shared" si="77"/>
        <v>4</v>
      </c>
      <c r="AB357" s="18" t="str">
        <f t="shared" si="78"/>
        <v>High Performer</v>
      </c>
      <c r="AC357" s="9" t="s">
        <v>1456</v>
      </c>
      <c r="AD357">
        <f>IF(AC357="",0,LEN(AC357)-LEN(SUBSTITUTE(AC357,",",""))+1)</f>
        <v>8</v>
      </c>
    </row>
    <row r="358" spans="1:30" ht="12.5" x14ac:dyDescent="0.25">
      <c r="A358" s="1" t="s">
        <v>1457</v>
      </c>
      <c r="B358" s="1" t="s">
        <v>1458</v>
      </c>
      <c r="C358" s="1" t="str">
        <v>Timothy Woods</v>
      </c>
      <c r="D358" s="1" t="s">
        <v>1459</v>
      </c>
      <c r="E358" s="1" t="str">
        <v>patriciaadams@hotmail.com</v>
      </c>
      <c r="F358" t="str">
        <f t="shared" si="67"/>
        <v>Valid</v>
      </c>
      <c r="G358" s="1" t="s">
        <v>109</v>
      </c>
      <c r="H358" s="1" t="str">
        <f t="shared" si="68"/>
        <v>Male</v>
      </c>
      <c r="I358" s="1" t="s">
        <v>156</v>
      </c>
      <c r="J358" t="str">
        <f t="shared" si="69"/>
        <v>IN</v>
      </c>
      <c r="L358" s="1">
        <f t="shared" si="70"/>
        <v>19</v>
      </c>
      <c r="M358" s="1" t="str">
        <f t="shared" si="71"/>
        <v>Student</v>
      </c>
      <c r="N358" s="9">
        <v>45277</v>
      </c>
      <c r="O358" s="1" t="s">
        <v>58</v>
      </c>
      <c r="P358" s="1" t="s">
        <v>59</v>
      </c>
      <c r="Q358" s="4">
        <v>0.38</v>
      </c>
      <c r="R358" s="13">
        <f t="shared" si="72"/>
        <v>38</v>
      </c>
      <c r="S358" s="6">
        <f t="shared" si="66"/>
        <v>0.38</v>
      </c>
      <c r="T358" s="1" t="s">
        <v>64</v>
      </c>
      <c r="U358" s="1">
        <f t="shared" si="73"/>
        <v>2</v>
      </c>
      <c r="V358" s="1">
        <f t="shared" si="74"/>
        <v>27.2</v>
      </c>
      <c r="W358" s="10" t="str">
        <f t="shared" si="75"/>
        <v>Low</v>
      </c>
      <c r="X358" s="1">
        <v>0</v>
      </c>
      <c r="Y358" s="1" t="str">
        <f t="shared" si="76"/>
        <v>No</v>
      </c>
      <c r="Z358" s="14">
        <v>1</v>
      </c>
      <c r="AA358" s="18">
        <f t="shared" si="77"/>
        <v>1</v>
      </c>
      <c r="AB358" s="18" t="str">
        <f t="shared" si="78"/>
        <v>No</v>
      </c>
      <c r="AC358" s="9" t="s">
        <v>1460</v>
      </c>
      <c r="AD358">
        <f>IF(AC358="",0,LEN(AC358)-LEN(SUBSTITUTE(AC358,",",""))+1)</f>
        <v>6</v>
      </c>
    </row>
    <row r="359" spans="1:30" ht="12.5" x14ac:dyDescent="0.25">
      <c r="A359" s="1" t="s">
        <v>1461</v>
      </c>
      <c r="B359" s="1" t="s">
        <v>1462</v>
      </c>
      <c r="C359" s="1" t="str">
        <v>Cynthia Allen</v>
      </c>
      <c r="D359" s="1" t="s">
        <v>127</v>
      </c>
      <c r="E359" s="1" t="str">
        <v>invalid-email</v>
      </c>
      <c r="F359" t="str">
        <f t="shared" si="67"/>
        <v>Invalid</v>
      </c>
      <c r="G359" s="1" t="s">
        <v>57</v>
      </c>
      <c r="H359" s="1" t="str">
        <f t="shared" si="68"/>
        <v>Female</v>
      </c>
      <c r="I359" s="1" t="s">
        <v>89</v>
      </c>
      <c r="J359" t="str">
        <f t="shared" si="69"/>
        <v>GERMANY</v>
      </c>
      <c r="K359" s="14">
        <v>0</v>
      </c>
      <c r="L359" s="1">
        <f t="shared" si="70"/>
        <v>19</v>
      </c>
      <c r="M359" s="1" t="str">
        <f t="shared" si="71"/>
        <v>Student</v>
      </c>
      <c r="N359" s="2">
        <v>45719</v>
      </c>
      <c r="O359" s="1" t="s">
        <v>58</v>
      </c>
      <c r="P359" s="1" t="s">
        <v>59</v>
      </c>
      <c r="Q359" s="4">
        <v>37</v>
      </c>
      <c r="R359" s="13">
        <f t="shared" si="72"/>
        <v>37</v>
      </c>
      <c r="S359" s="6">
        <f t="shared" si="66"/>
        <v>0.37</v>
      </c>
      <c r="T359" s="1">
        <v>1.5</v>
      </c>
      <c r="U359" s="1">
        <f t="shared" si="73"/>
        <v>1.5</v>
      </c>
      <c r="V359" s="1">
        <f t="shared" si="74"/>
        <v>26.349999999999998</v>
      </c>
      <c r="W359" s="10" t="str">
        <f t="shared" si="75"/>
        <v>Low</v>
      </c>
      <c r="X359" s="1" t="s">
        <v>22</v>
      </c>
      <c r="Y359" s="1" t="str">
        <f t="shared" si="76"/>
        <v>No</v>
      </c>
      <c r="Z359" s="14">
        <v>5</v>
      </c>
      <c r="AA359" s="18">
        <f t="shared" si="77"/>
        <v>5</v>
      </c>
      <c r="AB359" s="18" t="str">
        <f t="shared" si="78"/>
        <v>No</v>
      </c>
      <c r="AC359" s="9" t="s">
        <v>1463</v>
      </c>
      <c r="AD359">
        <f>IF(AC359="",0,LEN(AC359)-LEN(SUBSTITUTE(AC359,",",""))+1)</f>
        <v>5</v>
      </c>
    </row>
    <row r="360" spans="1:30" ht="12.5" x14ac:dyDescent="0.25">
      <c r="A360" s="1" t="s">
        <v>1464</v>
      </c>
      <c r="B360" s="1" t="s">
        <v>1465</v>
      </c>
      <c r="C360" s="1" t="str">
        <v>Luke Moore</v>
      </c>
      <c r="D360" s="1" t="s">
        <v>1466</v>
      </c>
      <c r="E360" s="1" t="str">
        <v>moraemma@vasquez.com</v>
      </c>
      <c r="F360" t="str">
        <f t="shared" si="67"/>
        <v>Valid</v>
      </c>
      <c r="G360" s="1" t="s">
        <v>27</v>
      </c>
      <c r="H360" s="1" t="str">
        <f t="shared" si="68"/>
        <v>Male</v>
      </c>
      <c r="I360" s="1" t="s">
        <v>44</v>
      </c>
      <c r="J360" t="str">
        <f t="shared" si="69"/>
        <v>CANADA</v>
      </c>
      <c r="K360" s="14">
        <v>0</v>
      </c>
      <c r="L360" s="1">
        <f t="shared" si="70"/>
        <v>19</v>
      </c>
      <c r="M360" s="1" t="str">
        <f t="shared" si="71"/>
        <v>Student</v>
      </c>
      <c r="N360" s="9">
        <v>45070</v>
      </c>
      <c r="O360" s="1" t="s">
        <v>146</v>
      </c>
      <c r="P360" s="1" t="s">
        <v>147</v>
      </c>
      <c r="Q360" s="4">
        <v>0.1</v>
      </c>
      <c r="R360" s="13">
        <f t="shared" si="72"/>
        <v>10</v>
      </c>
      <c r="S360" s="6">
        <f t="shared" si="66"/>
        <v>0.1</v>
      </c>
      <c r="T360" s="1" t="s">
        <v>64</v>
      </c>
      <c r="U360" s="1">
        <f t="shared" si="73"/>
        <v>2</v>
      </c>
      <c r="V360" s="1">
        <f t="shared" si="74"/>
        <v>7.6</v>
      </c>
      <c r="W360" s="10" t="str">
        <f t="shared" si="75"/>
        <v>Low</v>
      </c>
      <c r="X360" s="1" t="s">
        <v>32</v>
      </c>
      <c r="Y360" s="1" t="str">
        <f t="shared" si="76"/>
        <v>Yes</v>
      </c>
      <c r="Z360" s="14">
        <v>4</v>
      </c>
      <c r="AA360" s="18">
        <f t="shared" si="77"/>
        <v>4</v>
      </c>
      <c r="AB360" s="18" t="str">
        <f t="shared" si="78"/>
        <v>High Performer</v>
      </c>
      <c r="AC360" s="9" t="s">
        <v>1467</v>
      </c>
      <c r="AD360">
        <f>IF(AC360="",0,LEN(AC360)-LEN(SUBSTITUTE(AC360,",",""))+1)</f>
        <v>7</v>
      </c>
    </row>
    <row r="361" spans="1:30" ht="12.5" x14ac:dyDescent="0.25">
      <c r="A361" s="1" t="s">
        <v>1468</v>
      </c>
      <c r="B361" s="1" t="s">
        <v>1469</v>
      </c>
      <c r="C361" s="1" t="str">
        <v>Sierra Andrews</v>
      </c>
      <c r="D361" s="1" t="s">
        <v>1470</v>
      </c>
      <c r="E361" s="1" t="str">
        <v>wwhite@hotmail.com</v>
      </c>
      <c r="F361" t="str">
        <f t="shared" si="67"/>
        <v>Valid</v>
      </c>
      <c r="G361" s="1" t="s">
        <v>119</v>
      </c>
      <c r="H361" s="1" t="str">
        <f t="shared" si="68"/>
        <v>Female</v>
      </c>
      <c r="I361" s="1" t="s">
        <v>89</v>
      </c>
      <c r="J361" t="str">
        <f t="shared" si="69"/>
        <v>GERMANY</v>
      </c>
      <c r="K361" s="14">
        <v>28</v>
      </c>
      <c r="L361" s="1">
        <f t="shared" si="70"/>
        <v>28</v>
      </c>
      <c r="M361" s="1" t="str">
        <f t="shared" si="71"/>
        <v>Early Career</v>
      </c>
      <c r="N361" s="9">
        <v>45407</v>
      </c>
      <c r="O361" s="1" t="s">
        <v>158</v>
      </c>
      <c r="P361" s="1" t="s">
        <v>59</v>
      </c>
      <c r="Q361" s="4">
        <v>0.14000000000000001</v>
      </c>
      <c r="R361" s="13">
        <f t="shared" si="72"/>
        <v>14.000000000000002</v>
      </c>
      <c r="S361" s="6">
        <f t="shared" si="66"/>
        <v>0.14000000000000001</v>
      </c>
      <c r="T361" s="1" t="s">
        <v>21</v>
      </c>
      <c r="U361" s="1">
        <f t="shared" si="73"/>
        <v>1.5</v>
      </c>
      <c r="V361" s="1">
        <f t="shared" si="74"/>
        <v>10.25</v>
      </c>
      <c r="W361" s="10" t="str">
        <f t="shared" si="75"/>
        <v>Low</v>
      </c>
      <c r="X361" s="1">
        <v>1</v>
      </c>
      <c r="Y361" s="1" t="str">
        <f t="shared" si="76"/>
        <v>Yes</v>
      </c>
      <c r="AA361" s="18" t="str">
        <f t="shared" si="77"/>
        <v>Invalid</v>
      </c>
      <c r="AB361" s="18" t="str">
        <f t="shared" si="78"/>
        <v>High Performer</v>
      </c>
      <c r="AC361" s="9" t="s">
        <v>1471</v>
      </c>
      <c r="AD361">
        <f>IF(AC361="",0,LEN(AC361)-LEN(SUBSTITUTE(AC361,",",""))+1)</f>
        <v>2</v>
      </c>
    </row>
    <row r="362" spans="1:30" ht="12.5" x14ac:dyDescent="0.25">
      <c r="A362" s="1" t="s">
        <v>1472</v>
      </c>
      <c r="B362" s="1" t="s">
        <v>1473</v>
      </c>
      <c r="C362" s="1" t="str">
        <v>Joseph Henderson</v>
      </c>
      <c r="D362" s="1" t="s">
        <v>1474</v>
      </c>
      <c r="E362" s="1" t="str">
        <v>phillip27@wolfe.com</v>
      </c>
      <c r="F362" t="str">
        <f t="shared" si="67"/>
        <v>Valid</v>
      </c>
      <c r="G362" s="1" t="s">
        <v>109</v>
      </c>
      <c r="H362" s="1" t="str">
        <f t="shared" si="68"/>
        <v>Male</v>
      </c>
      <c r="I362" s="1" t="s">
        <v>28</v>
      </c>
      <c r="J362" t="str">
        <f t="shared" si="69"/>
        <v>INDIA</v>
      </c>
      <c r="K362" s="14">
        <v>33</v>
      </c>
      <c r="L362" s="1">
        <f t="shared" si="70"/>
        <v>33</v>
      </c>
      <c r="M362" s="1" t="str">
        <f t="shared" si="71"/>
        <v>Mid Career</v>
      </c>
      <c r="N362" s="9">
        <v>45093</v>
      </c>
      <c r="O362" s="1" t="s">
        <v>19</v>
      </c>
      <c r="P362" s="1" t="s">
        <v>20</v>
      </c>
      <c r="Q362" s="4">
        <v>0.91</v>
      </c>
      <c r="R362" s="13">
        <f t="shared" si="72"/>
        <v>91</v>
      </c>
      <c r="S362" s="6">
        <f t="shared" si="66"/>
        <v>0.91</v>
      </c>
      <c r="T362" s="1">
        <v>2</v>
      </c>
      <c r="U362" s="1">
        <f t="shared" si="73"/>
        <v>2</v>
      </c>
      <c r="V362" s="1">
        <f t="shared" si="74"/>
        <v>64.3</v>
      </c>
      <c r="W362" s="10" t="str">
        <f t="shared" si="75"/>
        <v>Medium</v>
      </c>
      <c r="X362" s="1" t="s">
        <v>32</v>
      </c>
      <c r="Y362" s="1" t="str">
        <f t="shared" si="76"/>
        <v>Yes</v>
      </c>
      <c r="Z362" s="14">
        <v>4</v>
      </c>
      <c r="AA362" s="18">
        <f t="shared" si="77"/>
        <v>4</v>
      </c>
      <c r="AB362" s="18" t="str">
        <f t="shared" si="78"/>
        <v>High Performer</v>
      </c>
      <c r="AC362" s="9" t="s">
        <v>1475</v>
      </c>
      <c r="AD362">
        <f>IF(AC362="",0,LEN(AC362)-LEN(SUBSTITUTE(AC362,",",""))+1)</f>
        <v>2</v>
      </c>
    </row>
    <row r="363" spans="1:30" ht="12.5" x14ac:dyDescent="0.25">
      <c r="A363" s="1" t="s">
        <v>1476</v>
      </c>
      <c r="B363" s="1" t="s">
        <v>1477</v>
      </c>
      <c r="C363" s="1" t="str">
        <v>Brian Ward</v>
      </c>
      <c r="D363" s="1" t="s">
        <v>1478</v>
      </c>
      <c r="E363" s="1" t="str">
        <v>amyyoung@yahoo.com</v>
      </c>
      <c r="F363" t="str">
        <f t="shared" si="67"/>
        <v>Valid</v>
      </c>
      <c r="G363" s="1" t="s">
        <v>95</v>
      </c>
      <c r="H363" s="1" t="str">
        <f t="shared" si="68"/>
        <v>Male</v>
      </c>
      <c r="I363" s="1" t="s">
        <v>44</v>
      </c>
      <c r="J363" t="str">
        <f t="shared" si="69"/>
        <v>CANADA</v>
      </c>
      <c r="L363" s="1">
        <f t="shared" si="70"/>
        <v>19</v>
      </c>
      <c r="M363" s="1" t="str">
        <f t="shared" si="71"/>
        <v>Student</v>
      </c>
      <c r="N363" s="2">
        <v>45994</v>
      </c>
      <c r="O363" s="1" t="s">
        <v>58</v>
      </c>
      <c r="P363" s="1" t="s">
        <v>59</v>
      </c>
      <c r="Q363" s="4">
        <v>42</v>
      </c>
      <c r="R363" s="13">
        <f t="shared" si="72"/>
        <v>42</v>
      </c>
      <c r="S363" s="6">
        <f t="shared" si="66"/>
        <v>0.42</v>
      </c>
      <c r="T363" s="1" t="s">
        <v>46</v>
      </c>
      <c r="U363" s="1">
        <f t="shared" si="73"/>
        <v>1</v>
      </c>
      <c r="V363" s="1">
        <f t="shared" si="74"/>
        <v>29.7</v>
      </c>
      <c r="W363" s="10" t="str">
        <f t="shared" si="75"/>
        <v>Low</v>
      </c>
      <c r="X363" s="1" t="s">
        <v>38</v>
      </c>
      <c r="Y363" s="1" t="str">
        <f t="shared" si="76"/>
        <v>No</v>
      </c>
      <c r="Z363" s="14">
        <v>1</v>
      </c>
      <c r="AA363" s="18">
        <f t="shared" si="77"/>
        <v>1</v>
      </c>
      <c r="AB363" s="18" t="str">
        <f t="shared" si="78"/>
        <v>No</v>
      </c>
      <c r="AC363" s="9" t="s">
        <v>1479</v>
      </c>
      <c r="AD363">
        <f>IF(AC363="",0,LEN(AC363)-LEN(SUBSTITUTE(AC363,",",""))+1)</f>
        <v>8</v>
      </c>
    </row>
    <row r="364" spans="1:30" ht="12.5" x14ac:dyDescent="0.25">
      <c r="A364" s="1" t="s">
        <v>1480</v>
      </c>
      <c r="B364" s="1" t="s">
        <v>1481</v>
      </c>
      <c r="C364" s="1" t="str">
        <v>Jason Goodwin</v>
      </c>
      <c r="D364" s="1" t="s">
        <v>1482</v>
      </c>
      <c r="E364" s="1" t="str">
        <v>lramirez@hotmail.com</v>
      </c>
      <c r="F364" t="str">
        <f t="shared" si="67"/>
        <v>Valid</v>
      </c>
      <c r="G364" s="1" t="s">
        <v>119</v>
      </c>
      <c r="H364" s="1" t="str">
        <f t="shared" si="68"/>
        <v>Female</v>
      </c>
      <c r="I364" s="1" t="s">
        <v>89</v>
      </c>
      <c r="J364" t="str">
        <f t="shared" si="69"/>
        <v>GERMANY</v>
      </c>
      <c r="K364" s="14">
        <v>41</v>
      </c>
      <c r="L364" s="1">
        <f t="shared" si="70"/>
        <v>41</v>
      </c>
      <c r="M364" s="1" t="str">
        <f t="shared" si="71"/>
        <v>Senior</v>
      </c>
      <c r="N364" s="9">
        <v>45610</v>
      </c>
      <c r="O364" s="1" t="s">
        <v>235</v>
      </c>
      <c r="P364" s="1" t="s">
        <v>147</v>
      </c>
      <c r="Q364" s="4">
        <v>15</v>
      </c>
      <c r="R364" s="13">
        <f t="shared" si="72"/>
        <v>15</v>
      </c>
      <c r="S364" s="6">
        <f t="shared" si="66"/>
        <v>0.15</v>
      </c>
      <c r="T364" s="1" t="s">
        <v>64</v>
      </c>
      <c r="U364" s="1">
        <f t="shared" si="73"/>
        <v>2</v>
      </c>
      <c r="V364" s="1">
        <f t="shared" si="74"/>
        <v>11.1</v>
      </c>
      <c r="W364" s="10" t="str">
        <f t="shared" si="75"/>
        <v>Low</v>
      </c>
      <c r="X364" s="1">
        <v>0</v>
      </c>
      <c r="Y364" s="1" t="str">
        <f t="shared" si="76"/>
        <v>No</v>
      </c>
      <c r="Z364" s="14">
        <v>6</v>
      </c>
      <c r="AA364" s="18">
        <f t="shared" si="77"/>
        <v>6</v>
      </c>
      <c r="AB364" s="18" t="str">
        <f t="shared" si="78"/>
        <v>No</v>
      </c>
      <c r="AC364" s="9" t="s">
        <v>1483</v>
      </c>
      <c r="AD364">
        <f>IF(AC364="",0,LEN(AC364)-LEN(SUBSTITUTE(AC364,",",""))+1)</f>
        <v>5</v>
      </c>
    </row>
    <row r="365" spans="1:30" ht="12.5" x14ac:dyDescent="0.25">
      <c r="A365" s="1" t="s">
        <v>1484</v>
      </c>
      <c r="B365" s="1" t="s">
        <v>1485</v>
      </c>
      <c r="C365" s="1" t="str">
        <v>Michelle Brock</v>
      </c>
      <c r="D365" s="1" t="s">
        <v>1486</v>
      </c>
      <c r="E365" s="1" t="str">
        <v>zgonzalez@hotmail.com</v>
      </c>
      <c r="F365" t="str">
        <f t="shared" si="67"/>
        <v>Valid</v>
      </c>
      <c r="G365" s="1" t="s">
        <v>17</v>
      </c>
      <c r="H365" s="1" t="str">
        <f t="shared" si="68"/>
        <v>Female</v>
      </c>
      <c r="I365" s="1" t="s">
        <v>44</v>
      </c>
      <c r="J365" t="str">
        <f t="shared" si="69"/>
        <v>CANADA</v>
      </c>
      <c r="K365" s="14">
        <v>0</v>
      </c>
      <c r="L365" s="1">
        <f t="shared" si="70"/>
        <v>19</v>
      </c>
      <c r="M365" s="1" t="str">
        <f t="shared" si="71"/>
        <v>Student</v>
      </c>
      <c r="N365" s="9">
        <v>44861</v>
      </c>
      <c r="O365" s="1" t="s">
        <v>45</v>
      </c>
      <c r="P365" s="1" t="s">
        <v>20</v>
      </c>
      <c r="Q365" s="4">
        <v>0.39</v>
      </c>
      <c r="R365" s="13">
        <f t="shared" si="72"/>
        <v>39</v>
      </c>
      <c r="S365" s="6">
        <f t="shared" si="66"/>
        <v>0.39</v>
      </c>
      <c r="T365" s="1" t="s">
        <v>64</v>
      </c>
      <c r="U365" s="1">
        <f t="shared" si="73"/>
        <v>2</v>
      </c>
      <c r="V365" s="1">
        <f t="shared" si="74"/>
        <v>27.9</v>
      </c>
      <c r="W365" s="10" t="str">
        <f t="shared" si="75"/>
        <v>Low</v>
      </c>
      <c r="X365" s="1" t="s">
        <v>32</v>
      </c>
      <c r="Y365" s="1" t="str">
        <f t="shared" si="76"/>
        <v>Yes</v>
      </c>
      <c r="Z365" s="14">
        <v>3</v>
      </c>
      <c r="AA365" s="18">
        <f t="shared" si="77"/>
        <v>3</v>
      </c>
      <c r="AB365" s="18" t="str">
        <f t="shared" si="78"/>
        <v>No</v>
      </c>
      <c r="AC365" s="9" t="s">
        <v>1487</v>
      </c>
      <c r="AD365">
        <f>IF(AC365="",0,LEN(AC365)-LEN(SUBSTITUTE(AC365,",",""))+1)</f>
        <v>4</v>
      </c>
    </row>
    <row r="366" spans="1:30" ht="12.5" x14ac:dyDescent="0.25">
      <c r="A366" s="1" t="s">
        <v>1488</v>
      </c>
      <c r="B366" s="1" t="s">
        <v>1489</v>
      </c>
      <c r="C366" s="1" t="str">
        <v>Chad Barry</v>
      </c>
      <c r="D366" s="1" t="s">
        <v>1490</v>
      </c>
      <c r="E366" s="1" t="str">
        <v>jevans@hotmail.com</v>
      </c>
      <c r="F366" t="str">
        <f t="shared" si="67"/>
        <v>Valid</v>
      </c>
      <c r="G366" s="1" t="s">
        <v>17</v>
      </c>
      <c r="H366" s="1" t="str">
        <f t="shared" si="68"/>
        <v>Female</v>
      </c>
      <c r="I366" s="1" t="s">
        <v>18</v>
      </c>
      <c r="J366" t="str">
        <f t="shared" si="69"/>
        <v>US</v>
      </c>
      <c r="K366" s="14">
        <v>43</v>
      </c>
      <c r="L366" s="1">
        <f t="shared" si="70"/>
        <v>43</v>
      </c>
      <c r="M366" s="1" t="str">
        <f t="shared" si="71"/>
        <v>Senior</v>
      </c>
      <c r="N366" s="9">
        <v>44890</v>
      </c>
      <c r="O366" s="1" t="s">
        <v>45</v>
      </c>
      <c r="P366" s="1" t="s">
        <v>20</v>
      </c>
      <c r="Q366" s="4">
        <v>0.55000000000000004</v>
      </c>
      <c r="R366" s="13">
        <f t="shared" si="72"/>
        <v>55.000000000000007</v>
      </c>
      <c r="S366" s="6">
        <f t="shared" si="66"/>
        <v>0.55000000000000004</v>
      </c>
      <c r="T366" s="1">
        <v>1.5</v>
      </c>
      <c r="U366" s="1">
        <f t="shared" si="73"/>
        <v>1.5</v>
      </c>
      <c r="V366" s="1">
        <f t="shared" si="74"/>
        <v>38.950000000000003</v>
      </c>
      <c r="W366" s="10" t="str">
        <f t="shared" si="75"/>
        <v>Low</v>
      </c>
      <c r="X366" s="1" t="s">
        <v>76</v>
      </c>
      <c r="Y366" s="1" t="str">
        <f t="shared" si="76"/>
        <v>Yes</v>
      </c>
      <c r="Z366" s="14">
        <v>3</v>
      </c>
      <c r="AA366" s="18">
        <f t="shared" si="77"/>
        <v>3</v>
      </c>
      <c r="AB366" s="18" t="str">
        <f t="shared" si="78"/>
        <v>No</v>
      </c>
      <c r="AC366" s="9" t="s">
        <v>1491</v>
      </c>
      <c r="AD366">
        <f>IF(AC366="",0,LEN(AC366)-LEN(SUBSTITUTE(AC366,",",""))+1)</f>
        <v>4</v>
      </c>
    </row>
    <row r="367" spans="1:30" ht="12.5" x14ac:dyDescent="0.25">
      <c r="A367" s="1" t="s">
        <v>1492</v>
      </c>
      <c r="B367" s="1" t="s">
        <v>1493</v>
      </c>
      <c r="C367" s="1" t="str">
        <v>Robert Woods</v>
      </c>
      <c r="D367" s="1" t="s">
        <v>1494</v>
      </c>
      <c r="E367" s="1" t="str">
        <v>qgarner@ward-grant.com</v>
      </c>
      <c r="F367" t="str">
        <f t="shared" si="67"/>
        <v>Valid</v>
      </c>
      <c r="G367" s="1" t="s">
        <v>17</v>
      </c>
      <c r="H367" s="1" t="str">
        <f t="shared" si="68"/>
        <v>Female</v>
      </c>
      <c r="I367" s="1" t="s">
        <v>156</v>
      </c>
      <c r="J367" t="str">
        <f t="shared" si="69"/>
        <v>IN</v>
      </c>
      <c r="K367" s="14">
        <v>0</v>
      </c>
      <c r="L367" s="1">
        <f t="shared" si="70"/>
        <v>19</v>
      </c>
      <c r="M367" s="1" t="str">
        <f t="shared" si="71"/>
        <v>Student</v>
      </c>
      <c r="N367" s="9">
        <v>44732</v>
      </c>
      <c r="O367" s="1" t="s">
        <v>30</v>
      </c>
      <c r="P367" s="1" t="s">
        <v>31</v>
      </c>
      <c r="Q367" s="4">
        <v>0.47</v>
      </c>
      <c r="R367" s="13">
        <f t="shared" si="72"/>
        <v>47</v>
      </c>
      <c r="S367" s="6">
        <f t="shared" si="66"/>
        <v>0.47</v>
      </c>
      <c r="T367" s="1" t="s">
        <v>46</v>
      </c>
      <c r="U367" s="1">
        <f t="shared" si="73"/>
        <v>1</v>
      </c>
      <c r="V367" s="1">
        <f t="shared" si="74"/>
        <v>33.199999999999996</v>
      </c>
      <c r="W367" s="10" t="str">
        <f t="shared" si="75"/>
        <v>Low</v>
      </c>
      <c r="X367" s="1" t="s">
        <v>32</v>
      </c>
      <c r="Y367" s="1" t="str">
        <f t="shared" si="76"/>
        <v>Yes</v>
      </c>
      <c r="Z367" s="14">
        <v>6</v>
      </c>
      <c r="AA367" s="18">
        <f t="shared" si="77"/>
        <v>6</v>
      </c>
      <c r="AB367" s="18" t="str">
        <f t="shared" si="78"/>
        <v>High Performer</v>
      </c>
      <c r="AC367" s="9" t="s">
        <v>1495</v>
      </c>
      <c r="AD367">
        <f>IF(AC367="",0,LEN(AC367)-LEN(SUBSTITUTE(AC367,",",""))+1)</f>
        <v>8</v>
      </c>
    </row>
    <row r="368" spans="1:30" ht="12.5" x14ac:dyDescent="0.25">
      <c r="A368" s="1" t="s">
        <v>1496</v>
      </c>
      <c r="B368" s="1" t="s">
        <v>1497</v>
      </c>
      <c r="C368" s="1" t="str">
        <v>Tracey Gonzalez</v>
      </c>
      <c r="D368" s="1" t="s">
        <v>1498</v>
      </c>
      <c r="E368" s="1" t="str">
        <v>michael87@griffin.info</v>
      </c>
      <c r="F368" t="str">
        <f t="shared" si="67"/>
        <v>Valid</v>
      </c>
      <c r="G368" s="1" t="s">
        <v>119</v>
      </c>
      <c r="H368" s="1" t="str">
        <f t="shared" si="68"/>
        <v>Female</v>
      </c>
      <c r="I368" s="1" t="s">
        <v>89</v>
      </c>
      <c r="J368" t="str">
        <f t="shared" si="69"/>
        <v>GERMANY</v>
      </c>
      <c r="K368" s="14">
        <v>0</v>
      </c>
      <c r="L368" s="1">
        <f t="shared" si="70"/>
        <v>19</v>
      </c>
      <c r="M368" s="1" t="str">
        <f t="shared" si="71"/>
        <v>Student</v>
      </c>
      <c r="N368" s="9">
        <v>45192</v>
      </c>
      <c r="O368" s="1" t="s">
        <v>146</v>
      </c>
      <c r="P368" s="1" t="s">
        <v>147</v>
      </c>
      <c r="Q368" s="4">
        <v>0.4</v>
      </c>
      <c r="R368" s="13">
        <f t="shared" si="72"/>
        <v>40</v>
      </c>
      <c r="S368" s="6">
        <f t="shared" si="66"/>
        <v>0.4</v>
      </c>
      <c r="T368" s="1" t="s">
        <v>21</v>
      </c>
      <c r="U368" s="1">
        <f t="shared" si="73"/>
        <v>1.5</v>
      </c>
      <c r="V368" s="1">
        <f t="shared" si="74"/>
        <v>28.45</v>
      </c>
      <c r="W368" s="10" t="str">
        <f t="shared" si="75"/>
        <v>Low</v>
      </c>
      <c r="X368" s="1">
        <v>0</v>
      </c>
      <c r="Y368" s="1" t="str">
        <f t="shared" si="76"/>
        <v>No</v>
      </c>
      <c r="Z368" s="14">
        <v>5</v>
      </c>
      <c r="AA368" s="18">
        <f t="shared" si="77"/>
        <v>5</v>
      </c>
      <c r="AB368" s="18" t="str">
        <f t="shared" si="78"/>
        <v>No</v>
      </c>
      <c r="AC368" s="9" t="s">
        <v>1499</v>
      </c>
      <c r="AD368">
        <f>IF(AC368="",0,LEN(AC368)-LEN(SUBSTITUTE(AC368,",",""))+1)</f>
        <v>2</v>
      </c>
    </row>
    <row r="369" spans="1:30" ht="12.5" x14ac:dyDescent="0.25">
      <c r="A369" s="1" t="s">
        <v>1500</v>
      </c>
      <c r="B369" s="1" t="s">
        <v>1501</v>
      </c>
      <c r="C369" s="1" t="str">
        <v>Tanya Fisher</v>
      </c>
      <c r="D369" s="1" t="s">
        <v>1502</v>
      </c>
      <c r="E369" s="1" t="str">
        <v>millermatthew@yahoo.com</v>
      </c>
      <c r="F369" t="str">
        <f t="shared" si="67"/>
        <v>Valid</v>
      </c>
      <c r="G369" s="1" t="s">
        <v>109</v>
      </c>
      <c r="H369" s="1" t="str">
        <f t="shared" si="68"/>
        <v>Male</v>
      </c>
      <c r="I369" s="1" t="s">
        <v>96</v>
      </c>
      <c r="J369" t="str">
        <f t="shared" si="69"/>
        <v>INDIA</v>
      </c>
      <c r="L369" s="1">
        <f t="shared" si="70"/>
        <v>19</v>
      </c>
      <c r="M369" s="1" t="str">
        <f t="shared" si="71"/>
        <v>Student</v>
      </c>
      <c r="N369" s="9">
        <v>45639</v>
      </c>
      <c r="O369" s="1" t="s">
        <v>170</v>
      </c>
      <c r="P369" s="1" t="s">
        <v>147</v>
      </c>
      <c r="Q369" s="4">
        <v>71</v>
      </c>
      <c r="R369" s="13">
        <f t="shared" si="72"/>
        <v>71</v>
      </c>
      <c r="S369" s="6">
        <f t="shared" si="66"/>
        <v>0.71</v>
      </c>
      <c r="T369" s="1" t="s">
        <v>64</v>
      </c>
      <c r="U369" s="1">
        <f t="shared" si="73"/>
        <v>2</v>
      </c>
      <c r="V369" s="1">
        <f t="shared" si="74"/>
        <v>50.3</v>
      </c>
      <c r="W369" s="10" t="str">
        <f t="shared" si="75"/>
        <v>Medium</v>
      </c>
      <c r="X369" s="1" t="s">
        <v>32</v>
      </c>
      <c r="Y369" s="1" t="str">
        <f t="shared" si="76"/>
        <v>Yes</v>
      </c>
      <c r="Z369" s="14">
        <v>3</v>
      </c>
      <c r="AA369" s="18">
        <f t="shared" si="77"/>
        <v>3</v>
      </c>
      <c r="AB369" s="18" t="str">
        <f t="shared" si="78"/>
        <v>No</v>
      </c>
      <c r="AC369" s="9" t="s">
        <v>1503</v>
      </c>
      <c r="AD369">
        <f>IF(AC369="",0,LEN(AC369)-LEN(SUBSTITUTE(AC369,",",""))+1)</f>
        <v>1</v>
      </c>
    </row>
    <row r="370" spans="1:30" ht="12.5" x14ac:dyDescent="0.25">
      <c r="A370" s="1" t="s">
        <v>1504</v>
      </c>
      <c r="B370" s="1" t="s">
        <v>1505</v>
      </c>
      <c r="C370" s="1" t="str">
        <v>Jennifer Barron</v>
      </c>
      <c r="D370" s="1" t="s">
        <v>1506</v>
      </c>
      <c r="E370" s="1" t="str">
        <v>lgutierrez@gmail.com</v>
      </c>
      <c r="F370" t="str">
        <f t="shared" si="67"/>
        <v>Valid</v>
      </c>
      <c r="G370" s="1" t="s">
        <v>119</v>
      </c>
      <c r="H370" s="1" t="str">
        <f t="shared" si="68"/>
        <v>Female</v>
      </c>
      <c r="I370" s="1" t="s">
        <v>28</v>
      </c>
      <c r="J370" t="str">
        <f t="shared" si="69"/>
        <v>INDIA</v>
      </c>
      <c r="K370" s="14">
        <v>0</v>
      </c>
      <c r="L370" s="1">
        <f t="shared" si="70"/>
        <v>19</v>
      </c>
      <c r="M370" s="1" t="str">
        <f t="shared" si="71"/>
        <v>Student</v>
      </c>
      <c r="N370" s="2">
        <v>45268</v>
      </c>
      <c r="O370" s="1" t="s">
        <v>30</v>
      </c>
      <c r="P370" s="1" t="s">
        <v>31</v>
      </c>
      <c r="Q370" s="4">
        <v>0.56999999999999995</v>
      </c>
      <c r="R370" s="13">
        <f t="shared" si="72"/>
        <v>56.999999999999993</v>
      </c>
      <c r="S370" s="6">
        <f t="shared" si="66"/>
        <v>0.56999999999999995</v>
      </c>
      <c r="T370" s="1">
        <v>1.5</v>
      </c>
      <c r="U370" s="1">
        <f t="shared" si="73"/>
        <v>1.5</v>
      </c>
      <c r="V370" s="1">
        <f t="shared" si="74"/>
        <v>40.349999999999994</v>
      </c>
      <c r="W370" s="10" t="str">
        <f t="shared" si="75"/>
        <v>Low</v>
      </c>
      <c r="X370" s="1">
        <v>0</v>
      </c>
      <c r="Y370" s="1" t="str">
        <f t="shared" si="76"/>
        <v>No</v>
      </c>
      <c r="Z370" s="14">
        <v>3</v>
      </c>
      <c r="AA370" s="18">
        <f t="shared" si="77"/>
        <v>3</v>
      </c>
      <c r="AB370" s="18" t="str">
        <f t="shared" si="78"/>
        <v>No</v>
      </c>
      <c r="AC370" s="9" t="s">
        <v>1507</v>
      </c>
      <c r="AD370">
        <f>IF(AC370="",0,LEN(AC370)-LEN(SUBSTITUTE(AC370,",",""))+1)</f>
        <v>3</v>
      </c>
    </row>
    <row r="371" spans="1:30" ht="12.5" x14ac:dyDescent="0.25">
      <c r="A371" s="1" t="s">
        <v>1508</v>
      </c>
      <c r="B371" s="1" t="s">
        <v>1509</v>
      </c>
      <c r="C371" s="1" t="str">
        <v>Mercedes Miller</v>
      </c>
      <c r="D371" s="1" t="s">
        <v>1510</v>
      </c>
      <c r="E371" s="1" t="str">
        <v>egarcia@kelley-johnson.biz</v>
      </c>
      <c r="F371" t="str">
        <f t="shared" si="67"/>
        <v>Valid</v>
      </c>
      <c r="G371" s="1" t="s">
        <v>88</v>
      </c>
      <c r="H371" s="1" t="str">
        <f t="shared" si="68"/>
        <v>Male</v>
      </c>
      <c r="I371" s="1" t="s">
        <v>89</v>
      </c>
      <c r="J371" t="str">
        <f t="shared" si="69"/>
        <v>GERMANY</v>
      </c>
      <c r="K371" s="14">
        <v>0</v>
      </c>
      <c r="L371" s="1">
        <f t="shared" si="70"/>
        <v>19</v>
      </c>
      <c r="M371" s="1" t="str">
        <f t="shared" si="71"/>
        <v>Student</v>
      </c>
      <c r="N371" s="9">
        <v>44852</v>
      </c>
      <c r="O371" s="1" t="s">
        <v>235</v>
      </c>
      <c r="P371" s="1" t="s">
        <v>147</v>
      </c>
      <c r="Q371" s="4">
        <v>0.92</v>
      </c>
      <c r="R371" s="13">
        <f t="shared" si="72"/>
        <v>92</v>
      </c>
      <c r="S371" s="6">
        <f t="shared" si="66"/>
        <v>0.92</v>
      </c>
      <c r="T371" s="1">
        <v>45</v>
      </c>
      <c r="U371" s="1">
        <f t="shared" si="73"/>
        <v>45</v>
      </c>
      <c r="V371" s="1">
        <f t="shared" si="74"/>
        <v>77.899999999999991</v>
      </c>
      <c r="W371" s="10" t="str">
        <f t="shared" si="75"/>
        <v>High</v>
      </c>
      <c r="X371" s="1">
        <v>1</v>
      </c>
      <c r="Y371" s="1" t="str">
        <f t="shared" si="76"/>
        <v>Yes</v>
      </c>
      <c r="Z371" s="14">
        <v>1</v>
      </c>
      <c r="AA371" s="18">
        <f t="shared" si="77"/>
        <v>1</v>
      </c>
      <c r="AB371" s="18" t="str">
        <f t="shared" si="78"/>
        <v>No</v>
      </c>
      <c r="AC371" s="9" t="s">
        <v>1511</v>
      </c>
      <c r="AD371">
        <f>IF(AC371="",0,LEN(AC371)-LEN(SUBSTITUTE(AC371,",",""))+1)</f>
        <v>6</v>
      </c>
    </row>
    <row r="372" spans="1:30" ht="12.5" x14ac:dyDescent="0.25">
      <c r="A372" s="1" t="s">
        <v>1512</v>
      </c>
      <c r="B372" s="1" t="s">
        <v>1513</v>
      </c>
      <c r="C372" s="1" t="str">
        <v>Christopher Pena</v>
      </c>
      <c r="D372" s="1" t="s">
        <v>1514</v>
      </c>
      <c r="E372" s="1" t="str">
        <v>jerome47@hotmail.com</v>
      </c>
      <c r="F372" t="str">
        <f t="shared" si="67"/>
        <v>Valid</v>
      </c>
      <c r="G372" s="1" t="s">
        <v>95</v>
      </c>
      <c r="H372" s="1" t="str">
        <f t="shared" si="68"/>
        <v>Male</v>
      </c>
      <c r="I372" s="1" t="s">
        <v>51</v>
      </c>
      <c r="J372" t="str">
        <f t="shared" si="69"/>
        <v>UK</v>
      </c>
      <c r="K372" s="14">
        <v>23</v>
      </c>
      <c r="L372" s="1">
        <f t="shared" si="70"/>
        <v>23</v>
      </c>
      <c r="M372" s="1" t="str">
        <f t="shared" si="71"/>
        <v>Early Career</v>
      </c>
      <c r="N372" s="9">
        <v>45471</v>
      </c>
      <c r="O372" s="1" t="s">
        <v>146</v>
      </c>
      <c r="P372" s="1" t="s">
        <v>147</v>
      </c>
      <c r="Q372" s="4">
        <v>0.41</v>
      </c>
      <c r="R372" s="13">
        <f t="shared" si="72"/>
        <v>41</v>
      </c>
      <c r="S372" s="6">
        <f t="shared" si="66"/>
        <v>0.41</v>
      </c>
      <c r="T372" s="1">
        <v>2</v>
      </c>
      <c r="U372" s="1">
        <f t="shared" si="73"/>
        <v>2</v>
      </c>
      <c r="V372" s="1">
        <f t="shared" si="74"/>
        <v>29.3</v>
      </c>
      <c r="W372" s="10" t="str">
        <f t="shared" si="75"/>
        <v>Low</v>
      </c>
      <c r="X372" s="1" t="s">
        <v>38</v>
      </c>
      <c r="Y372" s="1" t="str">
        <f t="shared" si="76"/>
        <v>No</v>
      </c>
      <c r="Z372" s="14">
        <v>1</v>
      </c>
      <c r="AA372" s="18">
        <f t="shared" si="77"/>
        <v>1</v>
      </c>
      <c r="AB372" s="18" t="str">
        <f t="shared" si="78"/>
        <v>No</v>
      </c>
      <c r="AC372" s="9" t="s">
        <v>1515</v>
      </c>
      <c r="AD372">
        <f>IF(AC372="",0,LEN(AC372)-LEN(SUBSTITUTE(AC372,",",""))+1)</f>
        <v>5</v>
      </c>
    </row>
    <row r="373" spans="1:30" ht="12.5" x14ac:dyDescent="0.25">
      <c r="A373" s="1" t="s">
        <v>1516</v>
      </c>
      <c r="B373" s="1" t="s">
        <v>1517</v>
      </c>
      <c r="C373" s="1" t="str">
        <v>Matthew Dalton</v>
      </c>
      <c r="D373" s="1" t="s">
        <v>1518</v>
      </c>
      <c r="E373" s="1" t="str">
        <v>imcdonald@yahoo.com</v>
      </c>
      <c r="F373" t="str">
        <f t="shared" si="67"/>
        <v>Valid</v>
      </c>
      <c r="G373" s="1" t="s">
        <v>27</v>
      </c>
      <c r="H373" s="1" t="str">
        <f t="shared" si="68"/>
        <v>Male</v>
      </c>
      <c r="I373" s="1" t="s">
        <v>28</v>
      </c>
      <c r="J373" t="str">
        <f t="shared" si="69"/>
        <v>INDIA</v>
      </c>
      <c r="K373" s="14">
        <v>29</v>
      </c>
      <c r="L373" s="1">
        <f t="shared" si="70"/>
        <v>29</v>
      </c>
      <c r="M373" s="1" t="str">
        <f t="shared" si="71"/>
        <v>Early Career</v>
      </c>
      <c r="N373" s="9">
        <v>44854</v>
      </c>
      <c r="O373" s="1" t="s">
        <v>235</v>
      </c>
      <c r="P373" s="1" t="s">
        <v>147</v>
      </c>
      <c r="Q373" s="4">
        <v>0.49</v>
      </c>
      <c r="R373" s="13">
        <f t="shared" si="72"/>
        <v>49</v>
      </c>
      <c r="S373" s="6">
        <f t="shared" si="66"/>
        <v>0.49</v>
      </c>
      <c r="T373" s="1">
        <v>45</v>
      </c>
      <c r="U373" s="1">
        <f t="shared" si="73"/>
        <v>45</v>
      </c>
      <c r="V373" s="1">
        <f t="shared" si="74"/>
        <v>47.8</v>
      </c>
      <c r="W373" s="10" t="str">
        <f t="shared" si="75"/>
        <v>Medium</v>
      </c>
      <c r="X373" s="1" t="s">
        <v>76</v>
      </c>
      <c r="Y373" s="1" t="str">
        <f t="shared" si="76"/>
        <v>Yes</v>
      </c>
      <c r="AA373" s="18" t="str">
        <f t="shared" si="77"/>
        <v>Invalid</v>
      </c>
      <c r="AB373" s="18" t="str">
        <f t="shared" si="78"/>
        <v>High Performer</v>
      </c>
      <c r="AC373" s="9" t="s">
        <v>1519</v>
      </c>
      <c r="AD373">
        <f>IF(AC373="",0,LEN(AC373)-LEN(SUBSTITUTE(AC373,",",""))+1)</f>
        <v>1</v>
      </c>
    </row>
    <row r="374" spans="1:30" ht="12.5" x14ac:dyDescent="0.25">
      <c r="A374" s="1" t="s">
        <v>1520</v>
      </c>
      <c r="B374" s="1" t="s">
        <v>1521</v>
      </c>
      <c r="C374" s="1" t="str">
        <v>Cassandra Harper</v>
      </c>
      <c r="D374" s="1" t="s">
        <v>1522</v>
      </c>
      <c r="E374" s="1" t="str">
        <v>regina78@gmail.com</v>
      </c>
      <c r="F374" t="str">
        <f t="shared" si="67"/>
        <v>Valid</v>
      </c>
      <c r="G374" s="1" t="s">
        <v>88</v>
      </c>
      <c r="H374" s="1" t="str">
        <f t="shared" si="68"/>
        <v>Male</v>
      </c>
      <c r="I374" s="1" t="s">
        <v>156</v>
      </c>
      <c r="J374" t="str">
        <f t="shared" si="69"/>
        <v>IN</v>
      </c>
      <c r="K374" s="14">
        <v>0</v>
      </c>
      <c r="L374" s="1">
        <f t="shared" si="70"/>
        <v>19</v>
      </c>
      <c r="M374" s="1" t="str">
        <f t="shared" si="71"/>
        <v>Student</v>
      </c>
      <c r="N374" s="2">
        <v>45451</v>
      </c>
      <c r="O374" s="1" t="s">
        <v>19</v>
      </c>
      <c r="P374" s="1" t="s">
        <v>20</v>
      </c>
      <c r="Q374" s="4">
        <v>0.81</v>
      </c>
      <c r="R374" s="13">
        <f t="shared" si="72"/>
        <v>81</v>
      </c>
      <c r="S374" s="6">
        <f t="shared" si="66"/>
        <v>0.81</v>
      </c>
      <c r="T374" s="1">
        <v>1.5</v>
      </c>
      <c r="U374" s="1">
        <f t="shared" si="73"/>
        <v>1.5</v>
      </c>
      <c r="V374" s="1">
        <f t="shared" si="74"/>
        <v>57.15</v>
      </c>
      <c r="W374" s="10" t="str">
        <f t="shared" si="75"/>
        <v>Medium</v>
      </c>
      <c r="X374" s="1">
        <v>1</v>
      </c>
      <c r="Y374" s="1" t="str">
        <f t="shared" si="76"/>
        <v>Yes</v>
      </c>
      <c r="Z374" s="14">
        <v>1</v>
      </c>
      <c r="AA374" s="18">
        <f t="shared" si="77"/>
        <v>1</v>
      </c>
      <c r="AB374" s="18" t="str">
        <f t="shared" si="78"/>
        <v>No</v>
      </c>
      <c r="AC374" s="9" t="s">
        <v>1523</v>
      </c>
      <c r="AD374">
        <f>IF(AC374="",0,LEN(AC374)-LEN(SUBSTITUTE(AC374,",",""))+1)</f>
        <v>8</v>
      </c>
    </row>
    <row r="375" spans="1:30" ht="12.5" x14ac:dyDescent="0.25">
      <c r="A375" s="1" t="s">
        <v>1524</v>
      </c>
      <c r="B375" s="1" t="s">
        <v>1525</v>
      </c>
      <c r="C375" s="1" t="str">
        <v>Eric Smith</v>
      </c>
      <c r="D375" s="1" t="s">
        <v>1526</v>
      </c>
      <c r="E375" s="1" t="str">
        <v>justin80@weeks.com</v>
      </c>
      <c r="F375" t="str">
        <f t="shared" si="67"/>
        <v>Valid</v>
      </c>
      <c r="G375" s="1" t="s">
        <v>17</v>
      </c>
      <c r="H375" s="1" t="str">
        <f t="shared" si="68"/>
        <v>Female</v>
      </c>
      <c r="I375" s="1" t="s">
        <v>74</v>
      </c>
      <c r="J375" t="str">
        <f t="shared" si="69"/>
        <v>USA</v>
      </c>
      <c r="K375" s="14">
        <v>41</v>
      </c>
      <c r="L375" s="1">
        <f t="shared" si="70"/>
        <v>41</v>
      </c>
      <c r="M375" s="1" t="str">
        <f t="shared" si="71"/>
        <v>Senior</v>
      </c>
      <c r="N375" s="9">
        <v>44797</v>
      </c>
      <c r="O375" s="1" t="s">
        <v>75</v>
      </c>
      <c r="P375" s="1" t="s">
        <v>37</v>
      </c>
      <c r="Q375" s="4">
        <v>0.38</v>
      </c>
      <c r="R375" s="13">
        <f t="shared" si="72"/>
        <v>38</v>
      </c>
      <c r="S375" s="6">
        <f t="shared" si="66"/>
        <v>0.38</v>
      </c>
      <c r="T375" s="1" t="s">
        <v>46</v>
      </c>
      <c r="U375" s="1">
        <f t="shared" si="73"/>
        <v>1</v>
      </c>
      <c r="V375" s="1">
        <f t="shared" si="74"/>
        <v>26.9</v>
      </c>
      <c r="W375" s="10" t="str">
        <f t="shared" si="75"/>
        <v>Low</v>
      </c>
      <c r="X375" s="1" t="s">
        <v>22</v>
      </c>
      <c r="Y375" s="1" t="str">
        <f t="shared" si="76"/>
        <v>No</v>
      </c>
      <c r="Z375" s="14">
        <v>1</v>
      </c>
      <c r="AA375" s="18">
        <f t="shared" si="77"/>
        <v>1</v>
      </c>
      <c r="AB375" s="18" t="str">
        <f t="shared" si="78"/>
        <v>No</v>
      </c>
      <c r="AC375" s="9" t="s">
        <v>1527</v>
      </c>
      <c r="AD375">
        <f>IF(AC375="",0,LEN(AC375)-LEN(SUBSTITUTE(AC375,",",""))+1)</f>
        <v>1</v>
      </c>
    </row>
    <row r="376" spans="1:30" ht="12.5" x14ac:dyDescent="0.25">
      <c r="A376" s="1" t="s">
        <v>1528</v>
      </c>
      <c r="B376" s="1" t="s">
        <v>1529</v>
      </c>
      <c r="C376" s="1" t="str">
        <v>Kimberly Lopez</v>
      </c>
      <c r="D376" s="1" t="s">
        <v>1530</v>
      </c>
      <c r="E376" s="1" t="str">
        <v>twright@hotmail.com</v>
      </c>
      <c r="F376" t="str">
        <f t="shared" si="67"/>
        <v>Valid</v>
      </c>
      <c r="G376" s="1" t="s">
        <v>17</v>
      </c>
      <c r="H376" s="1" t="str">
        <f t="shared" si="68"/>
        <v>Female</v>
      </c>
      <c r="I376" s="1" t="s">
        <v>156</v>
      </c>
      <c r="J376" t="str">
        <f t="shared" si="69"/>
        <v>IN</v>
      </c>
      <c r="L376" s="1">
        <f t="shared" si="70"/>
        <v>19</v>
      </c>
      <c r="M376" s="1" t="str">
        <f t="shared" si="71"/>
        <v>Student</v>
      </c>
      <c r="N376" s="2">
        <v>45384</v>
      </c>
      <c r="O376" s="1" t="s">
        <v>146</v>
      </c>
      <c r="P376" s="1" t="s">
        <v>147</v>
      </c>
      <c r="Q376" s="4">
        <v>0.22</v>
      </c>
      <c r="R376" s="13">
        <f t="shared" si="72"/>
        <v>22</v>
      </c>
      <c r="S376" s="6">
        <f t="shared" si="66"/>
        <v>0.22</v>
      </c>
      <c r="T376" s="1">
        <v>45</v>
      </c>
      <c r="U376" s="1">
        <f t="shared" si="73"/>
        <v>45</v>
      </c>
      <c r="V376" s="1">
        <f t="shared" si="74"/>
        <v>28.9</v>
      </c>
      <c r="W376" s="10" t="str">
        <f t="shared" si="75"/>
        <v>Low</v>
      </c>
      <c r="X376" s="1" t="s">
        <v>38</v>
      </c>
      <c r="Y376" s="1" t="str">
        <f t="shared" si="76"/>
        <v>No</v>
      </c>
      <c r="Z376" s="14">
        <v>5</v>
      </c>
      <c r="AA376" s="18">
        <f t="shared" si="77"/>
        <v>5</v>
      </c>
      <c r="AB376" s="18" t="str">
        <f t="shared" si="78"/>
        <v>No</v>
      </c>
      <c r="AC376" s="9" t="s">
        <v>1531</v>
      </c>
      <c r="AD376">
        <f>IF(AC376="",0,LEN(AC376)-LEN(SUBSTITUTE(AC376,",",""))+1)</f>
        <v>4</v>
      </c>
    </row>
    <row r="377" spans="1:30" ht="12.5" x14ac:dyDescent="0.25">
      <c r="A377" s="1" t="s">
        <v>1532</v>
      </c>
      <c r="B377" s="1" t="s">
        <v>1533</v>
      </c>
      <c r="C377" s="1" t="str">
        <v>Jay Allen</v>
      </c>
      <c r="D377" s="1" t="s">
        <v>1534</v>
      </c>
      <c r="E377" s="1" t="str">
        <v>deborah84@yahoo.com</v>
      </c>
      <c r="F377" t="str">
        <f t="shared" si="67"/>
        <v>Valid</v>
      </c>
      <c r="G377" s="1" t="s">
        <v>119</v>
      </c>
      <c r="H377" s="1" t="str">
        <f t="shared" si="68"/>
        <v>Female</v>
      </c>
      <c r="I377" s="1" t="s">
        <v>156</v>
      </c>
      <c r="J377" t="str">
        <f t="shared" si="69"/>
        <v>IN</v>
      </c>
      <c r="K377" s="14">
        <v>0</v>
      </c>
      <c r="L377" s="1">
        <f t="shared" si="70"/>
        <v>19</v>
      </c>
      <c r="M377" s="1" t="str">
        <f t="shared" si="71"/>
        <v>Student</v>
      </c>
      <c r="N377" s="2">
        <v>45748</v>
      </c>
      <c r="O377" s="1" t="s">
        <v>19</v>
      </c>
      <c r="P377" s="1" t="s">
        <v>20</v>
      </c>
      <c r="Q377" s="4">
        <v>0.43</v>
      </c>
      <c r="R377" s="13">
        <f t="shared" si="72"/>
        <v>43</v>
      </c>
      <c r="S377" s="6">
        <f t="shared" si="66"/>
        <v>0.43</v>
      </c>
      <c r="T377" s="1">
        <v>45</v>
      </c>
      <c r="U377" s="1">
        <f t="shared" si="73"/>
        <v>45</v>
      </c>
      <c r="V377" s="1">
        <f t="shared" si="74"/>
        <v>43.599999999999994</v>
      </c>
      <c r="W377" s="10" t="str">
        <f t="shared" si="75"/>
        <v>Medium</v>
      </c>
      <c r="X377" s="1" t="s">
        <v>32</v>
      </c>
      <c r="Y377" s="1" t="str">
        <f t="shared" si="76"/>
        <v>Yes</v>
      </c>
      <c r="AA377" s="18" t="str">
        <f t="shared" si="77"/>
        <v>Invalid</v>
      </c>
      <c r="AB377" s="18" t="str">
        <f t="shared" si="78"/>
        <v>High Performer</v>
      </c>
      <c r="AC377" s="9" t="s">
        <v>1535</v>
      </c>
      <c r="AD377">
        <f>IF(AC377="",0,LEN(AC377)-LEN(SUBSTITUTE(AC377,",",""))+1)</f>
        <v>3</v>
      </c>
    </row>
    <row r="378" spans="1:30" ht="12.5" x14ac:dyDescent="0.25">
      <c r="A378" s="1" t="s">
        <v>1536</v>
      </c>
      <c r="B378" s="1" t="s">
        <v>1537</v>
      </c>
      <c r="C378" s="1" t="str">
        <v>Mark Williamson</v>
      </c>
      <c r="D378" s="1" t="s">
        <v>1538</v>
      </c>
      <c r="E378" s="1" t="str">
        <v>blopez@gmail.com</v>
      </c>
      <c r="F378" t="str">
        <f t="shared" si="67"/>
        <v>Valid</v>
      </c>
      <c r="G378" s="1" t="s">
        <v>27</v>
      </c>
      <c r="H378" s="1" t="str">
        <f t="shared" si="68"/>
        <v>Male</v>
      </c>
      <c r="I378" s="1" t="s">
        <v>156</v>
      </c>
      <c r="J378" t="str">
        <f t="shared" si="69"/>
        <v>IN</v>
      </c>
      <c r="L378" s="1">
        <f t="shared" si="70"/>
        <v>19</v>
      </c>
      <c r="M378" s="1" t="str">
        <f t="shared" si="71"/>
        <v>Student</v>
      </c>
      <c r="N378" s="9">
        <v>44950</v>
      </c>
      <c r="O378" s="1" t="s">
        <v>52</v>
      </c>
      <c r="P378" s="1" t="s">
        <v>37</v>
      </c>
      <c r="Q378" s="4">
        <v>0.3</v>
      </c>
      <c r="R378" s="13">
        <f t="shared" si="72"/>
        <v>30</v>
      </c>
      <c r="S378" s="6">
        <f t="shared" si="66"/>
        <v>0.3</v>
      </c>
      <c r="T378" s="1" t="s">
        <v>46</v>
      </c>
      <c r="U378" s="1">
        <f t="shared" si="73"/>
        <v>1</v>
      </c>
      <c r="V378" s="1">
        <f t="shared" si="74"/>
        <v>21.3</v>
      </c>
      <c r="W378" s="10" t="str">
        <f t="shared" si="75"/>
        <v>Low</v>
      </c>
      <c r="X378" s="1" t="s">
        <v>76</v>
      </c>
      <c r="Y378" s="1" t="str">
        <f t="shared" si="76"/>
        <v>Yes</v>
      </c>
      <c r="Z378" s="14">
        <v>5</v>
      </c>
      <c r="AA378" s="18">
        <f t="shared" si="77"/>
        <v>5</v>
      </c>
      <c r="AB378" s="18" t="str">
        <f t="shared" si="78"/>
        <v>High Performer</v>
      </c>
      <c r="AC378" s="9" t="s">
        <v>1539</v>
      </c>
      <c r="AD378">
        <f>IF(AC378="",0,LEN(AC378)-LEN(SUBSTITUTE(AC378,",",""))+1)</f>
        <v>7</v>
      </c>
    </row>
    <row r="379" spans="1:30" ht="12.5" x14ac:dyDescent="0.25">
      <c r="A379" s="1" t="s">
        <v>1540</v>
      </c>
      <c r="B379" s="1" t="s">
        <v>1541</v>
      </c>
      <c r="C379" s="1" t="str">
        <v>Diane Martinez</v>
      </c>
      <c r="D379" s="1" t="s">
        <v>1542</v>
      </c>
      <c r="E379" s="1" t="str">
        <v>halledward@yahoo.com</v>
      </c>
      <c r="F379" t="str">
        <f t="shared" si="67"/>
        <v>Valid</v>
      </c>
      <c r="G379" s="1" t="s">
        <v>57</v>
      </c>
      <c r="H379" s="1" t="str">
        <f t="shared" si="68"/>
        <v>Female</v>
      </c>
      <c r="I379" s="1" t="s">
        <v>28</v>
      </c>
      <c r="J379" t="str">
        <f t="shared" si="69"/>
        <v>INDIA</v>
      </c>
      <c r="K379" s="14">
        <v>0</v>
      </c>
      <c r="L379" s="1">
        <f t="shared" si="70"/>
        <v>19</v>
      </c>
      <c r="M379" s="1" t="str">
        <f t="shared" si="71"/>
        <v>Student</v>
      </c>
      <c r="N379" s="9">
        <v>44735</v>
      </c>
      <c r="O379" s="1" t="s">
        <v>301</v>
      </c>
      <c r="P379" s="1" t="s">
        <v>20</v>
      </c>
      <c r="Q379" s="4">
        <v>0.38</v>
      </c>
      <c r="R379" s="13">
        <f t="shared" si="72"/>
        <v>38</v>
      </c>
      <c r="S379" s="6">
        <f t="shared" si="66"/>
        <v>0.38</v>
      </c>
      <c r="T379" s="1">
        <v>45</v>
      </c>
      <c r="U379" s="1">
        <f t="shared" si="73"/>
        <v>45</v>
      </c>
      <c r="V379" s="1">
        <f t="shared" si="74"/>
        <v>40.099999999999994</v>
      </c>
      <c r="W379" s="10" t="str">
        <f t="shared" si="75"/>
        <v>Low</v>
      </c>
      <c r="X379" s="1">
        <v>1</v>
      </c>
      <c r="Y379" s="1" t="str">
        <f t="shared" si="76"/>
        <v>Yes</v>
      </c>
      <c r="Z379" s="14">
        <v>1</v>
      </c>
      <c r="AA379" s="18">
        <f t="shared" si="77"/>
        <v>1</v>
      </c>
      <c r="AB379" s="18" t="str">
        <f t="shared" si="78"/>
        <v>No</v>
      </c>
      <c r="AC379" s="9" t="s">
        <v>1543</v>
      </c>
      <c r="AD379">
        <f>IF(AC379="",0,LEN(AC379)-LEN(SUBSTITUTE(AC379,",",""))+1)</f>
        <v>1</v>
      </c>
    </row>
    <row r="380" spans="1:30" ht="12.5" x14ac:dyDescent="0.25">
      <c r="A380" s="1" t="s">
        <v>1544</v>
      </c>
      <c r="B380" s="1" t="s">
        <v>1545</v>
      </c>
      <c r="C380" s="1" t="str">
        <v>Yolanda Ford</v>
      </c>
      <c r="D380" s="1" t="s">
        <v>1546</v>
      </c>
      <c r="E380" s="1" t="str">
        <v>christopher20@rowe-jones.info</v>
      </c>
      <c r="F380" t="str">
        <f t="shared" si="67"/>
        <v>Valid</v>
      </c>
      <c r="G380" s="1" t="s">
        <v>43</v>
      </c>
      <c r="H380" s="1" t="str">
        <f t="shared" si="68"/>
        <v>Female</v>
      </c>
      <c r="I380" s="1" t="s">
        <v>89</v>
      </c>
      <c r="J380" t="str">
        <f t="shared" si="69"/>
        <v>GERMANY</v>
      </c>
      <c r="L380" s="1">
        <f t="shared" si="70"/>
        <v>19</v>
      </c>
      <c r="M380" s="1" t="str">
        <f t="shared" si="71"/>
        <v>Student</v>
      </c>
      <c r="N380" s="2">
        <v>45202</v>
      </c>
      <c r="O380" s="1" t="s">
        <v>30</v>
      </c>
      <c r="P380" s="1" t="s">
        <v>31</v>
      </c>
      <c r="Q380" s="4">
        <v>0.45</v>
      </c>
      <c r="R380" s="13">
        <f t="shared" si="72"/>
        <v>45</v>
      </c>
      <c r="S380" s="6">
        <f t="shared" si="66"/>
        <v>0.45</v>
      </c>
      <c r="T380" s="1">
        <v>1.5</v>
      </c>
      <c r="U380" s="1">
        <f t="shared" si="73"/>
        <v>1.5</v>
      </c>
      <c r="V380" s="1">
        <f t="shared" si="74"/>
        <v>31.949999999999996</v>
      </c>
      <c r="W380" s="10" t="str">
        <f t="shared" si="75"/>
        <v>Low</v>
      </c>
      <c r="X380" s="1" t="s">
        <v>38</v>
      </c>
      <c r="Y380" s="1" t="str">
        <f t="shared" si="76"/>
        <v>No</v>
      </c>
      <c r="Z380" s="14">
        <v>2</v>
      </c>
      <c r="AA380" s="18">
        <f t="shared" si="77"/>
        <v>2</v>
      </c>
      <c r="AB380" s="18" t="str">
        <f t="shared" si="78"/>
        <v>No</v>
      </c>
      <c r="AC380" s="9" t="s">
        <v>1547</v>
      </c>
      <c r="AD380">
        <f>IF(AC380="",0,LEN(AC380)-LEN(SUBSTITUTE(AC380,",",""))+1)</f>
        <v>3</v>
      </c>
    </row>
    <row r="381" spans="1:30" ht="12.5" x14ac:dyDescent="0.25">
      <c r="A381" s="1" t="s">
        <v>1548</v>
      </c>
      <c r="B381" s="1" t="s">
        <v>1549</v>
      </c>
      <c r="C381" s="1" t="str">
        <v>Sandra Martinez</v>
      </c>
      <c r="D381" s="1" t="s">
        <v>1550</v>
      </c>
      <c r="E381" s="1" t="str">
        <v>cwise@rojas.com</v>
      </c>
      <c r="F381" t="str">
        <f t="shared" si="67"/>
        <v>Valid</v>
      </c>
      <c r="G381" s="1" t="s">
        <v>17</v>
      </c>
      <c r="H381" s="1" t="str">
        <f t="shared" si="68"/>
        <v>Female</v>
      </c>
      <c r="I381" s="1" t="s">
        <v>44</v>
      </c>
      <c r="J381" t="str">
        <f t="shared" si="69"/>
        <v>CANADA</v>
      </c>
      <c r="K381" s="14">
        <v>0</v>
      </c>
      <c r="L381" s="1">
        <f t="shared" si="70"/>
        <v>19</v>
      </c>
      <c r="M381" s="1" t="str">
        <f t="shared" si="71"/>
        <v>Student</v>
      </c>
      <c r="N381" s="9">
        <v>44940</v>
      </c>
      <c r="O381" s="1" t="s">
        <v>90</v>
      </c>
      <c r="P381" s="1" t="s">
        <v>31</v>
      </c>
      <c r="Q381" s="4">
        <v>0.61</v>
      </c>
      <c r="R381" s="13">
        <f t="shared" si="72"/>
        <v>61</v>
      </c>
      <c r="S381" s="6">
        <f t="shared" si="66"/>
        <v>0.61</v>
      </c>
      <c r="T381" s="1" t="s">
        <v>46</v>
      </c>
      <c r="U381" s="1">
        <f t="shared" si="73"/>
        <v>1</v>
      </c>
      <c r="V381" s="1">
        <f t="shared" si="74"/>
        <v>42.999999999999993</v>
      </c>
      <c r="W381" s="10" t="str">
        <f t="shared" si="75"/>
        <v>Medium</v>
      </c>
      <c r="X381" s="1" t="s">
        <v>38</v>
      </c>
      <c r="Y381" s="1" t="str">
        <f t="shared" si="76"/>
        <v>No</v>
      </c>
      <c r="Z381" s="14">
        <v>2</v>
      </c>
      <c r="AA381" s="18">
        <f t="shared" si="77"/>
        <v>2</v>
      </c>
      <c r="AB381" s="18" t="str">
        <f t="shared" si="78"/>
        <v>No</v>
      </c>
      <c r="AC381" s="9" t="s">
        <v>265</v>
      </c>
      <c r="AD381">
        <f>IF(AC381="",0,LEN(AC381)-LEN(SUBSTITUTE(AC381,",",""))+1)</f>
        <v>2</v>
      </c>
    </row>
    <row r="382" spans="1:30" ht="12.5" x14ac:dyDescent="0.25">
      <c r="A382" s="1" t="s">
        <v>1551</v>
      </c>
      <c r="B382" s="1" t="s">
        <v>1552</v>
      </c>
      <c r="C382" s="1" t="str">
        <v>Christine Price</v>
      </c>
      <c r="D382" s="1" t="s">
        <v>1553</v>
      </c>
      <c r="E382" s="1" t="str">
        <v>eric08@hotmail.com</v>
      </c>
      <c r="F382" t="str">
        <f t="shared" si="67"/>
        <v>Valid</v>
      </c>
      <c r="G382" s="1" t="s">
        <v>43</v>
      </c>
      <c r="H382" s="1" t="str">
        <f t="shared" si="68"/>
        <v>Female</v>
      </c>
      <c r="I382" s="1" t="s">
        <v>28</v>
      </c>
      <c r="J382" t="str">
        <f t="shared" si="69"/>
        <v>INDIA</v>
      </c>
      <c r="K382" s="14">
        <v>0</v>
      </c>
      <c r="L382" s="1">
        <f t="shared" si="70"/>
        <v>19</v>
      </c>
      <c r="M382" s="1" t="str">
        <f t="shared" si="71"/>
        <v>Student</v>
      </c>
      <c r="N382" s="9">
        <v>45373</v>
      </c>
      <c r="O382" s="1" t="s">
        <v>19</v>
      </c>
      <c r="P382" s="1" t="s">
        <v>20</v>
      </c>
      <c r="Q382" s="4">
        <v>55</v>
      </c>
      <c r="R382" s="13">
        <f t="shared" si="72"/>
        <v>55</v>
      </c>
      <c r="S382" s="6">
        <f t="shared" si="66"/>
        <v>0.55000000000000004</v>
      </c>
      <c r="T382" s="1">
        <v>2</v>
      </c>
      <c r="U382" s="1">
        <f t="shared" si="73"/>
        <v>2</v>
      </c>
      <c r="V382" s="1">
        <f t="shared" si="74"/>
        <v>39.1</v>
      </c>
      <c r="W382" s="10" t="str">
        <f t="shared" si="75"/>
        <v>Low</v>
      </c>
      <c r="X382" s="1" t="s">
        <v>32</v>
      </c>
      <c r="Y382" s="1" t="str">
        <f t="shared" si="76"/>
        <v>Yes</v>
      </c>
      <c r="Z382" s="14">
        <v>4</v>
      </c>
      <c r="AA382" s="18">
        <f t="shared" si="77"/>
        <v>4</v>
      </c>
      <c r="AB382" s="18" t="str">
        <f t="shared" si="78"/>
        <v>High Performer</v>
      </c>
      <c r="AC382" s="9" t="s">
        <v>1554</v>
      </c>
      <c r="AD382">
        <f>IF(AC382="",0,LEN(AC382)-LEN(SUBSTITUTE(AC382,",",""))+1)</f>
        <v>6</v>
      </c>
    </row>
    <row r="383" spans="1:30" ht="12.5" x14ac:dyDescent="0.25">
      <c r="A383" s="1" t="s">
        <v>1555</v>
      </c>
      <c r="B383" s="1" t="s">
        <v>1556</v>
      </c>
      <c r="C383" s="1" t="str">
        <v>Stephen Boyer</v>
      </c>
      <c r="D383" s="1" t="s">
        <v>1557</v>
      </c>
      <c r="E383" s="1" t="str">
        <v>youngryan@jackson.org</v>
      </c>
      <c r="F383" t="str">
        <f t="shared" si="67"/>
        <v>Valid</v>
      </c>
      <c r="G383" s="1" t="s">
        <v>88</v>
      </c>
      <c r="H383" s="1" t="str">
        <f t="shared" si="68"/>
        <v>Male</v>
      </c>
      <c r="I383" s="1" t="s">
        <v>136</v>
      </c>
      <c r="J383" t="str">
        <f t="shared" si="69"/>
        <v>UK</v>
      </c>
      <c r="K383" s="14">
        <v>0</v>
      </c>
      <c r="L383" s="1">
        <f t="shared" si="70"/>
        <v>19</v>
      </c>
      <c r="M383" s="1" t="str">
        <f t="shared" si="71"/>
        <v>Student</v>
      </c>
      <c r="N383" s="9">
        <v>44847</v>
      </c>
      <c r="O383" s="1" t="s">
        <v>90</v>
      </c>
      <c r="P383" s="1" t="s">
        <v>31</v>
      </c>
      <c r="Q383" s="4">
        <v>0.41</v>
      </c>
      <c r="R383" s="13">
        <f t="shared" si="72"/>
        <v>41</v>
      </c>
      <c r="S383" s="6">
        <f t="shared" si="66"/>
        <v>0.41</v>
      </c>
      <c r="T383" s="1">
        <v>45</v>
      </c>
      <c r="U383" s="1">
        <f t="shared" si="73"/>
        <v>45</v>
      </c>
      <c r="V383" s="1">
        <f t="shared" si="74"/>
        <v>42.2</v>
      </c>
      <c r="W383" s="10" t="str">
        <f t="shared" si="75"/>
        <v>Medium</v>
      </c>
      <c r="X383" s="1" t="s">
        <v>76</v>
      </c>
      <c r="Y383" s="1" t="str">
        <f t="shared" si="76"/>
        <v>Yes</v>
      </c>
      <c r="Z383" s="14">
        <v>5</v>
      </c>
      <c r="AA383" s="18">
        <f t="shared" si="77"/>
        <v>5</v>
      </c>
      <c r="AB383" s="18" t="str">
        <f t="shared" si="78"/>
        <v>High Performer</v>
      </c>
      <c r="AC383" s="9" t="s">
        <v>1558</v>
      </c>
      <c r="AD383">
        <f>IF(AC383="",0,LEN(AC383)-LEN(SUBSTITUTE(AC383,",",""))+1)</f>
        <v>6</v>
      </c>
    </row>
    <row r="384" spans="1:30" ht="12.5" x14ac:dyDescent="0.25">
      <c r="A384" s="1" t="s">
        <v>1559</v>
      </c>
      <c r="B384" s="1" t="s">
        <v>1560</v>
      </c>
      <c r="C384" s="1" t="str">
        <v>Lauren Vazquez</v>
      </c>
      <c r="D384" s="1" t="s">
        <v>1561</v>
      </c>
      <c r="E384" s="1" t="str">
        <v>kelli32@davis-montgomery.com</v>
      </c>
      <c r="F384" t="str">
        <f t="shared" si="67"/>
        <v>Valid</v>
      </c>
      <c r="G384" s="1" t="s">
        <v>88</v>
      </c>
      <c r="H384" s="1" t="str">
        <f t="shared" si="68"/>
        <v>Male</v>
      </c>
      <c r="I384" s="1" t="s">
        <v>44</v>
      </c>
      <c r="J384" t="str">
        <f t="shared" si="69"/>
        <v>CANADA</v>
      </c>
      <c r="L384" s="1">
        <f t="shared" si="70"/>
        <v>19</v>
      </c>
      <c r="M384" s="1" t="str">
        <f t="shared" si="71"/>
        <v>Student</v>
      </c>
      <c r="N384" s="2">
        <v>44814</v>
      </c>
      <c r="O384" s="1" t="s">
        <v>170</v>
      </c>
      <c r="P384" s="1" t="s">
        <v>147</v>
      </c>
      <c r="Q384" s="4">
        <v>0.43</v>
      </c>
      <c r="R384" s="13">
        <f t="shared" si="72"/>
        <v>43</v>
      </c>
      <c r="S384" s="6">
        <f t="shared" si="66"/>
        <v>0.43</v>
      </c>
      <c r="T384" s="1" t="s">
        <v>64</v>
      </c>
      <c r="U384" s="1">
        <f t="shared" si="73"/>
        <v>2</v>
      </c>
      <c r="V384" s="1">
        <f t="shared" si="74"/>
        <v>30.7</v>
      </c>
      <c r="W384" s="10" t="str">
        <f t="shared" si="75"/>
        <v>Low</v>
      </c>
      <c r="X384" s="1">
        <v>0</v>
      </c>
      <c r="Y384" s="1" t="str">
        <f t="shared" si="76"/>
        <v>No</v>
      </c>
      <c r="Z384" s="14">
        <v>1</v>
      </c>
      <c r="AA384" s="18">
        <f t="shared" si="77"/>
        <v>1</v>
      </c>
      <c r="AB384" s="18" t="str">
        <f t="shared" si="78"/>
        <v>No</v>
      </c>
      <c r="AC384" s="9" t="s">
        <v>1562</v>
      </c>
      <c r="AD384">
        <f>IF(AC384="",0,LEN(AC384)-LEN(SUBSTITUTE(AC384,",",""))+1)</f>
        <v>5</v>
      </c>
    </row>
    <row r="385" spans="1:30" ht="12.5" x14ac:dyDescent="0.25">
      <c r="A385" s="1" t="s">
        <v>1563</v>
      </c>
      <c r="B385" s="1" t="s">
        <v>1564</v>
      </c>
      <c r="C385" s="1" t="str">
        <v>Ashley Freeman</v>
      </c>
      <c r="D385" s="1" t="s">
        <v>1565</v>
      </c>
      <c r="E385" s="1" t="str">
        <v>linda73@gmail.com</v>
      </c>
      <c r="F385" t="str">
        <f t="shared" si="67"/>
        <v>Valid</v>
      </c>
      <c r="G385" s="1" t="s">
        <v>43</v>
      </c>
      <c r="H385" s="1" t="str">
        <f t="shared" si="68"/>
        <v>Female</v>
      </c>
      <c r="I385" s="1" t="s">
        <v>89</v>
      </c>
      <c r="J385" t="str">
        <f t="shared" si="69"/>
        <v>GERMANY</v>
      </c>
      <c r="L385" s="1">
        <f t="shared" si="70"/>
        <v>19</v>
      </c>
      <c r="M385" s="1" t="str">
        <f t="shared" si="71"/>
        <v>Student</v>
      </c>
      <c r="N385" s="2">
        <v>44780</v>
      </c>
      <c r="O385" s="1" t="s">
        <v>235</v>
      </c>
      <c r="P385" s="1" t="s">
        <v>147</v>
      </c>
      <c r="Q385" s="4">
        <v>0.5</v>
      </c>
      <c r="R385" s="13">
        <f t="shared" si="72"/>
        <v>50</v>
      </c>
      <c r="S385" s="6">
        <f t="shared" si="66"/>
        <v>0.5</v>
      </c>
      <c r="T385" s="1">
        <v>45</v>
      </c>
      <c r="U385" s="1">
        <f t="shared" si="73"/>
        <v>45</v>
      </c>
      <c r="V385" s="1">
        <f t="shared" si="74"/>
        <v>48.5</v>
      </c>
      <c r="W385" s="10" t="str">
        <f t="shared" si="75"/>
        <v>Medium</v>
      </c>
      <c r="X385" s="1" t="s">
        <v>32</v>
      </c>
      <c r="Y385" s="1" t="str">
        <f t="shared" si="76"/>
        <v>Yes</v>
      </c>
      <c r="AA385" s="18" t="str">
        <f t="shared" si="77"/>
        <v>Invalid</v>
      </c>
      <c r="AB385" s="18" t="str">
        <f t="shared" si="78"/>
        <v>High Performer</v>
      </c>
      <c r="AC385" s="9" t="s">
        <v>1566</v>
      </c>
      <c r="AD385">
        <f>IF(AC385="",0,LEN(AC385)-LEN(SUBSTITUTE(AC385,",",""))+1)</f>
        <v>8</v>
      </c>
    </row>
    <row r="386" spans="1:30" ht="12.5" x14ac:dyDescent="0.25">
      <c r="A386" s="1" t="s">
        <v>1567</v>
      </c>
      <c r="B386" s="1" t="s">
        <v>1568</v>
      </c>
      <c r="C386" s="1" t="str">
        <v>Andrew Mann</v>
      </c>
      <c r="D386" s="1" t="s">
        <v>1569</v>
      </c>
      <c r="E386" s="1" t="str">
        <v>llopez@hotmail.com</v>
      </c>
      <c r="F386" t="str">
        <f t="shared" si="67"/>
        <v>Valid</v>
      </c>
      <c r="G386" s="1" t="s">
        <v>95</v>
      </c>
      <c r="H386" s="1" t="str">
        <f t="shared" si="68"/>
        <v>Male</v>
      </c>
      <c r="I386" s="1" t="s">
        <v>44</v>
      </c>
      <c r="J386" t="str">
        <f t="shared" si="69"/>
        <v>CANADA</v>
      </c>
      <c r="L386" s="1">
        <f t="shared" si="70"/>
        <v>19</v>
      </c>
      <c r="M386" s="1" t="str">
        <f t="shared" si="71"/>
        <v>Student</v>
      </c>
      <c r="N386" s="2">
        <v>45994</v>
      </c>
      <c r="O386" s="1" t="s">
        <v>90</v>
      </c>
      <c r="P386" s="1" t="s">
        <v>31</v>
      </c>
      <c r="Q386" s="4">
        <v>0.46</v>
      </c>
      <c r="R386" s="13">
        <f t="shared" si="72"/>
        <v>46</v>
      </c>
      <c r="S386" s="6">
        <f t="shared" ref="S386:S449" si="79">R386/100</f>
        <v>0.46</v>
      </c>
      <c r="T386" s="1" t="s">
        <v>46</v>
      </c>
      <c r="U386" s="1">
        <f t="shared" si="73"/>
        <v>1</v>
      </c>
      <c r="V386" s="1">
        <f t="shared" si="74"/>
        <v>32.499999999999993</v>
      </c>
      <c r="W386" s="10" t="str">
        <f t="shared" si="75"/>
        <v>Low</v>
      </c>
      <c r="X386" s="1" t="s">
        <v>38</v>
      </c>
      <c r="Y386" s="1" t="str">
        <f t="shared" si="76"/>
        <v>No</v>
      </c>
      <c r="Z386" s="14">
        <v>3</v>
      </c>
      <c r="AA386" s="18">
        <f t="shared" si="77"/>
        <v>3</v>
      </c>
      <c r="AB386" s="18" t="str">
        <f t="shared" si="78"/>
        <v>No</v>
      </c>
      <c r="AC386" s="9" t="s">
        <v>1570</v>
      </c>
      <c r="AD386">
        <f>IF(AC386="",0,LEN(AC386)-LEN(SUBSTITUTE(AC386,",",""))+1)</f>
        <v>2</v>
      </c>
    </row>
    <row r="387" spans="1:30" ht="12.5" x14ac:dyDescent="0.25">
      <c r="A387" s="1" t="s">
        <v>1571</v>
      </c>
      <c r="B387" s="1" t="s">
        <v>1572</v>
      </c>
      <c r="C387" s="1" t="str">
        <v>Linda Valencia</v>
      </c>
      <c r="D387" s="1" t="s">
        <v>1573</v>
      </c>
      <c r="E387" s="1" t="str">
        <v>schmidtshannon@weaver-gibson.net</v>
      </c>
      <c r="F387" t="str">
        <f t="shared" ref="F387:F450" si="80">IF(ISNUMBER(SEARCH("@", E387)), "Valid", "Invalid")</f>
        <v>Valid</v>
      </c>
      <c r="G387" s="1" t="s">
        <v>17</v>
      </c>
      <c r="H387" s="1" t="str">
        <f t="shared" ref="H387:H450" si="81">IF(OR(LOWER(G387)="m", LOWER(G387)="male"), "Male", IF(OR(LOWER(G387)="f", LOWER(G387)="female"), "Female","Other"))</f>
        <v>Female</v>
      </c>
      <c r="I387" s="1" t="s">
        <v>74</v>
      </c>
      <c r="J387" t="str">
        <f t="shared" ref="J387:J450" si="82">UPPER(TRIM(I387))</f>
        <v>USA</v>
      </c>
      <c r="K387" s="14">
        <v>41</v>
      </c>
      <c r="L387" s="1">
        <f t="shared" ref="L387:L450" si="83">IF(OR(K387=0,K387&lt;10,K387&gt;100), $L$1202, K387)</f>
        <v>41</v>
      </c>
      <c r="M387" s="1" t="str">
        <f t="shared" ref="M387:M450" si="84">IF(K387&lt;22,"Student",
IF(K387&lt;=30,"Early Career",
IF(K387&lt;=40,"Mid Career",
IF(K387&lt;=50,"Senior","Expert"))))</f>
        <v>Senior</v>
      </c>
      <c r="N387" s="9">
        <v>45198</v>
      </c>
      <c r="O387" s="1" t="s">
        <v>90</v>
      </c>
      <c r="P387" s="1" t="s">
        <v>31</v>
      </c>
      <c r="Q387" s="4">
        <v>29</v>
      </c>
      <c r="R387" s="13">
        <f t="shared" ref="R387:R450" si="85">IF(Q387&lt;=1, Q387*100, Q387)</f>
        <v>29</v>
      </c>
      <c r="S387" s="6">
        <f t="shared" si="79"/>
        <v>0.28999999999999998</v>
      </c>
      <c r="T387" s="1">
        <v>1.5</v>
      </c>
      <c r="U387" s="1">
        <f t="shared" ref="U387:U450" si="86">IF(ISNUMBER(T387), T387,
IF(ISNUMBER(SEARCH("min", T387)), VALUE(LEFT(T387, FIND(" ", T387)-1))/60,
IF(ISNUMBER(SEARCH("hour", T387)), VALUE(LEFT(T387, FIND(" ", T387)-1)),
"")))</f>
        <v>1.5</v>
      </c>
      <c r="V387" s="1">
        <f t="shared" ref="V387:V450" si="87">MIN( (0.7*R387 + 0.3*(U387)), 100 )</f>
        <v>20.749999999999996</v>
      </c>
      <c r="W387" s="10" t="str">
        <f t="shared" ref="W387:W450" si="88">IF(V387&lt;41,"Low",IF(V387&lt;71,"Medium","High"))</f>
        <v>Low</v>
      </c>
      <c r="X387" s="1">
        <v>1</v>
      </c>
      <c r="Y387" s="1" t="str">
        <f t="shared" ref="Y387:Y450" si="89">IF(OR(X387="Yes", X387="Y", X387=1), "Yes", "No")</f>
        <v>Yes</v>
      </c>
      <c r="Z387" s="14">
        <v>2</v>
      </c>
      <c r="AA387" s="18">
        <f t="shared" ref="AA387:AA450" si="90">IF(AND(Z387&gt;=1,Z387&lt;=6),Z387,"Invalid")</f>
        <v>2</v>
      </c>
      <c r="AB387" s="18" t="str">
        <f t="shared" ref="AB387:AB450" si="91">IF(AND(Y387="Yes",AA387&gt;=4),"High Performer","No")</f>
        <v>No</v>
      </c>
      <c r="AC387" s="9" t="s">
        <v>1575</v>
      </c>
      <c r="AD387">
        <f>IF(AC387="",0,LEN(AC387)-LEN(SUBSTITUTE(AC387,",",""))+1)</f>
        <v>8</v>
      </c>
    </row>
    <row r="388" spans="1:30" ht="12.5" x14ac:dyDescent="0.25">
      <c r="A388" s="1" t="s">
        <v>1576</v>
      </c>
      <c r="B388" s="1" t="s">
        <v>1577</v>
      </c>
      <c r="C388" s="1" t="str">
        <v>Helen Oliver</v>
      </c>
      <c r="D388" s="1" t="s">
        <v>127</v>
      </c>
      <c r="E388" s="1" t="str">
        <v>invalid-email</v>
      </c>
      <c r="F388" t="str">
        <f t="shared" si="80"/>
        <v>Invalid</v>
      </c>
      <c r="G388" s="1" t="s">
        <v>43</v>
      </c>
      <c r="H388" s="1" t="str">
        <f t="shared" si="81"/>
        <v>Female</v>
      </c>
      <c r="I388" s="1" t="s">
        <v>96</v>
      </c>
      <c r="J388" t="str">
        <f t="shared" si="82"/>
        <v>INDIA</v>
      </c>
      <c r="K388" s="14">
        <v>24</v>
      </c>
      <c r="L388" s="1">
        <f t="shared" si="83"/>
        <v>24</v>
      </c>
      <c r="M388" s="1" t="str">
        <f t="shared" si="84"/>
        <v>Early Career</v>
      </c>
      <c r="N388" s="9">
        <v>45246</v>
      </c>
      <c r="O388" s="1" t="s">
        <v>170</v>
      </c>
      <c r="P388" s="1" t="s">
        <v>147</v>
      </c>
      <c r="Q388" s="4">
        <v>0.14000000000000001</v>
      </c>
      <c r="R388" s="13">
        <f t="shared" si="85"/>
        <v>14.000000000000002</v>
      </c>
      <c r="S388" s="6">
        <f t="shared" si="79"/>
        <v>0.14000000000000001</v>
      </c>
      <c r="T388" s="1">
        <v>2</v>
      </c>
      <c r="U388" s="1">
        <f t="shared" si="86"/>
        <v>2</v>
      </c>
      <c r="V388" s="1">
        <f t="shared" si="87"/>
        <v>10.4</v>
      </c>
      <c r="W388" s="10" t="str">
        <f t="shared" si="88"/>
        <v>Low</v>
      </c>
      <c r="X388" s="1" t="s">
        <v>32</v>
      </c>
      <c r="Y388" s="1" t="str">
        <f t="shared" si="89"/>
        <v>Yes</v>
      </c>
      <c r="Z388" s="14">
        <v>3</v>
      </c>
      <c r="AA388" s="18">
        <f t="shared" si="90"/>
        <v>3</v>
      </c>
      <c r="AB388" s="18" t="str">
        <f t="shared" si="91"/>
        <v>No</v>
      </c>
      <c r="AC388" s="9" t="s">
        <v>1578</v>
      </c>
      <c r="AD388">
        <f>IF(AC388="",0,LEN(AC388)-LEN(SUBSTITUTE(AC388,",",""))+1)</f>
        <v>1</v>
      </c>
    </row>
    <row r="389" spans="1:30" ht="12.5" x14ac:dyDescent="0.25">
      <c r="A389" s="1" t="s">
        <v>1579</v>
      </c>
      <c r="B389" s="1" t="s">
        <v>1580</v>
      </c>
      <c r="C389" s="1" t="str">
        <v>Jasmine Warren</v>
      </c>
      <c r="D389" s="1" t="s">
        <v>1581</v>
      </c>
      <c r="E389" s="1" t="str">
        <v>chloemorris@hotmail.com</v>
      </c>
      <c r="F389" t="str">
        <f t="shared" si="80"/>
        <v>Valid</v>
      </c>
      <c r="G389" s="1" t="s">
        <v>95</v>
      </c>
      <c r="H389" s="1" t="str">
        <f t="shared" si="81"/>
        <v>Male</v>
      </c>
      <c r="I389" s="1" t="s">
        <v>44</v>
      </c>
      <c r="J389" t="str">
        <f t="shared" si="82"/>
        <v>CANADA</v>
      </c>
      <c r="K389" s="14">
        <v>23</v>
      </c>
      <c r="L389" s="1">
        <f t="shared" si="83"/>
        <v>23</v>
      </c>
      <c r="M389" s="1" t="str">
        <f t="shared" si="84"/>
        <v>Early Career</v>
      </c>
      <c r="N389" s="9">
        <v>45156</v>
      </c>
      <c r="O389" s="1" t="s">
        <v>69</v>
      </c>
      <c r="P389" s="1" t="s">
        <v>31</v>
      </c>
      <c r="Q389" s="4">
        <v>0.02</v>
      </c>
      <c r="R389" s="13">
        <f t="shared" si="85"/>
        <v>2</v>
      </c>
      <c r="S389" s="6">
        <f t="shared" si="79"/>
        <v>0.02</v>
      </c>
      <c r="T389" s="1" t="s">
        <v>46</v>
      </c>
      <c r="U389" s="1">
        <f t="shared" si="86"/>
        <v>1</v>
      </c>
      <c r="V389" s="1">
        <f t="shared" si="87"/>
        <v>1.7</v>
      </c>
      <c r="W389" s="10" t="str">
        <f t="shared" si="88"/>
        <v>Low</v>
      </c>
      <c r="X389" s="1">
        <v>0</v>
      </c>
      <c r="Y389" s="1" t="str">
        <f t="shared" si="89"/>
        <v>No</v>
      </c>
      <c r="Z389" s="14">
        <v>4</v>
      </c>
      <c r="AA389" s="18">
        <f t="shared" si="90"/>
        <v>4</v>
      </c>
      <c r="AB389" s="18" t="str">
        <f t="shared" si="91"/>
        <v>No</v>
      </c>
      <c r="AC389" s="9" t="s">
        <v>1582</v>
      </c>
      <c r="AD389">
        <f>IF(AC389="",0,LEN(AC389)-LEN(SUBSTITUTE(AC389,",",""))+1)</f>
        <v>3</v>
      </c>
    </row>
    <row r="390" spans="1:30" ht="12.5" x14ac:dyDescent="0.25">
      <c r="A390" s="1" t="s">
        <v>1583</v>
      </c>
      <c r="B390" s="1" t="s">
        <v>1584</v>
      </c>
      <c r="C390" s="1" t="str">
        <v>Russell Anderson</v>
      </c>
      <c r="D390" s="1" t="s">
        <v>1585</v>
      </c>
      <c r="E390" s="1" t="str">
        <v>daniellee@duncan.info</v>
      </c>
      <c r="F390" t="str">
        <f t="shared" si="80"/>
        <v>Valid</v>
      </c>
      <c r="G390" s="1" t="s">
        <v>57</v>
      </c>
      <c r="H390" s="1" t="str">
        <f t="shared" si="81"/>
        <v>Female</v>
      </c>
      <c r="I390" s="1" t="s">
        <v>74</v>
      </c>
      <c r="J390" t="str">
        <f t="shared" si="82"/>
        <v>USA</v>
      </c>
      <c r="L390" s="1">
        <f t="shared" si="83"/>
        <v>19</v>
      </c>
      <c r="M390" s="1" t="str">
        <f t="shared" si="84"/>
        <v>Student</v>
      </c>
      <c r="N390" s="9">
        <v>45158</v>
      </c>
      <c r="O390" s="1" t="s">
        <v>69</v>
      </c>
      <c r="P390" s="1" t="s">
        <v>31</v>
      </c>
      <c r="Q390" s="4">
        <v>0.01</v>
      </c>
      <c r="R390" s="13">
        <f t="shared" si="85"/>
        <v>1</v>
      </c>
      <c r="S390" s="6">
        <f t="shared" si="79"/>
        <v>0.01</v>
      </c>
      <c r="T390" s="1" t="s">
        <v>64</v>
      </c>
      <c r="U390" s="1">
        <f t="shared" si="86"/>
        <v>2</v>
      </c>
      <c r="V390" s="1">
        <f t="shared" si="87"/>
        <v>1.2999999999999998</v>
      </c>
      <c r="W390" s="10" t="str">
        <f t="shared" si="88"/>
        <v>Low</v>
      </c>
      <c r="X390" s="1">
        <v>0</v>
      </c>
      <c r="Y390" s="1" t="str">
        <f t="shared" si="89"/>
        <v>No</v>
      </c>
      <c r="Z390" s="14">
        <v>1</v>
      </c>
      <c r="AA390" s="18">
        <f t="shared" si="90"/>
        <v>1</v>
      </c>
      <c r="AB390" s="18" t="str">
        <f t="shared" si="91"/>
        <v>No</v>
      </c>
      <c r="AC390" s="9" t="s">
        <v>1586</v>
      </c>
      <c r="AD390">
        <f>IF(AC390="",0,LEN(AC390)-LEN(SUBSTITUTE(AC390,",",""))+1)</f>
        <v>1</v>
      </c>
    </row>
    <row r="391" spans="1:30" ht="12.5" x14ac:dyDescent="0.25">
      <c r="A391" s="1" t="s">
        <v>1587</v>
      </c>
      <c r="B391" s="1" t="s">
        <v>1588</v>
      </c>
      <c r="C391" s="1" t="str">
        <v>Daniel Robbins</v>
      </c>
      <c r="D391" s="1" t="s">
        <v>1589</v>
      </c>
      <c r="E391" s="1" t="str">
        <v>dianahebert@mcdonald.com</v>
      </c>
      <c r="F391" t="str">
        <f t="shared" si="80"/>
        <v>Valid</v>
      </c>
      <c r="G391" s="1" t="s">
        <v>17</v>
      </c>
      <c r="H391" s="1" t="str">
        <f t="shared" si="81"/>
        <v>Female</v>
      </c>
      <c r="I391" s="1" t="s">
        <v>51</v>
      </c>
      <c r="J391" t="str">
        <f t="shared" si="82"/>
        <v>UK</v>
      </c>
      <c r="K391" s="14">
        <v>0</v>
      </c>
      <c r="L391" s="1">
        <f t="shared" si="83"/>
        <v>19</v>
      </c>
      <c r="M391" s="1" t="str">
        <f t="shared" si="84"/>
        <v>Student</v>
      </c>
      <c r="N391" s="2">
        <v>45298</v>
      </c>
      <c r="O391" s="1" t="s">
        <v>158</v>
      </c>
      <c r="P391" s="1" t="s">
        <v>59</v>
      </c>
      <c r="Q391" s="4">
        <v>12</v>
      </c>
      <c r="R391" s="13">
        <f t="shared" si="85"/>
        <v>12</v>
      </c>
      <c r="S391" s="6">
        <f t="shared" si="79"/>
        <v>0.12</v>
      </c>
      <c r="T391" s="1">
        <v>45</v>
      </c>
      <c r="U391" s="1">
        <f t="shared" si="86"/>
        <v>45</v>
      </c>
      <c r="V391" s="1">
        <f t="shared" si="87"/>
        <v>21.9</v>
      </c>
      <c r="W391" s="10" t="str">
        <f t="shared" si="88"/>
        <v>Low</v>
      </c>
      <c r="X391" s="1">
        <v>1</v>
      </c>
      <c r="Y391" s="1" t="str">
        <f t="shared" si="89"/>
        <v>Yes</v>
      </c>
      <c r="Z391" s="14">
        <v>3</v>
      </c>
      <c r="AA391" s="18">
        <f t="shared" si="90"/>
        <v>3</v>
      </c>
      <c r="AB391" s="18" t="str">
        <f t="shared" si="91"/>
        <v>No</v>
      </c>
      <c r="AC391" s="9" t="s">
        <v>1590</v>
      </c>
      <c r="AD391">
        <f>IF(AC391="",0,LEN(AC391)-LEN(SUBSTITUTE(AC391,",",""))+1)</f>
        <v>7</v>
      </c>
    </row>
    <row r="392" spans="1:30" ht="12.5" x14ac:dyDescent="0.25">
      <c r="A392" s="1" t="s">
        <v>1591</v>
      </c>
      <c r="B392" s="1" t="s">
        <v>1592</v>
      </c>
      <c r="C392" s="1" t="str">
        <v>Jacob Erickson</v>
      </c>
      <c r="D392" s="1" t="s">
        <v>127</v>
      </c>
      <c r="E392" s="1" t="str">
        <v>invalid-email</v>
      </c>
      <c r="F392" t="str">
        <f t="shared" si="80"/>
        <v>Invalid</v>
      </c>
      <c r="G392" s="1" t="s">
        <v>57</v>
      </c>
      <c r="H392" s="1" t="str">
        <f t="shared" si="81"/>
        <v>Female</v>
      </c>
      <c r="I392" s="1" t="s">
        <v>156</v>
      </c>
      <c r="J392" t="str">
        <f t="shared" si="82"/>
        <v>IN</v>
      </c>
      <c r="L392" s="1">
        <f t="shared" si="83"/>
        <v>19</v>
      </c>
      <c r="M392" s="1" t="str">
        <f t="shared" si="84"/>
        <v>Student</v>
      </c>
      <c r="N392" s="9">
        <v>45218</v>
      </c>
      <c r="O392" s="1" t="s">
        <v>19</v>
      </c>
      <c r="P392" s="1" t="s">
        <v>20</v>
      </c>
      <c r="Q392" s="4">
        <v>0.62</v>
      </c>
      <c r="R392" s="13">
        <f t="shared" si="85"/>
        <v>62</v>
      </c>
      <c r="S392" s="6">
        <f t="shared" si="79"/>
        <v>0.62</v>
      </c>
      <c r="T392" s="1">
        <v>45</v>
      </c>
      <c r="U392" s="1">
        <f t="shared" si="86"/>
        <v>45</v>
      </c>
      <c r="V392" s="1">
        <f t="shared" si="87"/>
        <v>56.9</v>
      </c>
      <c r="W392" s="10" t="str">
        <f t="shared" si="88"/>
        <v>Medium</v>
      </c>
      <c r="X392" s="1">
        <v>1</v>
      </c>
      <c r="Y392" s="1" t="str">
        <f t="shared" si="89"/>
        <v>Yes</v>
      </c>
      <c r="Z392" s="14">
        <v>4</v>
      </c>
      <c r="AA392" s="18">
        <f t="shared" si="90"/>
        <v>4</v>
      </c>
      <c r="AB392" s="18" t="str">
        <f t="shared" si="91"/>
        <v>High Performer</v>
      </c>
      <c r="AC392" s="9" t="s">
        <v>1593</v>
      </c>
      <c r="AD392">
        <f>IF(AC392="",0,LEN(AC392)-LEN(SUBSTITUTE(AC392,",",""))+1)</f>
        <v>4</v>
      </c>
    </row>
    <row r="393" spans="1:30" ht="12.5" x14ac:dyDescent="0.25">
      <c r="A393" s="1" t="s">
        <v>1594</v>
      </c>
      <c r="B393" s="1" t="s">
        <v>1595</v>
      </c>
      <c r="C393" s="1" t="str">
        <v>Eric Blackburn</v>
      </c>
      <c r="D393" s="1" t="s">
        <v>1596</v>
      </c>
      <c r="E393" s="1" t="str">
        <v>hardyamanda@lee.com</v>
      </c>
      <c r="F393" t="str">
        <f t="shared" si="80"/>
        <v>Valid</v>
      </c>
      <c r="G393" s="1" t="s">
        <v>57</v>
      </c>
      <c r="H393" s="1" t="str">
        <f t="shared" si="81"/>
        <v>Female</v>
      </c>
      <c r="I393" s="1" t="s">
        <v>18</v>
      </c>
      <c r="J393" t="str">
        <f t="shared" si="82"/>
        <v>US</v>
      </c>
      <c r="K393" s="14">
        <v>39</v>
      </c>
      <c r="L393" s="1">
        <f t="shared" si="83"/>
        <v>39</v>
      </c>
      <c r="M393" s="1" t="str">
        <f t="shared" si="84"/>
        <v>Mid Career</v>
      </c>
      <c r="N393" s="9">
        <v>45616</v>
      </c>
      <c r="O393" s="1" t="s">
        <v>36</v>
      </c>
      <c r="P393" s="1" t="s">
        <v>37</v>
      </c>
      <c r="Q393" s="4">
        <v>3</v>
      </c>
      <c r="R393" s="13">
        <f t="shared" si="85"/>
        <v>3</v>
      </c>
      <c r="S393" s="6">
        <f t="shared" si="79"/>
        <v>0.03</v>
      </c>
      <c r="T393" s="1" t="s">
        <v>64</v>
      </c>
      <c r="U393" s="1">
        <f t="shared" si="86"/>
        <v>2</v>
      </c>
      <c r="V393" s="1">
        <f t="shared" si="87"/>
        <v>2.6999999999999997</v>
      </c>
      <c r="W393" s="10" t="str">
        <f t="shared" si="88"/>
        <v>Low</v>
      </c>
      <c r="X393" s="1" t="s">
        <v>38</v>
      </c>
      <c r="Y393" s="1" t="str">
        <f t="shared" si="89"/>
        <v>No</v>
      </c>
      <c r="Z393" s="14">
        <v>5</v>
      </c>
      <c r="AA393" s="18">
        <f t="shared" si="90"/>
        <v>5</v>
      </c>
      <c r="AB393" s="18" t="str">
        <f t="shared" si="91"/>
        <v>No</v>
      </c>
      <c r="AC393" s="9" t="s">
        <v>1597</v>
      </c>
      <c r="AD393">
        <f>IF(AC393="",0,LEN(AC393)-LEN(SUBSTITUTE(AC393,",",""))+1)</f>
        <v>5</v>
      </c>
    </row>
    <row r="394" spans="1:30" ht="12.5" x14ac:dyDescent="0.25">
      <c r="A394" s="1" t="s">
        <v>1598</v>
      </c>
      <c r="B394" s="1" t="s">
        <v>1599</v>
      </c>
      <c r="C394" s="1" t="str">
        <v>Jennifer Garcia</v>
      </c>
      <c r="D394" s="1" t="s">
        <v>1600</v>
      </c>
      <c r="E394" s="1" t="str">
        <v>bpark@gmail.com</v>
      </c>
      <c r="F394" t="str">
        <f t="shared" si="80"/>
        <v>Valid</v>
      </c>
      <c r="G394" s="1" t="s">
        <v>57</v>
      </c>
      <c r="H394" s="1" t="str">
        <f t="shared" si="81"/>
        <v>Female</v>
      </c>
      <c r="I394" s="1" t="s">
        <v>136</v>
      </c>
      <c r="J394" t="str">
        <f t="shared" si="82"/>
        <v>UK</v>
      </c>
      <c r="K394" s="14">
        <v>35</v>
      </c>
      <c r="L394" s="1">
        <f t="shared" si="83"/>
        <v>35</v>
      </c>
      <c r="M394" s="1" t="str">
        <f t="shared" si="84"/>
        <v>Mid Career</v>
      </c>
      <c r="N394" s="2">
        <v>45513</v>
      </c>
      <c r="O394" s="1" t="s">
        <v>30</v>
      </c>
      <c r="P394" s="1" t="s">
        <v>31</v>
      </c>
      <c r="Q394" s="4">
        <v>0.19</v>
      </c>
      <c r="R394" s="13">
        <f t="shared" si="85"/>
        <v>19</v>
      </c>
      <c r="S394" s="6">
        <f t="shared" si="79"/>
        <v>0.19</v>
      </c>
      <c r="T394" s="1" t="s">
        <v>64</v>
      </c>
      <c r="U394" s="1">
        <f t="shared" si="86"/>
        <v>2</v>
      </c>
      <c r="V394" s="1">
        <f t="shared" si="87"/>
        <v>13.899999999999999</v>
      </c>
      <c r="W394" s="10" t="str">
        <f t="shared" si="88"/>
        <v>Low</v>
      </c>
      <c r="X394" s="1" t="s">
        <v>22</v>
      </c>
      <c r="Y394" s="1" t="str">
        <f t="shared" si="89"/>
        <v>No</v>
      </c>
      <c r="Z394" s="14">
        <v>4</v>
      </c>
      <c r="AA394" s="18">
        <f t="shared" si="90"/>
        <v>4</v>
      </c>
      <c r="AB394" s="18" t="str">
        <f t="shared" si="91"/>
        <v>No</v>
      </c>
      <c r="AC394" s="9" t="s">
        <v>1601</v>
      </c>
      <c r="AD394">
        <f>IF(AC394="",0,LEN(AC394)-LEN(SUBSTITUTE(AC394,",",""))+1)</f>
        <v>4</v>
      </c>
    </row>
    <row r="395" spans="1:30" ht="12.5" x14ac:dyDescent="0.25">
      <c r="A395" s="1" t="s">
        <v>1602</v>
      </c>
      <c r="B395" s="1" t="s">
        <v>1603</v>
      </c>
      <c r="C395" s="1" t="str">
        <v>Mary Ferguson</v>
      </c>
      <c r="D395" s="1" t="s">
        <v>1604</v>
      </c>
      <c r="E395" s="1" t="str">
        <v>rachel85@yahoo.com</v>
      </c>
      <c r="F395" t="str">
        <f t="shared" si="80"/>
        <v>Valid</v>
      </c>
      <c r="G395" s="1" t="s">
        <v>109</v>
      </c>
      <c r="H395" s="1" t="str">
        <f t="shared" si="81"/>
        <v>Male</v>
      </c>
      <c r="I395" s="1" t="s">
        <v>51</v>
      </c>
      <c r="J395" t="str">
        <f t="shared" si="82"/>
        <v>UK</v>
      </c>
      <c r="K395" s="14">
        <v>28</v>
      </c>
      <c r="L395" s="1">
        <f t="shared" si="83"/>
        <v>28</v>
      </c>
      <c r="M395" s="1" t="str">
        <f t="shared" si="84"/>
        <v>Early Career</v>
      </c>
      <c r="N395" s="9">
        <v>44917</v>
      </c>
      <c r="O395" s="1" t="s">
        <v>30</v>
      </c>
      <c r="P395" s="1" t="s">
        <v>31</v>
      </c>
      <c r="Q395" s="4">
        <v>0.9</v>
      </c>
      <c r="R395" s="13">
        <f t="shared" si="85"/>
        <v>90</v>
      </c>
      <c r="S395" s="6">
        <f t="shared" si="79"/>
        <v>0.9</v>
      </c>
      <c r="T395" s="1" t="s">
        <v>21</v>
      </c>
      <c r="U395" s="1">
        <f t="shared" si="86"/>
        <v>1.5</v>
      </c>
      <c r="V395" s="1">
        <f t="shared" si="87"/>
        <v>63.449999999999996</v>
      </c>
      <c r="W395" s="10" t="str">
        <f t="shared" si="88"/>
        <v>Medium</v>
      </c>
      <c r="X395" s="1">
        <v>0</v>
      </c>
      <c r="Y395" s="1" t="str">
        <f t="shared" si="89"/>
        <v>No</v>
      </c>
      <c r="Z395" s="14">
        <v>5</v>
      </c>
      <c r="AA395" s="18">
        <f t="shared" si="90"/>
        <v>5</v>
      </c>
      <c r="AB395" s="18" t="str">
        <f t="shared" si="91"/>
        <v>No</v>
      </c>
      <c r="AC395" s="9" t="s">
        <v>1605</v>
      </c>
      <c r="AD395">
        <f>IF(AC395="",0,LEN(AC395)-LEN(SUBSTITUTE(AC395,",",""))+1)</f>
        <v>4</v>
      </c>
    </row>
    <row r="396" spans="1:30" ht="12.5" x14ac:dyDescent="0.25">
      <c r="A396" s="1" t="s">
        <v>1606</v>
      </c>
      <c r="B396" s="1" t="s">
        <v>1607</v>
      </c>
      <c r="C396" s="1" t="str">
        <v>Lisa Hart</v>
      </c>
      <c r="D396" s="1" t="s">
        <v>1608</v>
      </c>
      <c r="E396" s="1" t="str">
        <v>vcannon@ward-chavez.biz</v>
      </c>
      <c r="F396" t="str">
        <f t="shared" si="80"/>
        <v>Valid</v>
      </c>
      <c r="G396" s="1" t="s">
        <v>88</v>
      </c>
      <c r="H396" s="1" t="str">
        <f t="shared" si="81"/>
        <v>Male</v>
      </c>
      <c r="I396" s="1" t="s">
        <v>44</v>
      </c>
      <c r="J396" t="str">
        <f t="shared" si="82"/>
        <v>CANADA</v>
      </c>
      <c r="K396" s="14">
        <v>0</v>
      </c>
      <c r="L396" s="1">
        <f t="shared" si="83"/>
        <v>19</v>
      </c>
      <c r="M396" s="1" t="str">
        <f t="shared" si="84"/>
        <v>Student</v>
      </c>
      <c r="N396" s="2">
        <v>45474</v>
      </c>
      <c r="O396" s="1" t="s">
        <v>19</v>
      </c>
      <c r="P396" s="1" t="s">
        <v>20</v>
      </c>
      <c r="Q396" s="4">
        <v>97</v>
      </c>
      <c r="R396" s="13">
        <f t="shared" si="85"/>
        <v>97</v>
      </c>
      <c r="S396" s="6">
        <f t="shared" si="79"/>
        <v>0.97</v>
      </c>
      <c r="T396" s="1" t="s">
        <v>21</v>
      </c>
      <c r="U396" s="1">
        <f t="shared" si="86"/>
        <v>1.5</v>
      </c>
      <c r="V396" s="1">
        <f t="shared" si="87"/>
        <v>68.349999999999994</v>
      </c>
      <c r="W396" s="10" t="str">
        <f t="shared" si="88"/>
        <v>Medium</v>
      </c>
      <c r="X396" s="1">
        <v>0</v>
      </c>
      <c r="Y396" s="1" t="str">
        <f t="shared" si="89"/>
        <v>No</v>
      </c>
      <c r="Z396" s="14">
        <v>3</v>
      </c>
      <c r="AA396" s="18">
        <f t="shared" si="90"/>
        <v>3</v>
      </c>
      <c r="AB396" s="18" t="str">
        <f t="shared" si="91"/>
        <v>No</v>
      </c>
      <c r="AC396" s="9" t="s">
        <v>366</v>
      </c>
      <c r="AD396">
        <f>IF(AC396="",0,LEN(AC396)-LEN(SUBSTITUTE(AC396,",",""))+1)</f>
        <v>6</v>
      </c>
    </row>
    <row r="397" spans="1:30" ht="12.5" x14ac:dyDescent="0.25">
      <c r="A397" s="1" t="s">
        <v>1609</v>
      </c>
      <c r="B397" s="1" t="s">
        <v>1610</v>
      </c>
      <c r="C397" s="1" t="str">
        <v>Kelly Holder</v>
      </c>
      <c r="D397" s="1" t="s">
        <v>1611</v>
      </c>
      <c r="E397" s="1" t="str">
        <v>evansjeffrey@yahoo.com</v>
      </c>
      <c r="F397" t="str">
        <f t="shared" si="80"/>
        <v>Valid</v>
      </c>
      <c r="G397" s="1" t="s">
        <v>43</v>
      </c>
      <c r="H397" s="1" t="str">
        <f t="shared" si="81"/>
        <v>Female</v>
      </c>
      <c r="I397" s="1" t="s">
        <v>89</v>
      </c>
      <c r="J397" t="str">
        <f t="shared" si="82"/>
        <v>GERMANY</v>
      </c>
      <c r="K397" s="14">
        <v>0</v>
      </c>
      <c r="L397" s="1">
        <f t="shared" si="83"/>
        <v>19</v>
      </c>
      <c r="M397" s="1" t="str">
        <f t="shared" si="84"/>
        <v>Student</v>
      </c>
      <c r="N397" s="2">
        <v>44746</v>
      </c>
      <c r="O397" s="1" t="s">
        <v>36</v>
      </c>
      <c r="P397" s="1" t="s">
        <v>37</v>
      </c>
      <c r="Q397" s="4">
        <v>0.03</v>
      </c>
      <c r="R397" s="13">
        <f t="shared" si="85"/>
        <v>3</v>
      </c>
      <c r="S397" s="6">
        <f t="shared" si="79"/>
        <v>0.03</v>
      </c>
      <c r="T397" s="1">
        <v>1.5</v>
      </c>
      <c r="U397" s="1">
        <f t="shared" si="86"/>
        <v>1.5</v>
      </c>
      <c r="V397" s="1">
        <f t="shared" si="87"/>
        <v>2.5499999999999998</v>
      </c>
      <c r="W397" s="10" t="str">
        <f t="shared" si="88"/>
        <v>Low</v>
      </c>
      <c r="X397" s="1" t="s">
        <v>76</v>
      </c>
      <c r="Y397" s="1" t="str">
        <f t="shared" si="89"/>
        <v>Yes</v>
      </c>
      <c r="Z397" s="14">
        <v>6</v>
      </c>
      <c r="AA397" s="18">
        <f t="shared" si="90"/>
        <v>6</v>
      </c>
      <c r="AB397" s="18" t="str">
        <f t="shared" si="91"/>
        <v>High Performer</v>
      </c>
      <c r="AC397" s="9" t="s">
        <v>1612</v>
      </c>
      <c r="AD397">
        <f>IF(AC397="",0,LEN(AC397)-LEN(SUBSTITUTE(AC397,",",""))+1)</f>
        <v>4</v>
      </c>
    </row>
    <row r="398" spans="1:30" ht="12.5" x14ac:dyDescent="0.25">
      <c r="A398" s="1" t="s">
        <v>1613</v>
      </c>
      <c r="B398" s="1" t="s">
        <v>1614</v>
      </c>
      <c r="C398" s="1" t="str">
        <v>Tamara Dixon</v>
      </c>
      <c r="D398" s="1" t="s">
        <v>1615</v>
      </c>
      <c r="E398" s="1" t="str">
        <v>johnsonmichael@baker.com</v>
      </c>
      <c r="F398" t="str">
        <f t="shared" si="80"/>
        <v>Valid</v>
      </c>
      <c r="G398" s="1" t="s">
        <v>109</v>
      </c>
      <c r="H398" s="1" t="str">
        <f t="shared" si="81"/>
        <v>Male</v>
      </c>
      <c r="I398" s="1" t="s">
        <v>89</v>
      </c>
      <c r="J398" t="str">
        <f t="shared" si="82"/>
        <v>GERMANY</v>
      </c>
      <c r="K398" s="14">
        <v>25</v>
      </c>
      <c r="L398" s="1">
        <f t="shared" si="83"/>
        <v>25</v>
      </c>
      <c r="M398" s="1" t="str">
        <f t="shared" si="84"/>
        <v>Early Career</v>
      </c>
      <c r="N398" s="2">
        <v>44839</v>
      </c>
      <c r="O398" s="1" t="s">
        <v>158</v>
      </c>
      <c r="P398" s="1" t="s">
        <v>59</v>
      </c>
      <c r="Q398" s="4">
        <v>0.23</v>
      </c>
      <c r="R398" s="13">
        <f t="shared" si="85"/>
        <v>23</v>
      </c>
      <c r="S398" s="6">
        <f t="shared" si="79"/>
        <v>0.23</v>
      </c>
      <c r="T398" s="1" t="s">
        <v>46</v>
      </c>
      <c r="U398" s="1">
        <f t="shared" si="86"/>
        <v>1</v>
      </c>
      <c r="V398" s="1">
        <f t="shared" si="87"/>
        <v>16.399999999999999</v>
      </c>
      <c r="W398" s="10" t="str">
        <f t="shared" si="88"/>
        <v>Low</v>
      </c>
      <c r="X398" s="1" t="s">
        <v>76</v>
      </c>
      <c r="Y398" s="1" t="str">
        <f t="shared" si="89"/>
        <v>Yes</v>
      </c>
      <c r="Z398" s="14">
        <v>6</v>
      </c>
      <c r="AA398" s="18">
        <f t="shared" si="90"/>
        <v>6</v>
      </c>
      <c r="AB398" s="18" t="str">
        <f t="shared" si="91"/>
        <v>High Performer</v>
      </c>
      <c r="AC398" s="9" t="s">
        <v>1616</v>
      </c>
      <c r="AD398">
        <f>IF(AC398="",0,LEN(AC398)-LEN(SUBSTITUTE(AC398,",",""))+1)</f>
        <v>8</v>
      </c>
    </row>
    <row r="399" spans="1:30" ht="12.5" x14ac:dyDescent="0.25">
      <c r="A399" s="1" t="s">
        <v>1617</v>
      </c>
      <c r="B399" s="1" t="s">
        <v>1618</v>
      </c>
      <c r="C399" s="1" t="str">
        <v>Laura Robinson</v>
      </c>
      <c r="D399" s="1" t="s">
        <v>1619</v>
      </c>
      <c r="E399" s="1" t="str">
        <v>laura27@warner.com</v>
      </c>
      <c r="F399" t="str">
        <f t="shared" si="80"/>
        <v>Valid</v>
      </c>
      <c r="G399" s="1" t="s">
        <v>119</v>
      </c>
      <c r="H399" s="1" t="str">
        <f t="shared" si="81"/>
        <v>Female</v>
      </c>
      <c r="I399" s="1" t="s">
        <v>136</v>
      </c>
      <c r="J399" t="str">
        <f t="shared" si="82"/>
        <v>UK</v>
      </c>
      <c r="L399" s="1">
        <f t="shared" si="83"/>
        <v>19</v>
      </c>
      <c r="M399" s="1" t="str">
        <f t="shared" si="84"/>
        <v>Student</v>
      </c>
      <c r="N399" s="2">
        <v>44989</v>
      </c>
      <c r="O399" s="1" t="s">
        <v>52</v>
      </c>
      <c r="P399" s="1" t="s">
        <v>37</v>
      </c>
      <c r="Q399" s="4">
        <v>0.25</v>
      </c>
      <c r="R399" s="13">
        <f t="shared" si="85"/>
        <v>25</v>
      </c>
      <c r="S399" s="6">
        <f t="shared" si="79"/>
        <v>0.25</v>
      </c>
      <c r="T399" s="1" t="s">
        <v>46</v>
      </c>
      <c r="U399" s="1">
        <f t="shared" si="86"/>
        <v>1</v>
      </c>
      <c r="V399" s="1">
        <f t="shared" si="87"/>
        <v>17.8</v>
      </c>
      <c r="W399" s="10" t="str">
        <f t="shared" si="88"/>
        <v>Low</v>
      </c>
      <c r="X399" s="1" t="s">
        <v>22</v>
      </c>
      <c r="Y399" s="1" t="str">
        <f t="shared" si="89"/>
        <v>No</v>
      </c>
      <c r="Z399" s="14">
        <v>6</v>
      </c>
      <c r="AA399" s="18">
        <f t="shared" si="90"/>
        <v>6</v>
      </c>
      <c r="AB399" s="18" t="str">
        <f t="shared" si="91"/>
        <v>No</v>
      </c>
      <c r="AC399" s="9" t="s">
        <v>1620</v>
      </c>
      <c r="AD399">
        <f>IF(AC399="",0,LEN(AC399)-LEN(SUBSTITUTE(AC399,",",""))+1)</f>
        <v>4</v>
      </c>
    </row>
    <row r="400" spans="1:30" ht="12.5" x14ac:dyDescent="0.25">
      <c r="A400" s="1" t="s">
        <v>1621</v>
      </c>
      <c r="B400" s="1" t="s">
        <v>1622</v>
      </c>
      <c r="C400" s="1" t="str">
        <v>Anthony Wise</v>
      </c>
      <c r="D400" s="1" t="s">
        <v>1623</v>
      </c>
      <c r="E400" s="1" t="str">
        <v>hbutler@gmail.com</v>
      </c>
      <c r="F400" t="str">
        <f t="shared" si="80"/>
        <v>Valid</v>
      </c>
      <c r="G400" s="1" t="s">
        <v>95</v>
      </c>
      <c r="H400" s="1" t="str">
        <f t="shared" si="81"/>
        <v>Male</v>
      </c>
      <c r="I400" s="1" t="s">
        <v>96</v>
      </c>
      <c r="J400" t="str">
        <f t="shared" si="82"/>
        <v>INDIA</v>
      </c>
      <c r="L400" s="1">
        <f t="shared" si="83"/>
        <v>19</v>
      </c>
      <c r="M400" s="1" t="str">
        <f t="shared" si="84"/>
        <v>Student</v>
      </c>
      <c r="N400" s="2">
        <v>44657</v>
      </c>
      <c r="O400" s="1" t="s">
        <v>58</v>
      </c>
      <c r="P400" s="1" t="s">
        <v>59</v>
      </c>
      <c r="Q400" s="4">
        <v>48</v>
      </c>
      <c r="R400" s="13">
        <f t="shared" si="85"/>
        <v>48</v>
      </c>
      <c r="S400" s="6">
        <f t="shared" si="79"/>
        <v>0.48</v>
      </c>
      <c r="T400" s="1">
        <v>45</v>
      </c>
      <c r="U400" s="1">
        <f t="shared" si="86"/>
        <v>45</v>
      </c>
      <c r="V400" s="1">
        <f t="shared" si="87"/>
        <v>47.099999999999994</v>
      </c>
      <c r="W400" s="10" t="str">
        <f t="shared" si="88"/>
        <v>Medium</v>
      </c>
      <c r="X400" s="1" t="s">
        <v>76</v>
      </c>
      <c r="Y400" s="1" t="str">
        <f t="shared" si="89"/>
        <v>Yes</v>
      </c>
      <c r="AA400" s="18" t="str">
        <f t="shared" si="90"/>
        <v>Invalid</v>
      </c>
      <c r="AB400" s="18" t="str">
        <f t="shared" si="91"/>
        <v>High Performer</v>
      </c>
      <c r="AC400" s="9">
        <v>44657</v>
      </c>
      <c r="AD400">
        <f>IF(AC400="",0,LEN(AC400)-LEN(SUBSTITUTE(AC400,",",""))+1)</f>
        <v>1</v>
      </c>
    </row>
    <row r="401" spans="1:30" ht="12.5" x14ac:dyDescent="0.25">
      <c r="A401" s="1" t="s">
        <v>1624</v>
      </c>
      <c r="B401" s="1" t="s">
        <v>1625</v>
      </c>
      <c r="C401" s="1" t="str">
        <v>Lynn Brown</v>
      </c>
      <c r="D401" s="1" t="s">
        <v>1626</v>
      </c>
      <c r="E401" s="1" t="str">
        <v>amber25@wolfe.biz</v>
      </c>
      <c r="F401" t="str">
        <f t="shared" si="80"/>
        <v>Valid</v>
      </c>
      <c r="G401" s="1" t="s">
        <v>43</v>
      </c>
      <c r="H401" s="1" t="str">
        <f t="shared" si="81"/>
        <v>Female</v>
      </c>
      <c r="I401" s="1" t="s">
        <v>44</v>
      </c>
      <c r="J401" t="str">
        <f t="shared" si="82"/>
        <v>CANADA</v>
      </c>
      <c r="L401" s="1">
        <f t="shared" si="83"/>
        <v>19</v>
      </c>
      <c r="M401" s="1" t="str">
        <f t="shared" si="84"/>
        <v>Student</v>
      </c>
      <c r="N401" s="9">
        <v>45672</v>
      </c>
      <c r="O401" s="1" t="s">
        <v>146</v>
      </c>
      <c r="P401" s="1" t="s">
        <v>147</v>
      </c>
      <c r="Q401" s="4">
        <v>0.49</v>
      </c>
      <c r="R401" s="13">
        <f t="shared" si="85"/>
        <v>49</v>
      </c>
      <c r="S401" s="6">
        <f t="shared" si="79"/>
        <v>0.49</v>
      </c>
      <c r="T401" s="1" t="s">
        <v>46</v>
      </c>
      <c r="U401" s="1">
        <f t="shared" si="86"/>
        <v>1</v>
      </c>
      <c r="V401" s="1">
        <f t="shared" si="87"/>
        <v>34.599999999999994</v>
      </c>
      <c r="W401" s="10" t="str">
        <f t="shared" si="88"/>
        <v>Low</v>
      </c>
      <c r="X401" s="1" t="s">
        <v>32</v>
      </c>
      <c r="Y401" s="1" t="str">
        <f t="shared" si="89"/>
        <v>Yes</v>
      </c>
      <c r="Z401" s="14">
        <v>5</v>
      </c>
      <c r="AA401" s="18">
        <f t="shared" si="90"/>
        <v>5</v>
      </c>
      <c r="AB401" s="18" t="str">
        <f t="shared" si="91"/>
        <v>High Performer</v>
      </c>
      <c r="AC401" s="9" t="s">
        <v>1627</v>
      </c>
      <c r="AD401">
        <f>IF(AC401="",0,LEN(AC401)-LEN(SUBSTITUTE(AC401,",",""))+1)</f>
        <v>7</v>
      </c>
    </row>
    <row r="402" spans="1:30" ht="12.5" x14ac:dyDescent="0.25">
      <c r="A402" s="1" t="s">
        <v>1628</v>
      </c>
      <c r="B402" s="1" t="s">
        <v>1629</v>
      </c>
      <c r="C402" s="1" t="str">
        <v>Jeffrey Hartman</v>
      </c>
      <c r="D402" s="1" t="s">
        <v>1630</v>
      </c>
      <c r="E402" s="1" t="str">
        <v>matthewalvarez@williams.net</v>
      </c>
      <c r="F402" t="str">
        <f t="shared" si="80"/>
        <v>Valid</v>
      </c>
      <c r="G402" s="1" t="s">
        <v>119</v>
      </c>
      <c r="H402" s="1" t="str">
        <f t="shared" si="81"/>
        <v>Female</v>
      </c>
      <c r="I402" s="1" t="s">
        <v>74</v>
      </c>
      <c r="J402" t="str">
        <f t="shared" si="82"/>
        <v>USA</v>
      </c>
      <c r="K402" s="14">
        <v>0</v>
      </c>
      <c r="L402" s="1">
        <f t="shared" si="83"/>
        <v>19</v>
      </c>
      <c r="M402" s="1" t="str">
        <f t="shared" si="84"/>
        <v>Student</v>
      </c>
      <c r="N402" s="9">
        <v>45350</v>
      </c>
      <c r="O402" s="1" t="s">
        <v>158</v>
      </c>
      <c r="P402" s="1" t="s">
        <v>59</v>
      </c>
      <c r="Q402" s="4">
        <v>0.06</v>
      </c>
      <c r="R402" s="13">
        <f t="shared" si="85"/>
        <v>6</v>
      </c>
      <c r="S402" s="6">
        <f t="shared" si="79"/>
        <v>0.06</v>
      </c>
      <c r="T402" s="1">
        <v>2</v>
      </c>
      <c r="U402" s="1">
        <f t="shared" si="86"/>
        <v>2</v>
      </c>
      <c r="V402" s="1">
        <f t="shared" si="87"/>
        <v>4.7999999999999989</v>
      </c>
      <c r="W402" s="10" t="str">
        <f t="shared" si="88"/>
        <v>Low</v>
      </c>
      <c r="X402" s="1">
        <v>1</v>
      </c>
      <c r="Y402" s="1" t="str">
        <f t="shared" si="89"/>
        <v>Yes</v>
      </c>
      <c r="AA402" s="18" t="str">
        <f t="shared" si="90"/>
        <v>Invalid</v>
      </c>
      <c r="AB402" s="18" t="str">
        <f t="shared" si="91"/>
        <v>High Performer</v>
      </c>
      <c r="AC402" s="9" t="s">
        <v>1631</v>
      </c>
      <c r="AD402">
        <f>IF(AC402="",0,LEN(AC402)-LEN(SUBSTITUTE(AC402,",",""))+1)</f>
        <v>7</v>
      </c>
    </row>
    <row r="403" spans="1:30" ht="12.5" x14ac:dyDescent="0.25">
      <c r="A403" s="1" t="s">
        <v>1632</v>
      </c>
      <c r="B403" s="1" t="s">
        <v>1633</v>
      </c>
      <c r="C403" s="1" t="str">
        <v>Justin Freeman</v>
      </c>
      <c r="D403" s="1" t="s">
        <v>1634</v>
      </c>
      <c r="E403" s="1" t="str">
        <v>johnadams@morris-glass.com</v>
      </c>
      <c r="F403" t="str">
        <f t="shared" si="80"/>
        <v>Valid</v>
      </c>
      <c r="G403" s="1" t="s">
        <v>43</v>
      </c>
      <c r="H403" s="1" t="str">
        <f t="shared" si="81"/>
        <v>Female</v>
      </c>
      <c r="I403" s="1" t="s">
        <v>136</v>
      </c>
      <c r="J403" t="str">
        <f t="shared" si="82"/>
        <v>UK</v>
      </c>
      <c r="L403" s="1">
        <f t="shared" si="83"/>
        <v>19</v>
      </c>
      <c r="M403" s="1" t="str">
        <f t="shared" si="84"/>
        <v>Student</v>
      </c>
      <c r="N403" s="2">
        <v>45567</v>
      </c>
      <c r="O403" s="1" t="s">
        <v>90</v>
      </c>
      <c r="P403" s="1" t="s">
        <v>31</v>
      </c>
      <c r="Q403" s="4">
        <v>0.03</v>
      </c>
      <c r="R403" s="13">
        <f t="shared" si="85"/>
        <v>3</v>
      </c>
      <c r="S403" s="6">
        <f t="shared" si="79"/>
        <v>0.03</v>
      </c>
      <c r="T403" s="1" t="s">
        <v>64</v>
      </c>
      <c r="U403" s="1">
        <f t="shared" si="86"/>
        <v>2</v>
      </c>
      <c r="V403" s="1">
        <f t="shared" si="87"/>
        <v>2.6999999999999997</v>
      </c>
      <c r="W403" s="10" t="str">
        <f t="shared" si="88"/>
        <v>Low</v>
      </c>
      <c r="X403" s="1">
        <v>0</v>
      </c>
      <c r="Y403" s="1" t="str">
        <f t="shared" si="89"/>
        <v>No</v>
      </c>
      <c r="Z403" s="14">
        <v>2</v>
      </c>
      <c r="AA403" s="18">
        <f t="shared" si="90"/>
        <v>2</v>
      </c>
      <c r="AB403" s="18" t="str">
        <f t="shared" si="91"/>
        <v>No</v>
      </c>
      <c r="AC403" s="9" t="s">
        <v>1635</v>
      </c>
      <c r="AD403">
        <f>IF(AC403="",0,LEN(AC403)-LEN(SUBSTITUTE(AC403,",",""))+1)</f>
        <v>7</v>
      </c>
    </row>
    <row r="404" spans="1:30" ht="12.5" x14ac:dyDescent="0.25">
      <c r="A404" s="1" t="s">
        <v>1636</v>
      </c>
      <c r="B404" s="1" t="s">
        <v>1637</v>
      </c>
      <c r="C404" s="1" t="str">
        <v>Frank Wheeler</v>
      </c>
      <c r="D404" s="1" t="s">
        <v>1638</v>
      </c>
      <c r="E404" s="1" t="str">
        <v>gary59@hanson-alexander.com</v>
      </c>
      <c r="F404" t="str">
        <f t="shared" si="80"/>
        <v>Valid</v>
      </c>
      <c r="G404" s="1" t="s">
        <v>88</v>
      </c>
      <c r="H404" s="1" t="str">
        <f t="shared" si="81"/>
        <v>Male</v>
      </c>
      <c r="I404" s="1" t="s">
        <v>96</v>
      </c>
      <c r="J404" t="str">
        <f t="shared" si="82"/>
        <v>INDIA</v>
      </c>
      <c r="K404" s="14">
        <v>37</v>
      </c>
      <c r="L404" s="1">
        <f t="shared" si="83"/>
        <v>37</v>
      </c>
      <c r="M404" s="1" t="str">
        <f t="shared" si="84"/>
        <v>Mid Career</v>
      </c>
      <c r="N404" s="9">
        <v>44832</v>
      </c>
      <c r="O404" s="1" t="s">
        <v>146</v>
      </c>
      <c r="P404" s="1" t="s">
        <v>147</v>
      </c>
      <c r="Q404" s="4">
        <v>0.56999999999999995</v>
      </c>
      <c r="R404" s="13">
        <f t="shared" si="85"/>
        <v>56.999999999999993</v>
      </c>
      <c r="S404" s="6">
        <f t="shared" si="79"/>
        <v>0.56999999999999995</v>
      </c>
      <c r="T404" s="1">
        <v>1.5</v>
      </c>
      <c r="U404" s="1">
        <f t="shared" si="86"/>
        <v>1.5</v>
      </c>
      <c r="V404" s="1">
        <f t="shared" si="87"/>
        <v>40.349999999999994</v>
      </c>
      <c r="W404" s="10" t="str">
        <f t="shared" si="88"/>
        <v>Low</v>
      </c>
      <c r="X404" s="1" t="s">
        <v>38</v>
      </c>
      <c r="Y404" s="1" t="str">
        <f t="shared" si="89"/>
        <v>No</v>
      </c>
      <c r="AA404" s="18" t="str">
        <f t="shared" si="90"/>
        <v>Invalid</v>
      </c>
      <c r="AB404" s="18" t="str">
        <f t="shared" si="91"/>
        <v>No</v>
      </c>
      <c r="AC404" s="9" t="s">
        <v>1639</v>
      </c>
      <c r="AD404">
        <f>IF(AC404="",0,LEN(AC404)-LEN(SUBSTITUTE(AC404,",",""))+1)</f>
        <v>2</v>
      </c>
    </row>
    <row r="405" spans="1:30" ht="12.5" x14ac:dyDescent="0.25">
      <c r="A405" s="1" t="s">
        <v>1640</v>
      </c>
      <c r="B405" s="1" t="s">
        <v>1641</v>
      </c>
      <c r="C405" s="1" t="str">
        <v>Angelica Singh</v>
      </c>
      <c r="D405" s="1" t="s">
        <v>1642</v>
      </c>
      <c r="E405" s="1" t="str">
        <v>mistywilkins@cooper.com</v>
      </c>
      <c r="F405" t="str">
        <f t="shared" si="80"/>
        <v>Valid</v>
      </c>
      <c r="G405" s="1" t="s">
        <v>95</v>
      </c>
      <c r="H405" s="1" t="str">
        <f t="shared" si="81"/>
        <v>Male</v>
      </c>
      <c r="I405" s="1" t="s">
        <v>18</v>
      </c>
      <c r="J405" t="str">
        <f t="shared" si="82"/>
        <v>US</v>
      </c>
      <c r="L405" s="1">
        <f t="shared" si="83"/>
        <v>19</v>
      </c>
      <c r="M405" s="1" t="str">
        <f t="shared" si="84"/>
        <v>Student</v>
      </c>
      <c r="N405" s="2">
        <v>45232</v>
      </c>
      <c r="O405" s="1" t="s">
        <v>19</v>
      </c>
      <c r="P405" s="1" t="s">
        <v>20</v>
      </c>
      <c r="Q405" s="4">
        <v>19</v>
      </c>
      <c r="R405" s="13">
        <f t="shared" si="85"/>
        <v>19</v>
      </c>
      <c r="S405" s="6">
        <f t="shared" si="79"/>
        <v>0.19</v>
      </c>
      <c r="T405" s="1">
        <v>45</v>
      </c>
      <c r="U405" s="1">
        <f t="shared" si="86"/>
        <v>45</v>
      </c>
      <c r="V405" s="1">
        <f t="shared" si="87"/>
        <v>26.799999999999997</v>
      </c>
      <c r="W405" s="10" t="str">
        <f t="shared" si="88"/>
        <v>Low</v>
      </c>
      <c r="X405" s="1" t="s">
        <v>38</v>
      </c>
      <c r="Y405" s="1" t="str">
        <f t="shared" si="89"/>
        <v>No</v>
      </c>
      <c r="Z405" s="14">
        <v>2</v>
      </c>
      <c r="AA405" s="18">
        <f t="shared" si="90"/>
        <v>2</v>
      </c>
      <c r="AB405" s="18" t="str">
        <f t="shared" si="91"/>
        <v>No</v>
      </c>
      <c r="AC405" s="9" t="s">
        <v>530</v>
      </c>
      <c r="AD405">
        <f>IF(AC405="",0,LEN(AC405)-LEN(SUBSTITUTE(AC405,",",""))+1)</f>
        <v>6</v>
      </c>
    </row>
    <row r="406" spans="1:30" ht="12.5" x14ac:dyDescent="0.25">
      <c r="A406" s="1" t="s">
        <v>1643</v>
      </c>
      <c r="B406" s="1" t="s">
        <v>1644</v>
      </c>
      <c r="C406" s="1" t="str">
        <v>Christy Payne</v>
      </c>
      <c r="D406" s="1" t="s">
        <v>1645</v>
      </c>
      <c r="E406" s="1" t="str">
        <v>jdean@hotmail.com</v>
      </c>
      <c r="F406" t="str">
        <f t="shared" si="80"/>
        <v>Valid</v>
      </c>
      <c r="G406" s="1" t="s">
        <v>119</v>
      </c>
      <c r="H406" s="1" t="str">
        <f t="shared" si="81"/>
        <v>Female</v>
      </c>
      <c r="I406" s="1" t="s">
        <v>136</v>
      </c>
      <c r="J406" t="str">
        <f t="shared" si="82"/>
        <v>UK</v>
      </c>
      <c r="L406" s="1">
        <f t="shared" si="83"/>
        <v>19</v>
      </c>
      <c r="M406" s="1" t="str">
        <f t="shared" si="84"/>
        <v>Student</v>
      </c>
      <c r="N406" s="2">
        <v>45446</v>
      </c>
      <c r="O406" s="1" t="s">
        <v>75</v>
      </c>
      <c r="P406" s="1" t="s">
        <v>37</v>
      </c>
      <c r="Q406" s="4">
        <v>25</v>
      </c>
      <c r="R406" s="13">
        <f t="shared" si="85"/>
        <v>25</v>
      </c>
      <c r="S406" s="6">
        <f t="shared" si="79"/>
        <v>0.25</v>
      </c>
      <c r="T406" s="1">
        <v>1.5</v>
      </c>
      <c r="U406" s="1">
        <f t="shared" si="86"/>
        <v>1.5</v>
      </c>
      <c r="V406" s="1">
        <f t="shared" si="87"/>
        <v>17.95</v>
      </c>
      <c r="W406" s="10" t="str">
        <f t="shared" si="88"/>
        <v>Low</v>
      </c>
      <c r="X406" s="1" t="s">
        <v>76</v>
      </c>
      <c r="Y406" s="1" t="str">
        <f t="shared" si="89"/>
        <v>Yes</v>
      </c>
      <c r="Z406" s="14">
        <v>1</v>
      </c>
      <c r="AA406" s="18">
        <f t="shared" si="90"/>
        <v>1</v>
      </c>
      <c r="AB406" s="18" t="str">
        <f t="shared" si="91"/>
        <v>No</v>
      </c>
      <c r="AC406" s="9" t="s">
        <v>1646</v>
      </c>
      <c r="AD406">
        <f>IF(AC406="",0,LEN(AC406)-LEN(SUBSTITUTE(AC406,",",""))+1)</f>
        <v>3</v>
      </c>
    </row>
    <row r="407" spans="1:30" ht="12.5" x14ac:dyDescent="0.25">
      <c r="A407" s="1" t="s">
        <v>1647</v>
      </c>
      <c r="B407" s="1" t="s">
        <v>1648</v>
      </c>
      <c r="C407" s="1" t="str">
        <v>Kelsey Scott</v>
      </c>
      <c r="D407" s="1" t="s">
        <v>1649</v>
      </c>
      <c r="E407" s="1" t="str">
        <v>james94@marshall.com</v>
      </c>
      <c r="F407" t="str">
        <f t="shared" si="80"/>
        <v>Valid</v>
      </c>
      <c r="G407" s="1" t="s">
        <v>95</v>
      </c>
      <c r="H407" s="1" t="str">
        <f t="shared" si="81"/>
        <v>Male</v>
      </c>
      <c r="I407" s="1" t="s">
        <v>89</v>
      </c>
      <c r="J407" t="str">
        <f t="shared" si="82"/>
        <v>GERMANY</v>
      </c>
      <c r="L407" s="1">
        <f t="shared" si="83"/>
        <v>19</v>
      </c>
      <c r="M407" s="1" t="str">
        <f t="shared" si="84"/>
        <v>Student</v>
      </c>
      <c r="N407" s="9">
        <v>45743</v>
      </c>
      <c r="O407" s="1" t="s">
        <v>69</v>
      </c>
      <c r="P407" s="1" t="s">
        <v>31</v>
      </c>
      <c r="Q407" s="4">
        <v>0.6</v>
      </c>
      <c r="R407" s="13">
        <f t="shared" si="85"/>
        <v>60</v>
      </c>
      <c r="S407" s="6">
        <f t="shared" si="79"/>
        <v>0.6</v>
      </c>
      <c r="T407" s="1" t="s">
        <v>21</v>
      </c>
      <c r="U407" s="1">
        <f t="shared" si="86"/>
        <v>1.5</v>
      </c>
      <c r="V407" s="1">
        <f t="shared" si="87"/>
        <v>42.45</v>
      </c>
      <c r="W407" s="10" t="str">
        <f t="shared" si="88"/>
        <v>Medium</v>
      </c>
      <c r="X407" s="1">
        <v>1</v>
      </c>
      <c r="Y407" s="1" t="str">
        <f t="shared" si="89"/>
        <v>Yes</v>
      </c>
      <c r="Z407" s="14">
        <v>4</v>
      </c>
      <c r="AA407" s="18">
        <f t="shared" si="90"/>
        <v>4</v>
      </c>
      <c r="AB407" s="18" t="str">
        <f t="shared" si="91"/>
        <v>High Performer</v>
      </c>
      <c r="AC407" s="9" t="s">
        <v>1650</v>
      </c>
      <c r="AD407">
        <f>IF(AC407="",0,LEN(AC407)-LEN(SUBSTITUTE(AC407,",",""))+1)</f>
        <v>4</v>
      </c>
    </row>
    <row r="408" spans="1:30" ht="12.5" x14ac:dyDescent="0.25">
      <c r="A408" s="1" t="s">
        <v>1651</v>
      </c>
      <c r="B408" s="1" t="s">
        <v>1652</v>
      </c>
      <c r="C408" s="1" t="str">
        <v>Heather Rodriguez</v>
      </c>
      <c r="D408" s="1" t="s">
        <v>127</v>
      </c>
      <c r="E408" s="1" t="str">
        <v>invalid-email</v>
      </c>
      <c r="F408" t="str">
        <f t="shared" si="80"/>
        <v>Invalid</v>
      </c>
      <c r="G408" s="1" t="s">
        <v>27</v>
      </c>
      <c r="H408" s="1" t="str">
        <f t="shared" si="81"/>
        <v>Male</v>
      </c>
      <c r="I408" s="1" t="s">
        <v>156</v>
      </c>
      <c r="J408" t="str">
        <f t="shared" si="82"/>
        <v>IN</v>
      </c>
      <c r="K408" s="14">
        <v>20</v>
      </c>
      <c r="L408" s="1">
        <f t="shared" si="83"/>
        <v>20</v>
      </c>
      <c r="M408" s="1" t="str">
        <f t="shared" si="84"/>
        <v>Student</v>
      </c>
      <c r="N408" s="2">
        <v>44938</v>
      </c>
      <c r="O408" s="1" t="s">
        <v>235</v>
      </c>
      <c r="P408" s="1" t="s">
        <v>147</v>
      </c>
      <c r="Q408" s="4">
        <v>0.44</v>
      </c>
      <c r="R408" s="13">
        <f t="shared" si="85"/>
        <v>44</v>
      </c>
      <c r="S408" s="6">
        <f t="shared" si="79"/>
        <v>0.44</v>
      </c>
      <c r="T408" s="1" t="s">
        <v>21</v>
      </c>
      <c r="U408" s="1">
        <f t="shared" si="86"/>
        <v>1.5</v>
      </c>
      <c r="V408" s="1">
        <f t="shared" si="87"/>
        <v>31.249999999999996</v>
      </c>
      <c r="W408" s="10" t="str">
        <f t="shared" si="88"/>
        <v>Low</v>
      </c>
      <c r="X408" s="1" t="s">
        <v>22</v>
      </c>
      <c r="Y408" s="1" t="str">
        <f t="shared" si="89"/>
        <v>No</v>
      </c>
      <c r="Z408" s="14">
        <v>1</v>
      </c>
      <c r="AA408" s="18">
        <f t="shared" si="90"/>
        <v>1</v>
      </c>
      <c r="AB408" s="18" t="str">
        <f t="shared" si="91"/>
        <v>No</v>
      </c>
      <c r="AC408" s="9" t="s">
        <v>1653</v>
      </c>
      <c r="AD408">
        <f>IF(AC408="",0,LEN(AC408)-LEN(SUBSTITUTE(AC408,",",""))+1)</f>
        <v>3</v>
      </c>
    </row>
    <row r="409" spans="1:30" ht="12.5" x14ac:dyDescent="0.25">
      <c r="A409" s="1" t="s">
        <v>1654</v>
      </c>
      <c r="B409" s="1" t="s">
        <v>1655</v>
      </c>
      <c r="C409" s="1" t="str">
        <v>James Bray</v>
      </c>
      <c r="D409" s="1" t="s">
        <v>1656</v>
      </c>
      <c r="E409" s="1" t="str">
        <v>todd98@lopez.info</v>
      </c>
      <c r="F409" t="str">
        <f t="shared" si="80"/>
        <v>Valid</v>
      </c>
      <c r="G409" s="1" t="s">
        <v>119</v>
      </c>
      <c r="H409" s="1" t="str">
        <f t="shared" si="81"/>
        <v>Female</v>
      </c>
      <c r="I409" s="1" t="s">
        <v>156</v>
      </c>
      <c r="J409" t="str">
        <f t="shared" si="82"/>
        <v>IN</v>
      </c>
      <c r="K409" s="14">
        <v>19</v>
      </c>
      <c r="L409" s="1">
        <f t="shared" si="83"/>
        <v>19</v>
      </c>
      <c r="M409" s="1" t="str">
        <f t="shared" si="84"/>
        <v>Student</v>
      </c>
      <c r="N409" s="2">
        <v>45053</v>
      </c>
      <c r="O409" s="1" t="s">
        <v>146</v>
      </c>
      <c r="P409" s="1" t="s">
        <v>147</v>
      </c>
      <c r="Q409" s="4">
        <v>0.89</v>
      </c>
      <c r="R409" s="13">
        <f t="shared" si="85"/>
        <v>89</v>
      </c>
      <c r="S409" s="6">
        <f t="shared" si="79"/>
        <v>0.89</v>
      </c>
      <c r="T409" s="1">
        <v>45</v>
      </c>
      <c r="U409" s="1">
        <f t="shared" si="86"/>
        <v>45</v>
      </c>
      <c r="V409" s="1">
        <f t="shared" si="87"/>
        <v>75.8</v>
      </c>
      <c r="W409" s="10" t="str">
        <f t="shared" si="88"/>
        <v>High</v>
      </c>
      <c r="X409" s="1" t="s">
        <v>32</v>
      </c>
      <c r="Y409" s="1" t="str">
        <f t="shared" si="89"/>
        <v>Yes</v>
      </c>
      <c r="Z409" s="14">
        <v>5</v>
      </c>
      <c r="AA409" s="18">
        <f t="shared" si="90"/>
        <v>5</v>
      </c>
      <c r="AB409" s="18" t="str">
        <f t="shared" si="91"/>
        <v>High Performer</v>
      </c>
      <c r="AC409" s="9" t="s">
        <v>1657</v>
      </c>
      <c r="AD409">
        <f>IF(AC409="",0,LEN(AC409)-LEN(SUBSTITUTE(AC409,",",""))+1)</f>
        <v>5</v>
      </c>
    </row>
    <row r="410" spans="1:30" ht="12.5" x14ac:dyDescent="0.25">
      <c r="A410" s="1" t="s">
        <v>1658</v>
      </c>
      <c r="B410" s="1" t="s">
        <v>1659</v>
      </c>
      <c r="C410" s="1" t="str">
        <v>Joseph Cook</v>
      </c>
      <c r="D410" s="1" t="s">
        <v>1660</v>
      </c>
      <c r="E410" s="1" t="str">
        <v>andrewsutton@yahoo.com</v>
      </c>
      <c r="F410" t="str">
        <f t="shared" si="80"/>
        <v>Valid</v>
      </c>
      <c r="G410" s="1" t="s">
        <v>27</v>
      </c>
      <c r="H410" s="1" t="str">
        <f t="shared" si="81"/>
        <v>Male</v>
      </c>
      <c r="I410" s="1" t="s">
        <v>156</v>
      </c>
      <c r="J410" t="str">
        <f t="shared" si="82"/>
        <v>IN</v>
      </c>
      <c r="L410" s="1">
        <f t="shared" si="83"/>
        <v>19</v>
      </c>
      <c r="M410" s="1" t="str">
        <f t="shared" si="84"/>
        <v>Student</v>
      </c>
      <c r="N410" s="9">
        <v>45528</v>
      </c>
      <c r="O410" s="1" t="s">
        <v>52</v>
      </c>
      <c r="P410" s="1" t="s">
        <v>37</v>
      </c>
      <c r="Q410" s="4">
        <v>8</v>
      </c>
      <c r="R410" s="13">
        <f t="shared" si="85"/>
        <v>8</v>
      </c>
      <c r="S410" s="6">
        <f t="shared" si="79"/>
        <v>0.08</v>
      </c>
      <c r="T410" s="1" t="s">
        <v>64</v>
      </c>
      <c r="U410" s="1">
        <f t="shared" si="86"/>
        <v>2</v>
      </c>
      <c r="V410" s="1">
        <f t="shared" si="87"/>
        <v>6.1999999999999993</v>
      </c>
      <c r="W410" s="10" t="str">
        <f t="shared" si="88"/>
        <v>Low</v>
      </c>
      <c r="X410" s="1">
        <v>0</v>
      </c>
      <c r="Y410" s="1" t="str">
        <f t="shared" si="89"/>
        <v>No</v>
      </c>
      <c r="Z410" s="14">
        <v>3</v>
      </c>
      <c r="AA410" s="18">
        <f t="shared" si="90"/>
        <v>3</v>
      </c>
      <c r="AB410" s="18" t="str">
        <f t="shared" si="91"/>
        <v>No</v>
      </c>
      <c r="AC410" s="9" t="s">
        <v>1661</v>
      </c>
      <c r="AD410">
        <f>IF(AC410="",0,LEN(AC410)-LEN(SUBSTITUTE(AC410,",",""))+1)</f>
        <v>2</v>
      </c>
    </row>
    <row r="411" spans="1:30" ht="12.5" x14ac:dyDescent="0.25">
      <c r="A411" s="1" t="s">
        <v>1662</v>
      </c>
      <c r="B411" s="1" t="s">
        <v>1663</v>
      </c>
      <c r="C411" s="1" t="str">
        <v>Desiree Brown</v>
      </c>
      <c r="D411" s="1" t="s">
        <v>1664</v>
      </c>
      <c r="E411" s="1" t="str">
        <v>bzamora@hotmail.com</v>
      </c>
      <c r="F411" t="str">
        <f t="shared" si="80"/>
        <v>Valid</v>
      </c>
      <c r="G411" s="1" t="s">
        <v>27</v>
      </c>
      <c r="H411" s="1" t="str">
        <f t="shared" si="81"/>
        <v>Male</v>
      </c>
      <c r="I411" s="1" t="s">
        <v>18</v>
      </c>
      <c r="J411" t="str">
        <f t="shared" si="82"/>
        <v>US</v>
      </c>
      <c r="L411" s="1">
        <f t="shared" si="83"/>
        <v>19</v>
      </c>
      <c r="M411" s="1" t="str">
        <f t="shared" si="84"/>
        <v>Student</v>
      </c>
      <c r="N411" s="2">
        <v>45363</v>
      </c>
      <c r="O411" s="1" t="s">
        <v>146</v>
      </c>
      <c r="P411" s="1" t="s">
        <v>147</v>
      </c>
      <c r="Q411" s="4">
        <v>0.8</v>
      </c>
      <c r="R411" s="13">
        <f t="shared" si="85"/>
        <v>80</v>
      </c>
      <c r="S411" s="6">
        <f t="shared" si="79"/>
        <v>0.8</v>
      </c>
      <c r="T411" s="1">
        <v>1.5</v>
      </c>
      <c r="U411" s="1">
        <f t="shared" si="86"/>
        <v>1.5</v>
      </c>
      <c r="V411" s="1">
        <f t="shared" si="87"/>
        <v>56.45</v>
      </c>
      <c r="W411" s="10" t="str">
        <f t="shared" si="88"/>
        <v>Medium</v>
      </c>
      <c r="X411" s="1">
        <v>1</v>
      </c>
      <c r="Y411" s="1" t="str">
        <f t="shared" si="89"/>
        <v>Yes</v>
      </c>
      <c r="Z411" s="14">
        <v>5</v>
      </c>
      <c r="AA411" s="18">
        <f t="shared" si="90"/>
        <v>5</v>
      </c>
      <c r="AB411" s="18" t="str">
        <f t="shared" si="91"/>
        <v>High Performer</v>
      </c>
      <c r="AC411" s="9">
        <v>45363</v>
      </c>
      <c r="AD411">
        <f>IF(AC411="",0,LEN(AC411)-LEN(SUBSTITUTE(AC411,",",""))+1)</f>
        <v>1</v>
      </c>
    </row>
    <row r="412" spans="1:30" ht="12.5" x14ac:dyDescent="0.25">
      <c r="A412" s="1" t="s">
        <v>1665</v>
      </c>
      <c r="B412" s="1" t="s">
        <v>1666</v>
      </c>
      <c r="C412" s="1" t="str">
        <v>Chad Blair</v>
      </c>
      <c r="D412" s="1" t="s">
        <v>1667</v>
      </c>
      <c r="E412" s="1" t="str">
        <v>jallen@waller-browning.com</v>
      </c>
      <c r="F412" t="str">
        <f t="shared" si="80"/>
        <v>Valid</v>
      </c>
      <c r="G412" s="1" t="s">
        <v>109</v>
      </c>
      <c r="H412" s="1" t="str">
        <f t="shared" si="81"/>
        <v>Male</v>
      </c>
      <c r="I412" s="1" t="s">
        <v>89</v>
      </c>
      <c r="J412" t="str">
        <f t="shared" si="82"/>
        <v>GERMANY</v>
      </c>
      <c r="L412" s="1">
        <f t="shared" si="83"/>
        <v>19</v>
      </c>
      <c r="M412" s="1" t="str">
        <f t="shared" si="84"/>
        <v>Student</v>
      </c>
      <c r="N412" s="9">
        <v>45093</v>
      </c>
      <c r="O412" s="1" t="s">
        <v>69</v>
      </c>
      <c r="P412" s="1" t="s">
        <v>31</v>
      </c>
      <c r="Q412" s="4">
        <v>0.66</v>
      </c>
      <c r="R412" s="13">
        <f t="shared" si="85"/>
        <v>66</v>
      </c>
      <c r="S412" s="6">
        <f t="shared" si="79"/>
        <v>0.66</v>
      </c>
      <c r="T412" s="1">
        <v>45</v>
      </c>
      <c r="U412" s="1">
        <f t="shared" si="86"/>
        <v>45</v>
      </c>
      <c r="V412" s="1">
        <f t="shared" si="87"/>
        <v>59.699999999999996</v>
      </c>
      <c r="W412" s="10" t="str">
        <f t="shared" si="88"/>
        <v>Medium</v>
      </c>
      <c r="X412" s="1" t="s">
        <v>76</v>
      </c>
      <c r="Y412" s="1" t="str">
        <f t="shared" si="89"/>
        <v>Yes</v>
      </c>
      <c r="AA412" s="18" t="str">
        <f t="shared" si="90"/>
        <v>Invalid</v>
      </c>
      <c r="AB412" s="18" t="str">
        <f t="shared" si="91"/>
        <v>High Performer</v>
      </c>
      <c r="AC412" s="9" t="s">
        <v>1668</v>
      </c>
      <c r="AD412">
        <f>IF(AC412="",0,LEN(AC412)-LEN(SUBSTITUTE(AC412,",",""))+1)</f>
        <v>3</v>
      </c>
    </row>
    <row r="413" spans="1:30" ht="12.5" x14ac:dyDescent="0.25">
      <c r="A413" s="1" t="s">
        <v>1669</v>
      </c>
      <c r="B413" s="1" t="s">
        <v>1670</v>
      </c>
      <c r="C413" s="1" t="str">
        <v>Joshua Mcbride</v>
      </c>
      <c r="D413" s="1" t="s">
        <v>1671</v>
      </c>
      <c r="E413" s="1" t="str">
        <v>haley82@forbes-daugherty.com</v>
      </c>
      <c r="F413" t="str">
        <f t="shared" si="80"/>
        <v>Valid</v>
      </c>
      <c r="G413" s="1" t="s">
        <v>88</v>
      </c>
      <c r="H413" s="1" t="str">
        <f t="shared" si="81"/>
        <v>Male</v>
      </c>
      <c r="I413" s="1" t="s">
        <v>18</v>
      </c>
      <c r="J413" t="str">
        <f t="shared" si="82"/>
        <v>US</v>
      </c>
      <c r="L413" s="1">
        <f t="shared" si="83"/>
        <v>19</v>
      </c>
      <c r="M413" s="1" t="str">
        <f t="shared" si="84"/>
        <v>Student</v>
      </c>
      <c r="N413" s="2">
        <v>45385</v>
      </c>
      <c r="O413" s="1" t="s">
        <v>19</v>
      </c>
      <c r="P413" s="1" t="s">
        <v>20</v>
      </c>
      <c r="Q413" s="4">
        <v>94</v>
      </c>
      <c r="R413" s="13">
        <f t="shared" si="85"/>
        <v>94</v>
      </c>
      <c r="S413" s="6">
        <f t="shared" si="79"/>
        <v>0.94</v>
      </c>
      <c r="T413" s="1" t="s">
        <v>46</v>
      </c>
      <c r="U413" s="1">
        <f t="shared" si="86"/>
        <v>1</v>
      </c>
      <c r="V413" s="1">
        <f t="shared" si="87"/>
        <v>66.099999999999994</v>
      </c>
      <c r="W413" s="10" t="str">
        <f t="shared" si="88"/>
        <v>Medium</v>
      </c>
      <c r="X413" s="1">
        <v>0</v>
      </c>
      <c r="Y413" s="1" t="str">
        <f t="shared" si="89"/>
        <v>No</v>
      </c>
      <c r="Z413" s="14">
        <v>6</v>
      </c>
      <c r="AA413" s="18">
        <f t="shared" si="90"/>
        <v>6</v>
      </c>
      <c r="AB413" s="18" t="str">
        <f t="shared" si="91"/>
        <v>No</v>
      </c>
      <c r="AC413" s="9" t="s">
        <v>1672</v>
      </c>
      <c r="AD413">
        <f>IF(AC413="",0,LEN(AC413)-LEN(SUBSTITUTE(AC413,",",""))+1)</f>
        <v>8</v>
      </c>
    </row>
    <row r="414" spans="1:30" ht="12.5" x14ac:dyDescent="0.25">
      <c r="A414" s="1" t="s">
        <v>1673</v>
      </c>
      <c r="B414" s="1" t="s">
        <v>1674</v>
      </c>
      <c r="C414" s="1" t="str">
        <v>Justin Fry</v>
      </c>
      <c r="D414" s="1" t="s">
        <v>1675</v>
      </c>
      <c r="E414" s="1" t="str">
        <v>lonniehobbs@johnson.biz</v>
      </c>
      <c r="F414" t="str">
        <f t="shared" si="80"/>
        <v>Valid</v>
      </c>
      <c r="G414" s="1" t="s">
        <v>95</v>
      </c>
      <c r="H414" s="1" t="str">
        <f t="shared" si="81"/>
        <v>Male</v>
      </c>
      <c r="I414" s="1" t="s">
        <v>74</v>
      </c>
      <c r="J414" t="str">
        <f t="shared" si="82"/>
        <v>USA</v>
      </c>
      <c r="L414" s="1">
        <f t="shared" si="83"/>
        <v>19</v>
      </c>
      <c r="M414" s="1" t="str">
        <f t="shared" si="84"/>
        <v>Student</v>
      </c>
      <c r="N414" s="9">
        <v>45677</v>
      </c>
      <c r="O414" s="1" t="s">
        <v>235</v>
      </c>
      <c r="P414" s="1" t="s">
        <v>147</v>
      </c>
      <c r="Q414" s="4">
        <v>0.08</v>
      </c>
      <c r="R414" s="13">
        <f t="shared" si="85"/>
        <v>8</v>
      </c>
      <c r="S414" s="6">
        <f t="shared" si="79"/>
        <v>0.08</v>
      </c>
      <c r="T414" s="1" t="s">
        <v>46</v>
      </c>
      <c r="U414" s="1">
        <f t="shared" si="86"/>
        <v>1</v>
      </c>
      <c r="V414" s="1">
        <f t="shared" si="87"/>
        <v>5.8999999999999995</v>
      </c>
      <c r="W414" s="10" t="str">
        <f t="shared" si="88"/>
        <v>Low</v>
      </c>
      <c r="X414" s="1">
        <v>0</v>
      </c>
      <c r="Y414" s="1" t="str">
        <f t="shared" si="89"/>
        <v>No</v>
      </c>
      <c r="Z414" s="14">
        <v>3</v>
      </c>
      <c r="AA414" s="18">
        <f t="shared" si="90"/>
        <v>3</v>
      </c>
      <c r="AB414" s="18" t="str">
        <f t="shared" si="91"/>
        <v>No</v>
      </c>
      <c r="AC414" s="9" t="s">
        <v>1676</v>
      </c>
      <c r="AD414">
        <f>IF(AC414="",0,LEN(AC414)-LEN(SUBSTITUTE(AC414,",",""))+1)</f>
        <v>4</v>
      </c>
    </row>
    <row r="415" spans="1:30" ht="12.5" x14ac:dyDescent="0.25">
      <c r="A415" s="1" t="s">
        <v>1677</v>
      </c>
      <c r="B415" s="1" t="s">
        <v>1678</v>
      </c>
      <c r="C415" s="1" t="str">
        <v>Taylor Hill</v>
      </c>
      <c r="D415" s="1" t="s">
        <v>1679</v>
      </c>
      <c r="E415" s="1" t="str">
        <v>andersonanthony@jensen.org</v>
      </c>
      <c r="F415" t="str">
        <f t="shared" si="80"/>
        <v>Valid</v>
      </c>
      <c r="G415" s="1" t="s">
        <v>95</v>
      </c>
      <c r="H415" s="1" t="str">
        <f t="shared" si="81"/>
        <v>Male</v>
      </c>
      <c r="I415" s="1" t="s">
        <v>51</v>
      </c>
      <c r="J415" t="str">
        <f t="shared" si="82"/>
        <v>UK</v>
      </c>
      <c r="K415" s="14">
        <v>33</v>
      </c>
      <c r="L415" s="1">
        <f t="shared" si="83"/>
        <v>33</v>
      </c>
      <c r="M415" s="1" t="str">
        <f t="shared" si="84"/>
        <v>Mid Career</v>
      </c>
      <c r="N415" s="9">
        <v>45129</v>
      </c>
      <c r="O415" s="1" t="s">
        <v>30</v>
      </c>
      <c r="P415" s="1" t="s">
        <v>31</v>
      </c>
      <c r="Q415" s="4">
        <v>0.43</v>
      </c>
      <c r="R415" s="13">
        <f t="shared" si="85"/>
        <v>43</v>
      </c>
      <c r="S415" s="6">
        <f t="shared" si="79"/>
        <v>0.43</v>
      </c>
      <c r="T415" s="1" t="s">
        <v>21</v>
      </c>
      <c r="U415" s="1">
        <f t="shared" si="86"/>
        <v>1.5</v>
      </c>
      <c r="V415" s="1">
        <f t="shared" si="87"/>
        <v>30.549999999999997</v>
      </c>
      <c r="W415" s="10" t="str">
        <f t="shared" si="88"/>
        <v>Low</v>
      </c>
      <c r="X415" s="1">
        <v>1</v>
      </c>
      <c r="Y415" s="1" t="str">
        <f t="shared" si="89"/>
        <v>Yes</v>
      </c>
      <c r="AA415" s="18" t="str">
        <f t="shared" si="90"/>
        <v>Invalid</v>
      </c>
      <c r="AB415" s="18" t="str">
        <f t="shared" si="91"/>
        <v>High Performer</v>
      </c>
      <c r="AC415" s="9" t="s">
        <v>1680</v>
      </c>
      <c r="AD415">
        <f>IF(AC415="",0,LEN(AC415)-LEN(SUBSTITUTE(AC415,",",""))+1)</f>
        <v>1</v>
      </c>
    </row>
    <row r="416" spans="1:30" ht="12.5" x14ac:dyDescent="0.25">
      <c r="A416" s="1" t="s">
        <v>1681</v>
      </c>
      <c r="B416" s="1" t="s">
        <v>1682</v>
      </c>
      <c r="C416" s="1" t="str">
        <v>Richard Anderson</v>
      </c>
      <c r="D416" s="1" t="s">
        <v>1683</v>
      </c>
      <c r="E416" s="1" t="str">
        <v>jack67@yahoo.com</v>
      </c>
      <c r="F416" t="str">
        <f t="shared" si="80"/>
        <v>Valid</v>
      </c>
      <c r="G416" s="1" t="s">
        <v>95</v>
      </c>
      <c r="H416" s="1" t="str">
        <f t="shared" si="81"/>
        <v>Male</v>
      </c>
      <c r="I416" s="1" t="s">
        <v>89</v>
      </c>
      <c r="J416" t="str">
        <f t="shared" si="82"/>
        <v>GERMANY</v>
      </c>
      <c r="K416" s="14">
        <v>0</v>
      </c>
      <c r="L416" s="1">
        <f t="shared" si="83"/>
        <v>19</v>
      </c>
      <c r="M416" s="1" t="str">
        <f t="shared" si="84"/>
        <v>Student</v>
      </c>
      <c r="N416" s="2">
        <v>44961</v>
      </c>
      <c r="O416" s="1" t="s">
        <v>52</v>
      </c>
      <c r="P416" s="1" t="s">
        <v>37</v>
      </c>
      <c r="Q416" s="4">
        <v>0.66</v>
      </c>
      <c r="R416" s="13">
        <f t="shared" si="85"/>
        <v>66</v>
      </c>
      <c r="S416" s="6">
        <f t="shared" si="79"/>
        <v>0.66</v>
      </c>
      <c r="T416" s="1" t="s">
        <v>46</v>
      </c>
      <c r="U416" s="1">
        <f t="shared" si="86"/>
        <v>1</v>
      </c>
      <c r="V416" s="1">
        <f t="shared" si="87"/>
        <v>46.499999999999993</v>
      </c>
      <c r="W416" s="10" t="str">
        <f t="shared" si="88"/>
        <v>Medium</v>
      </c>
      <c r="X416" s="1" t="s">
        <v>32</v>
      </c>
      <c r="Y416" s="1" t="str">
        <f t="shared" si="89"/>
        <v>Yes</v>
      </c>
      <c r="Z416" s="14">
        <v>3</v>
      </c>
      <c r="AA416" s="18">
        <f t="shared" si="90"/>
        <v>3</v>
      </c>
      <c r="AB416" s="18" t="str">
        <f t="shared" si="91"/>
        <v>No</v>
      </c>
      <c r="AC416" s="9" t="s">
        <v>874</v>
      </c>
      <c r="AD416">
        <f>IF(AC416="",0,LEN(AC416)-LEN(SUBSTITUTE(AC416,",",""))+1)</f>
        <v>7</v>
      </c>
    </row>
    <row r="417" spans="1:30" ht="12.5" x14ac:dyDescent="0.25">
      <c r="A417" s="1" t="s">
        <v>1684</v>
      </c>
      <c r="B417" s="1" t="s">
        <v>1685</v>
      </c>
      <c r="C417" s="1" t="str">
        <v>Wayne Schaefer</v>
      </c>
      <c r="D417" s="1" t="s">
        <v>1686</v>
      </c>
      <c r="E417" s="1" t="str">
        <v>juliamcneil@gmail.com</v>
      </c>
      <c r="F417" t="str">
        <f t="shared" si="80"/>
        <v>Valid</v>
      </c>
      <c r="G417" s="1" t="s">
        <v>88</v>
      </c>
      <c r="H417" s="1" t="str">
        <f t="shared" si="81"/>
        <v>Male</v>
      </c>
      <c r="I417" s="1" t="s">
        <v>51</v>
      </c>
      <c r="J417" t="str">
        <f t="shared" si="82"/>
        <v>UK</v>
      </c>
      <c r="K417" s="14">
        <v>37</v>
      </c>
      <c r="L417" s="1">
        <f t="shared" si="83"/>
        <v>37</v>
      </c>
      <c r="M417" s="1" t="str">
        <f t="shared" si="84"/>
        <v>Mid Career</v>
      </c>
      <c r="N417" s="2">
        <v>44723</v>
      </c>
      <c r="O417" s="1" t="s">
        <v>19</v>
      </c>
      <c r="P417" s="1" t="s">
        <v>20</v>
      </c>
      <c r="Q417" s="4">
        <v>0.48</v>
      </c>
      <c r="R417" s="13">
        <f t="shared" si="85"/>
        <v>48</v>
      </c>
      <c r="S417" s="6">
        <f t="shared" si="79"/>
        <v>0.48</v>
      </c>
      <c r="T417" s="1">
        <v>1.5</v>
      </c>
      <c r="U417" s="1">
        <f t="shared" si="86"/>
        <v>1.5</v>
      </c>
      <c r="V417" s="1">
        <f t="shared" si="87"/>
        <v>34.049999999999997</v>
      </c>
      <c r="W417" s="10" t="str">
        <f t="shared" si="88"/>
        <v>Low</v>
      </c>
      <c r="X417" s="1" t="s">
        <v>32</v>
      </c>
      <c r="Y417" s="1" t="str">
        <f t="shared" si="89"/>
        <v>Yes</v>
      </c>
      <c r="AA417" s="18" t="str">
        <f t="shared" si="90"/>
        <v>Invalid</v>
      </c>
      <c r="AB417" s="18" t="str">
        <f t="shared" si="91"/>
        <v>High Performer</v>
      </c>
      <c r="AC417" s="9" t="s">
        <v>1687</v>
      </c>
      <c r="AD417">
        <f>IF(AC417="",0,LEN(AC417)-LEN(SUBSTITUTE(AC417,",",""))+1)</f>
        <v>5</v>
      </c>
    </row>
    <row r="418" spans="1:30" ht="12.5" x14ac:dyDescent="0.25">
      <c r="A418" s="1" t="s">
        <v>1688</v>
      </c>
      <c r="B418" s="1" t="s">
        <v>1689</v>
      </c>
      <c r="C418" s="1" t="str">
        <v>Luis Watts</v>
      </c>
      <c r="D418" s="1" t="s">
        <v>1690</v>
      </c>
      <c r="E418" s="1" t="str">
        <v>ronaldparsons@hotmail.com</v>
      </c>
      <c r="F418" t="str">
        <f t="shared" si="80"/>
        <v>Valid</v>
      </c>
      <c r="G418" s="1" t="s">
        <v>27</v>
      </c>
      <c r="H418" s="1" t="str">
        <f t="shared" si="81"/>
        <v>Male</v>
      </c>
      <c r="I418" s="1" t="s">
        <v>89</v>
      </c>
      <c r="J418" t="str">
        <f t="shared" si="82"/>
        <v>GERMANY</v>
      </c>
      <c r="L418" s="1">
        <f t="shared" si="83"/>
        <v>19</v>
      </c>
      <c r="M418" s="1" t="str">
        <f t="shared" si="84"/>
        <v>Student</v>
      </c>
      <c r="N418" s="9">
        <v>44760</v>
      </c>
      <c r="O418" s="1" t="s">
        <v>75</v>
      </c>
      <c r="P418" s="1" t="s">
        <v>37</v>
      </c>
      <c r="Q418" s="4">
        <v>0.63</v>
      </c>
      <c r="R418" s="13">
        <f t="shared" si="85"/>
        <v>63</v>
      </c>
      <c r="S418" s="6">
        <f t="shared" si="79"/>
        <v>0.63</v>
      </c>
      <c r="T418" s="1">
        <v>2</v>
      </c>
      <c r="U418" s="1">
        <f t="shared" si="86"/>
        <v>2</v>
      </c>
      <c r="V418" s="1">
        <f t="shared" si="87"/>
        <v>44.699999999999996</v>
      </c>
      <c r="W418" s="10" t="str">
        <f t="shared" si="88"/>
        <v>Medium</v>
      </c>
      <c r="X418" s="1" t="s">
        <v>32</v>
      </c>
      <c r="Y418" s="1" t="str">
        <f t="shared" si="89"/>
        <v>Yes</v>
      </c>
      <c r="Z418" s="14">
        <v>2</v>
      </c>
      <c r="AA418" s="18">
        <f t="shared" si="90"/>
        <v>2</v>
      </c>
      <c r="AB418" s="18" t="str">
        <f t="shared" si="91"/>
        <v>No</v>
      </c>
      <c r="AC418" s="9" t="s">
        <v>1691</v>
      </c>
      <c r="AD418">
        <f>IF(AC418="",0,LEN(AC418)-LEN(SUBSTITUTE(AC418,",",""))+1)</f>
        <v>1</v>
      </c>
    </row>
    <row r="419" spans="1:30" ht="12.5" x14ac:dyDescent="0.25">
      <c r="A419" s="1" t="s">
        <v>1692</v>
      </c>
      <c r="B419" s="1" t="s">
        <v>1693</v>
      </c>
      <c r="C419" s="1" t="str">
        <v>Laura Herrera</v>
      </c>
      <c r="D419" s="1" t="s">
        <v>1694</v>
      </c>
      <c r="E419" s="1" t="str">
        <v>hayesmargaret@rich.net</v>
      </c>
      <c r="F419" t="str">
        <f t="shared" si="80"/>
        <v>Valid</v>
      </c>
      <c r="G419" s="1" t="s">
        <v>119</v>
      </c>
      <c r="H419" s="1" t="str">
        <f t="shared" si="81"/>
        <v>Female</v>
      </c>
      <c r="I419" s="1" t="s">
        <v>96</v>
      </c>
      <c r="J419" t="str">
        <f t="shared" si="82"/>
        <v>INDIA</v>
      </c>
      <c r="L419" s="1">
        <f t="shared" si="83"/>
        <v>19</v>
      </c>
      <c r="M419" s="1" t="str">
        <f t="shared" si="84"/>
        <v>Student</v>
      </c>
      <c r="N419" s="9">
        <v>45248</v>
      </c>
      <c r="O419" s="1" t="s">
        <v>19</v>
      </c>
      <c r="P419" s="1" t="s">
        <v>20</v>
      </c>
      <c r="Q419" s="4">
        <v>0.61</v>
      </c>
      <c r="R419" s="13">
        <f t="shared" si="85"/>
        <v>61</v>
      </c>
      <c r="S419" s="6">
        <f t="shared" si="79"/>
        <v>0.61</v>
      </c>
      <c r="T419" s="1" t="s">
        <v>64</v>
      </c>
      <c r="U419" s="1">
        <f t="shared" si="86"/>
        <v>2</v>
      </c>
      <c r="V419" s="1">
        <f t="shared" si="87"/>
        <v>43.3</v>
      </c>
      <c r="W419" s="10" t="str">
        <f t="shared" si="88"/>
        <v>Medium</v>
      </c>
      <c r="X419" s="1" t="s">
        <v>76</v>
      </c>
      <c r="Y419" s="1" t="str">
        <f t="shared" si="89"/>
        <v>Yes</v>
      </c>
      <c r="Z419" s="14">
        <v>5</v>
      </c>
      <c r="AA419" s="18">
        <f t="shared" si="90"/>
        <v>5</v>
      </c>
      <c r="AB419" s="18" t="str">
        <f t="shared" si="91"/>
        <v>High Performer</v>
      </c>
      <c r="AC419" s="9" t="s">
        <v>1695</v>
      </c>
      <c r="AD419">
        <f>IF(AC419="",0,LEN(AC419)-LEN(SUBSTITUTE(AC419,",",""))+1)</f>
        <v>2</v>
      </c>
    </row>
    <row r="420" spans="1:30" ht="12.5" x14ac:dyDescent="0.25">
      <c r="A420" s="1" t="s">
        <v>1696</v>
      </c>
      <c r="B420" s="1" t="s">
        <v>1697</v>
      </c>
      <c r="C420" s="1" t="str">
        <v>Kelli Mccoy</v>
      </c>
      <c r="D420" s="1" t="s">
        <v>1698</v>
      </c>
      <c r="E420" s="1" t="str">
        <v>kellysanders@ayala-mitchell.com</v>
      </c>
      <c r="F420" t="str">
        <f t="shared" si="80"/>
        <v>Valid</v>
      </c>
      <c r="G420" s="1" t="s">
        <v>95</v>
      </c>
      <c r="H420" s="1" t="str">
        <f t="shared" si="81"/>
        <v>Male</v>
      </c>
      <c r="I420" s="1" t="s">
        <v>44</v>
      </c>
      <c r="J420" t="str">
        <f t="shared" si="82"/>
        <v>CANADA</v>
      </c>
      <c r="K420" s="14">
        <v>0</v>
      </c>
      <c r="L420" s="1">
        <f t="shared" si="83"/>
        <v>19</v>
      </c>
      <c r="M420" s="1" t="str">
        <f t="shared" si="84"/>
        <v>Student</v>
      </c>
      <c r="N420" s="9">
        <v>45493</v>
      </c>
      <c r="O420" s="1" t="s">
        <v>30</v>
      </c>
      <c r="P420" s="1" t="s">
        <v>31</v>
      </c>
      <c r="Q420" s="4">
        <v>58</v>
      </c>
      <c r="R420" s="13">
        <f t="shared" si="85"/>
        <v>58</v>
      </c>
      <c r="S420" s="6">
        <f t="shared" si="79"/>
        <v>0.57999999999999996</v>
      </c>
      <c r="T420" s="1" t="s">
        <v>21</v>
      </c>
      <c r="U420" s="1">
        <f t="shared" si="86"/>
        <v>1.5</v>
      </c>
      <c r="V420" s="1">
        <f t="shared" si="87"/>
        <v>41.05</v>
      </c>
      <c r="W420" s="10" t="str">
        <f t="shared" si="88"/>
        <v>Medium</v>
      </c>
      <c r="X420" s="1" t="s">
        <v>76</v>
      </c>
      <c r="Y420" s="1" t="str">
        <f t="shared" si="89"/>
        <v>Yes</v>
      </c>
      <c r="Z420" s="14">
        <v>4</v>
      </c>
      <c r="AA420" s="18">
        <f t="shared" si="90"/>
        <v>4</v>
      </c>
      <c r="AB420" s="18" t="str">
        <f t="shared" si="91"/>
        <v>High Performer</v>
      </c>
      <c r="AC420" s="9" t="s">
        <v>1699</v>
      </c>
      <c r="AD420">
        <f>IF(AC420="",0,LEN(AC420)-LEN(SUBSTITUTE(AC420,",",""))+1)</f>
        <v>3</v>
      </c>
    </row>
    <row r="421" spans="1:30" ht="12.5" x14ac:dyDescent="0.25">
      <c r="A421" s="1" t="s">
        <v>1700</v>
      </c>
      <c r="B421" s="1" t="s">
        <v>1701</v>
      </c>
      <c r="C421" s="1" t="str">
        <v>Stephanie Ford</v>
      </c>
      <c r="D421" s="1" t="s">
        <v>1702</v>
      </c>
      <c r="E421" s="1" t="str">
        <v>sharpdaniel@hotmail.com</v>
      </c>
      <c r="F421" t="str">
        <f t="shared" si="80"/>
        <v>Valid</v>
      </c>
      <c r="G421" s="1" t="s">
        <v>27</v>
      </c>
      <c r="H421" s="1" t="str">
        <f t="shared" si="81"/>
        <v>Male</v>
      </c>
      <c r="I421" s="1" t="s">
        <v>89</v>
      </c>
      <c r="J421" t="str">
        <f t="shared" si="82"/>
        <v>GERMANY</v>
      </c>
      <c r="K421" s="14">
        <v>28</v>
      </c>
      <c r="L421" s="1">
        <f t="shared" si="83"/>
        <v>28</v>
      </c>
      <c r="M421" s="1" t="str">
        <f t="shared" si="84"/>
        <v>Early Career</v>
      </c>
      <c r="N421" s="9">
        <v>45314</v>
      </c>
      <c r="O421" s="1" t="s">
        <v>52</v>
      </c>
      <c r="P421" s="1" t="s">
        <v>37</v>
      </c>
      <c r="Q421" s="4">
        <v>0.84</v>
      </c>
      <c r="R421" s="13">
        <f t="shared" si="85"/>
        <v>84</v>
      </c>
      <c r="S421" s="6">
        <f t="shared" si="79"/>
        <v>0.84</v>
      </c>
      <c r="T421" s="1">
        <v>1.5</v>
      </c>
      <c r="U421" s="1">
        <f t="shared" si="86"/>
        <v>1.5</v>
      </c>
      <c r="V421" s="1">
        <f t="shared" si="87"/>
        <v>59.25</v>
      </c>
      <c r="W421" s="10" t="str">
        <f t="shared" si="88"/>
        <v>Medium</v>
      </c>
      <c r="X421" s="1" t="s">
        <v>32</v>
      </c>
      <c r="Y421" s="1" t="str">
        <f t="shared" si="89"/>
        <v>Yes</v>
      </c>
      <c r="AA421" s="18" t="str">
        <f t="shared" si="90"/>
        <v>Invalid</v>
      </c>
      <c r="AB421" s="18" t="str">
        <f t="shared" si="91"/>
        <v>High Performer</v>
      </c>
      <c r="AC421" s="9" t="s">
        <v>1703</v>
      </c>
      <c r="AD421">
        <f>IF(AC421="",0,LEN(AC421)-LEN(SUBSTITUTE(AC421,",",""))+1)</f>
        <v>1</v>
      </c>
    </row>
    <row r="422" spans="1:30" ht="12.5" x14ac:dyDescent="0.25">
      <c r="A422" s="1" t="s">
        <v>1704</v>
      </c>
      <c r="B422" s="1" t="s">
        <v>1705</v>
      </c>
      <c r="C422" s="1" t="str">
        <v>Alexander Chavez</v>
      </c>
      <c r="D422" s="1" t="s">
        <v>127</v>
      </c>
      <c r="E422" s="1" t="str">
        <v>invalid-email</v>
      </c>
      <c r="F422" t="str">
        <f t="shared" si="80"/>
        <v>Invalid</v>
      </c>
      <c r="G422" s="1" t="s">
        <v>17</v>
      </c>
      <c r="H422" s="1" t="str">
        <f t="shared" si="81"/>
        <v>Female</v>
      </c>
      <c r="I422" s="1" t="s">
        <v>89</v>
      </c>
      <c r="J422" t="str">
        <f t="shared" si="82"/>
        <v>GERMANY</v>
      </c>
      <c r="L422" s="1">
        <f t="shared" si="83"/>
        <v>19</v>
      </c>
      <c r="M422" s="1" t="str">
        <f t="shared" si="84"/>
        <v>Student</v>
      </c>
      <c r="N422" s="9">
        <v>45739</v>
      </c>
      <c r="O422" s="1" t="s">
        <v>69</v>
      </c>
      <c r="P422" s="1" t="s">
        <v>31</v>
      </c>
      <c r="Q422" s="4">
        <v>0.19</v>
      </c>
      <c r="R422" s="13">
        <f t="shared" si="85"/>
        <v>19</v>
      </c>
      <c r="S422" s="6">
        <f t="shared" si="79"/>
        <v>0.19</v>
      </c>
      <c r="T422" s="1" t="s">
        <v>46</v>
      </c>
      <c r="U422" s="1">
        <f t="shared" si="86"/>
        <v>1</v>
      </c>
      <c r="V422" s="1">
        <f t="shared" si="87"/>
        <v>13.6</v>
      </c>
      <c r="W422" s="10" t="str">
        <f t="shared" si="88"/>
        <v>Low</v>
      </c>
      <c r="X422" s="1" t="s">
        <v>32</v>
      </c>
      <c r="Y422" s="1" t="str">
        <f t="shared" si="89"/>
        <v>Yes</v>
      </c>
      <c r="Z422" s="14">
        <v>2</v>
      </c>
      <c r="AA422" s="18">
        <f t="shared" si="90"/>
        <v>2</v>
      </c>
      <c r="AB422" s="18" t="str">
        <f t="shared" si="91"/>
        <v>No</v>
      </c>
      <c r="AC422" s="9" t="s">
        <v>1706</v>
      </c>
      <c r="AD422">
        <f>IF(AC422="",0,LEN(AC422)-LEN(SUBSTITUTE(AC422,",",""))+1)</f>
        <v>8</v>
      </c>
    </row>
    <row r="423" spans="1:30" ht="12.5" x14ac:dyDescent="0.25">
      <c r="A423" s="1" t="s">
        <v>1707</v>
      </c>
      <c r="B423" s="1" t="s">
        <v>1708</v>
      </c>
      <c r="C423" s="1" t="str">
        <v>Matthew Dawson</v>
      </c>
      <c r="D423" s="1" t="s">
        <v>1709</v>
      </c>
      <c r="E423" s="1" t="str">
        <v>davisjasmin@cox.net</v>
      </c>
      <c r="F423" t="str">
        <f t="shared" si="80"/>
        <v>Valid</v>
      </c>
      <c r="G423" s="1" t="s">
        <v>119</v>
      </c>
      <c r="H423" s="1" t="str">
        <f t="shared" si="81"/>
        <v>Female</v>
      </c>
      <c r="I423" s="1" t="s">
        <v>28</v>
      </c>
      <c r="J423" t="str">
        <f t="shared" si="82"/>
        <v>INDIA</v>
      </c>
      <c r="K423" s="14">
        <v>22</v>
      </c>
      <c r="L423" s="1">
        <f t="shared" si="83"/>
        <v>22</v>
      </c>
      <c r="M423" s="1" t="str">
        <f t="shared" si="84"/>
        <v>Early Career</v>
      </c>
      <c r="N423" s="9">
        <v>44971</v>
      </c>
      <c r="O423" s="1" t="s">
        <v>146</v>
      </c>
      <c r="P423" s="1" t="s">
        <v>147</v>
      </c>
      <c r="Q423" s="4">
        <v>0.09</v>
      </c>
      <c r="R423" s="13">
        <f t="shared" si="85"/>
        <v>9</v>
      </c>
      <c r="S423" s="6">
        <f t="shared" si="79"/>
        <v>0.09</v>
      </c>
      <c r="T423" s="1">
        <v>45</v>
      </c>
      <c r="U423" s="1">
        <f t="shared" si="86"/>
        <v>45</v>
      </c>
      <c r="V423" s="1">
        <f t="shared" si="87"/>
        <v>19.8</v>
      </c>
      <c r="W423" s="10" t="str">
        <f t="shared" si="88"/>
        <v>Low</v>
      </c>
      <c r="X423" s="1">
        <v>0</v>
      </c>
      <c r="Y423" s="1" t="str">
        <f t="shared" si="89"/>
        <v>No</v>
      </c>
      <c r="Z423" s="14">
        <v>3</v>
      </c>
      <c r="AA423" s="18">
        <f t="shared" si="90"/>
        <v>3</v>
      </c>
      <c r="AB423" s="18" t="str">
        <f t="shared" si="91"/>
        <v>No</v>
      </c>
      <c r="AC423" s="9" t="s">
        <v>1710</v>
      </c>
      <c r="AD423">
        <f>IF(AC423="",0,LEN(AC423)-LEN(SUBSTITUTE(AC423,",",""))+1)</f>
        <v>5</v>
      </c>
    </row>
    <row r="424" spans="1:30" ht="12.5" x14ac:dyDescent="0.25">
      <c r="A424" s="1" t="s">
        <v>1711</v>
      </c>
      <c r="B424" s="1" t="s">
        <v>1712</v>
      </c>
      <c r="C424" s="1" t="str">
        <v>Randy Barr</v>
      </c>
      <c r="D424" s="1" t="s">
        <v>1713</v>
      </c>
      <c r="E424" s="1" t="str">
        <v>mistywhite@williams.info</v>
      </c>
      <c r="F424" t="str">
        <f t="shared" si="80"/>
        <v>Valid</v>
      </c>
      <c r="G424" s="1" t="s">
        <v>119</v>
      </c>
      <c r="H424" s="1" t="str">
        <f t="shared" si="81"/>
        <v>Female</v>
      </c>
      <c r="I424" s="1" t="s">
        <v>156</v>
      </c>
      <c r="J424" t="str">
        <f t="shared" si="82"/>
        <v>IN</v>
      </c>
      <c r="L424" s="1">
        <f t="shared" si="83"/>
        <v>19</v>
      </c>
      <c r="M424" s="1" t="str">
        <f t="shared" si="84"/>
        <v>Student</v>
      </c>
      <c r="N424" s="3">
        <v>45637</v>
      </c>
      <c r="O424" s="1" t="s">
        <v>19</v>
      </c>
      <c r="P424" s="1" t="s">
        <v>20</v>
      </c>
      <c r="Q424" s="4">
        <v>0.5</v>
      </c>
      <c r="R424" s="13">
        <f t="shared" si="85"/>
        <v>50</v>
      </c>
      <c r="S424" s="6">
        <f t="shared" si="79"/>
        <v>0.5</v>
      </c>
      <c r="T424" s="1">
        <v>1.5</v>
      </c>
      <c r="U424" s="1">
        <f t="shared" si="86"/>
        <v>1.5</v>
      </c>
      <c r="V424" s="1">
        <f t="shared" si="87"/>
        <v>35.450000000000003</v>
      </c>
      <c r="W424" s="10" t="str">
        <f t="shared" si="88"/>
        <v>Low</v>
      </c>
      <c r="X424" s="1">
        <v>0</v>
      </c>
      <c r="Y424" s="1" t="str">
        <f t="shared" si="89"/>
        <v>No</v>
      </c>
      <c r="Z424" s="14">
        <v>2</v>
      </c>
      <c r="AA424" s="18">
        <f t="shared" si="90"/>
        <v>2</v>
      </c>
      <c r="AB424" s="18" t="str">
        <f t="shared" si="91"/>
        <v>No</v>
      </c>
      <c r="AC424" s="9" t="s">
        <v>1714</v>
      </c>
      <c r="AD424">
        <f>IF(AC424="",0,LEN(AC424)-LEN(SUBSTITUTE(AC424,",",""))+1)</f>
        <v>7</v>
      </c>
    </row>
    <row r="425" spans="1:30" ht="12.5" x14ac:dyDescent="0.25">
      <c r="A425" s="1" t="s">
        <v>1715</v>
      </c>
      <c r="B425" s="1" t="s">
        <v>1716</v>
      </c>
      <c r="C425" s="1" t="str">
        <v>Dale Dean</v>
      </c>
      <c r="D425" s="1" t="s">
        <v>1717</v>
      </c>
      <c r="E425" s="1" t="str">
        <v>ellismelissa@hotmail.com</v>
      </c>
      <c r="F425" t="str">
        <f t="shared" si="80"/>
        <v>Valid</v>
      </c>
      <c r="G425" s="1" t="s">
        <v>119</v>
      </c>
      <c r="H425" s="1" t="str">
        <f t="shared" si="81"/>
        <v>Female</v>
      </c>
      <c r="I425" s="1" t="s">
        <v>136</v>
      </c>
      <c r="J425" t="str">
        <f t="shared" si="82"/>
        <v>UK</v>
      </c>
      <c r="K425" s="14">
        <v>25</v>
      </c>
      <c r="L425" s="1">
        <f t="shared" si="83"/>
        <v>25</v>
      </c>
      <c r="M425" s="1" t="str">
        <f t="shared" si="84"/>
        <v>Early Career</v>
      </c>
      <c r="N425" s="9">
        <v>45106</v>
      </c>
      <c r="O425" s="1" t="s">
        <v>90</v>
      </c>
      <c r="P425" s="1" t="s">
        <v>31</v>
      </c>
      <c r="Q425" s="4">
        <v>0.89</v>
      </c>
      <c r="R425" s="13">
        <f t="shared" si="85"/>
        <v>89</v>
      </c>
      <c r="S425" s="6">
        <f t="shared" si="79"/>
        <v>0.89</v>
      </c>
      <c r="T425" s="1">
        <v>45</v>
      </c>
      <c r="U425" s="1">
        <f t="shared" si="86"/>
        <v>45</v>
      </c>
      <c r="V425" s="1">
        <f t="shared" si="87"/>
        <v>75.8</v>
      </c>
      <c r="W425" s="10" t="str">
        <f t="shared" si="88"/>
        <v>High</v>
      </c>
      <c r="X425" s="1">
        <v>1</v>
      </c>
      <c r="Y425" s="1" t="str">
        <f t="shared" si="89"/>
        <v>Yes</v>
      </c>
      <c r="Z425" s="14">
        <v>4</v>
      </c>
      <c r="AA425" s="18">
        <f t="shared" si="90"/>
        <v>4</v>
      </c>
      <c r="AB425" s="18" t="str">
        <f t="shared" si="91"/>
        <v>High Performer</v>
      </c>
      <c r="AC425" s="9" t="s">
        <v>1718</v>
      </c>
      <c r="AD425">
        <f>IF(AC425="",0,LEN(AC425)-LEN(SUBSTITUTE(AC425,",",""))+1)</f>
        <v>8</v>
      </c>
    </row>
    <row r="426" spans="1:30" ht="12.5" x14ac:dyDescent="0.25">
      <c r="A426" s="1" t="s">
        <v>1719</v>
      </c>
      <c r="B426" s="1" t="s">
        <v>1720</v>
      </c>
      <c r="C426" s="1" t="str">
        <v>Matthew Chavez</v>
      </c>
      <c r="D426" s="1" t="s">
        <v>1721</v>
      </c>
      <c r="E426" s="1" t="str">
        <v>burkeadam@hotmail.com</v>
      </c>
      <c r="F426" t="str">
        <f t="shared" si="80"/>
        <v>Valid</v>
      </c>
      <c r="G426" s="1" t="s">
        <v>119</v>
      </c>
      <c r="H426" s="1" t="str">
        <f t="shared" si="81"/>
        <v>Female</v>
      </c>
      <c r="I426" s="1" t="s">
        <v>136</v>
      </c>
      <c r="J426" t="str">
        <f t="shared" si="82"/>
        <v>UK</v>
      </c>
      <c r="K426" s="14">
        <v>18</v>
      </c>
      <c r="L426" s="1">
        <f t="shared" si="83"/>
        <v>18</v>
      </c>
      <c r="M426" s="1" t="str">
        <f t="shared" si="84"/>
        <v>Student</v>
      </c>
      <c r="N426" s="9">
        <v>44666</v>
      </c>
      <c r="O426" s="1" t="s">
        <v>52</v>
      </c>
      <c r="P426" s="1" t="s">
        <v>37</v>
      </c>
      <c r="Q426" s="4">
        <v>0.85</v>
      </c>
      <c r="R426" s="13">
        <f t="shared" si="85"/>
        <v>85</v>
      </c>
      <c r="S426" s="6">
        <f t="shared" si="79"/>
        <v>0.85</v>
      </c>
      <c r="T426" s="1" t="s">
        <v>21</v>
      </c>
      <c r="U426" s="1">
        <f t="shared" si="86"/>
        <v>1.5</v>
      </c>
      <c r="V426" s="1">
        <f t="shared" si="87"/>
        <v>59.949999999999996</v>
      </c>
      <c r="W426" s="10" t="str">
        <f t="shared" si="88"/>
        <v>Medium</v>
      </c>
      <c r="X426" s="1" t="s">
        <v>32</v>
      </c>
      <c r="Y426" s="1" t="str">
        <f t="shared" si="89"/>
        <v>Yes</v>
      </c>
      <c r="Z426" s="14">
        <v>3</v>
      </c>
      <c r="AA426" s="18">
        <f t="shared" si="90"/>
        <v>3</v>
      </c>
      <c r="AB426" s="18" t="str">
        <f t="shared" si="91"/>
        <v>No</v>
      </c>
      <c r="AC426" s="9" t="s">
        <v>1722</v>
      </c>
      <c r="AD426">
        <f>IF(AC426="",0,LEN(AC426)-LEN(SUBSTITUTE(AC426,",",""))+1)</f>
        <v>7</v>
      </c>
    </row>
    <row r="427" spans="1:30" ht="12.5" x14ac:dyDescent="0.25">
      <c r="A427" s="1" t="s">
        <v>1723</v>
      </c>
      <c r="B427" s="1" t="s">
        <v>1724</v>
      </c>
      <c r="C427" s="1" t="str">
        <v>Amber Hernandez</v>
      </c>
      <c r="D427" s="1" t="s">
        <v>1725</v>
      </c>
      <c r="E427" s="1" t="str">
        <v>thomasantonio@hotmail.com</v>
      </c>
      <c r="F427" t="str">
        <f t="shared" si="80"/>
        <v>Valid</v>
      </c>
      <c r="G427" s="1" t="s">
        <v>17</v>
      </c>
      <c r="H427" s="1" t="str">
        <f t="shared" si="81"/>
        <v>Female</v>
      </c>
      <c r="I427" s="1" t="s">
        <v>156</v>
      </c>
      <c r="J427" t="str">
        <f t="shared" si="82"/>
        <v>IN</v>
      </c>
      <c r="K427" s="14">
        <v>0</v>
      </c>
      <c r="L427" s="1">
        <f t="shared" si="83"/>
        <v>19</v>
      </c>
      <c r="M427" s="1" t="str">
        <f t="shared" si="84"/>
        <v>Student</v>
      </c>
      <c r="N427" s="9">
        <v>45090</v>
      </c>
      <c r="O427" s="1" t="s">
        <v>58</v>
      </c>
      <c r="P427" s="1" t="s">
        <v>59</v>
      </c>
      <c r="Q427" s="4">
        <v>77</v>
      </c>
      <c r="R427" s="13">
        <f t="shared" si="85"/>
        <v>77</v>
      </c>
      <c r="S427" s="6">
        <f t="shared" si="79"/>
        <v>0.77</v>
      </c>
      <c r="T427" s="1">
        <v>2</v>
      </c>
      <c r="U427" s="1">
        <f t="shared" si="86"/>
        <v>2</v>
      </c>
      <c r="V427" s="1">
        <f t="shared" si="87"/>
        <v>54.5</v>
      </c>
      <c r="W427" s="10" t="str">
        <f t="shared" si="88"/>
        <v>Medium</v>
      </c>
      <c r="X427" s="1" t="s">
        <v>32</v>
      </c>
      <c r="Y427" s="1" t="str">
        <f t="shared" si="89"/>
        <v>Yes</v>
      </c>
      <c r="Z427" s="14">
        <v>5</v>
      </c>
      <c r="AA427" s="18">
        <f t="shared" si="90"/>
        <v>5</v>
      </c>
      <c r="AB427" s="18" t="str">
        <f t="shared" si="91"/>
        <v>High Performer</v>
      </c>
      <c r="AC427" s="9" t="s">
        <v>1726</v>
      </c>
      <c r="AD427">
        <f>IF(AC427="",0,LEN(AC427)-LEN(SUBSTITUTE(AC427,",",""))+1)</f>
        <v>3</v>
      </c>
    </row>
    <row r="428" spans="1:30" ht="12.5" x14ac:dyDescent="0.25">
      <c r="A428" s="1" t="s">
        <v>1727</v>
      </c>
      <c r="B428" s="1" t="s">
        <v>1728</v>
      </c>
      <c r="C428" s="1" t="str">
        <v>Jason Thompson</v>
      </c>
      <c r="D428" s="1" t="s">
        <v>1729</v>
      </c>
      <c r="E428" s="1" t="str">
        <v>tammycurry@yahoo.com</v>
      </c>
      <c r="F428" t="str">
        <f t="shared" si="80"/>
        <v>Valid</v>
      </c>
      <c r="G428" s="1" t="s">
        <v>88</v>
      </c>
      <c r="H428" s="1" t="str">
        <f t="shared" si="81"/>
        <v>Male</v>
      </c>
      <c r="I428" s="1" t="s">
        <v>74</v>
      </c>
      <c r="J428" t="str">
        <f t="shared" si="82"/>
        <v>USA</v>
      </c>
      <c r="K428" s="14">
        <v>28</v>
      </c>
      <c r="L428" s="1">
        <f t="shared" si="83"/>
        <v>28</v>
      </c>
      <c r="M428" s="1" t="str">
        <f t="shared" si="84"/>
        <v>Early Career</v>
      </c>
      <c r="N428" s="9">
        <v>45595</v>
      </c>
      <c r="O428" s="1" t="s">
        <v>69</v>
      </c>
      <c r="P428" s="1" t="s">
        <v>31</v>
      </c>
      <c r="Q428" s="4">
        <v>0.79</v>
      </c>
      <c r="R428" s="13">
        <f t="shared" si="85"/>
        <v>79</v>
      </c>
      <c r="S428" s="6">
        <f t="shared" si="79"/>
        <v>0.79</v>
      </c>
      <c r="T428" s="1">
        <v>45</v>
      </c>
      <c r="U428" s="1">
        <f t="shared" si="86"/>
        <v>45</v>
      </c>
      <c r="V428" s="1">
        <f t="shared" si="87"/>
        <v>68.8</v>
      </c>
      <c r="W428" s="10" t="str">
        <f t="shared" si="88"/>
        <v>Medium</v>
      </c>
      <c r="X428" s="1">
        <v>1</v>
      </c>
      <c r="Y428" s="1" t="str">
        <f t="shared" si="89"/>
        <v>Yes</v>
      </c>
      <c r="Z428" s="14">
        <v>2</v>
      </c>
      <c r="AA428" s="18">
        <f t="shared" si="90"/>
        <v>2</v>
      </c>
      <c r="AB428" s="18" t="str">
        <f t="shared" si="91"/>
        <v>No</v>
      </c>
      <c r="AC428" s="9" t="s">
        <v>1730</v>
      </c>
      <c r="AD428">
        <f>IF(AC428="",0,LEN(AC428)-LEN(SUBSTITUTE(AC428,",",""))+1)</f>
        <v>7</v>
      </c>
    </row>
    <row r="429" spans="1:30" ht="12.5" x14ac:dyDescent="0.25">
      <c r="A429" s="1" t="s">
        <v>1731</v>
      </c>
      <c r="B429" s="1" t="s">
        <v>1732</v>
      </c>
      <c r="C429" s="1" t="str">
        <v>James Jones</v>
      </c>
      <c r="D429" s="1" t="s">
        <v>1733</v>
      </c>
      <c r="E429" s="1" t="str">
        <v>carterdennis@hotmail.com</v>
      </c>
      <c r="F429" t="str">
        <f t="shared" si="80"/>
        <v>Valid</v>
      </c>
      <c r="G429" s="1" t="s">
        <v>119</v>
      </c>
      <c r="H429" s="1" t="str">
        <f t="shared" si="81"/>
        <v>Female</v>
      </c>
      <c r="I429" s="1" t="s">
        <v>74</v>
      </c>
      <c r="J429" t="str">
        <f t="shared" si="82"/>
        <v>USA</v>
      </c>
      <c r="K429" s="14">
        <v>0</v>
      </c>
      <c r="L429" s="1">
        <f t="shared" si="83"/>
        <v>19</v>
      </c>
      <c r="M429" s="1" t="str">
        <f t="shared" si="84"/>
        <v>Student</v>
      </c>
      <c r="N429" s="2">
        <v>44567</v>
      </c>
      <c r="O429" s="1" t="s">
        <v>58</v>
      </c>
      <c r="P429" s="1" t="s">
        <v>59</v>
      </c>
      <c r="Q429" s="4">
        <v>0.22</v>
      </c>
      <c r="R429" s="13">
        <f t="shared" si="85"/>
        <v>22</v>
      </c>
      <c r="S429" s="6">
        <f t="shared" si="79"/>
        <v>0.22</v>
      </c>
      <c r="T429" s="1">
        <v>45</v>
      </c>
      <c r="U429" s="1">
        <f t="shared" si="86"/>
        <v>45</v>
      </c>
      <c r="V429" s="1">
        <f t="shared" si="87"/>
        <v>28.9</v>
      </c>
      <c r="W429" s="10" t="str">
        <f t="shared" si="88"/>
        <v>Low</v>
      </c>
      <c r="X429" s="1">
        <v>1</v>
      </c>
      <c r="Y429" s="1" t="str">
        <f t="shared" si="89"/>
        <v>Yes</v>
      </c>
      <c r="AA429" s="18" t="str">
        <f t="shared" si="90"/>
        <v>Invalid</v>
      </c>
      <c r="AB429" s="18" t="str">
        <f t="shared" si="91"/>
        <v>High Performer</v>
      </c>
      <c r="AC429" s="9" t="s">
        <v>1734</v>
      </c>
      <c r="AD429">
        <f>IF(AC429="",0,LEN(AC429)-LEN(SUBSTITUTE(AC429,",",""))+1)</f>
        <v>6</v>
      </c>
    </row>
    <row r="430" spans="1:30" ht="12.5" x14ac:dyDescent="0.25">
      <c r="A430" s="1" t="s">
        <v>1735</v>
      </c>
      <c r="B430" s="1" t="s">
        <v>1736</v>
      </c>
      <c r="C430" s="1" t="str">
        <v>Daniel Brown</v>
      </c>
      <c r="D430" s="1" t="s">
        <v>1737</v>
      </c>
      <c r="E430" s="1" t="str">
        <v>mramsey@mitchell.net</v>
      </c>
      <c r="F430" t="str">
        <f t="shared" si="80"/>
        <v>Valid</v>
      </c>
      <c r="G430" s="1" t="s">
        <v>88</v>
      </c>
      <c r="H430" s="1" t="str">
        <f t="shared" si="81"/>
        <v>Male</v>
      </c>
      <c r="I430" s="1" t="s">
        <v>156</v>
      </c>
      <c r="J430" t="str">
        <f t="shared" si="82"/>
        <v>IN</v>
      </c>
      <c r="K430" s="14">
        <v>0</v>
      </c>
      <c r="L430" s="1">
        <f t="shared" si="83"/>
        <v>19</v>
      </c>
      <c r="M430" s="1" t="str">
        <f t="shared" si="84"/>
        <v>Student</v>
      </c>
      <c r="N430" s="2">
        <v>45113</v>
      </c>
      <c r="O430" s="1" t="s">
        <v>301</v>
      </c>
      <c r="P430" s="1" t="s">
        <v>20</v>
      </c>
      <c r="Q430" s="4">
        <v>8</v>
      </c>
      <c r="R430" s="13">
        <f t="shared" si="85"/>
        <v>8</v>
      </c>
      <c r="S430" s="6">
        <f t="shared" si="79"/>
        <v>0.08</v>
      </c>
      <c r="T430" s="1">
        <v>2</v>
      </c>
      <c r="U430" s="1">
        <f t="shared" si="86"/>
        <v>2</v>
      </c>
      <c r="V430" s="1">
        <f t="shared" si="87"/>
        <v>6.1999999999999993</v>
      </c>
      <c r="W430" s="10" t="str">
        <f t="shared" si="88"/>
        <v>Low</v>
      </c>
      <c r="X430" s="1" t="s">
        <v>76</v>
      </c>
      <c r="Y430" s="1" t="str">
        <f t="shared" si="89"/>
        <v>Yes</v>
      </c>
      <c r="Z430" s="14">
        <v>5</v>
      </c>
      <c r="AA430" s="18">
        <f t="shared" si="90"/>
        <v>5</v>
      </c>
      <c r="AB430" s="18" t="str">
        <f t="shared" si="91"/>
        <v>High Performer</v>
      </c>
      <c r="AC430" s="9" t="s">
        <v>615</v>
      </c>
      <c r="AD430">
        <f>IF(AC430="",0,LEN(AC430)-LEN(SUBSTITUTE(AC430,",",""))+1)</f>
        <v>3</v>
      </c>
    </row>
    <row r="431" spans="1:30" ht="12.5" x14ac:dyDescent="0.25">
      <c r="A431" s="1" t="s">
        <v>1738</v>
      </c>
      <c r="B431" s="1" t="s">
        <v>1739</v>
      </c>
      <c r="C431" s="1" t="str">
        <v>Justin Stone</v>
      </c>
      <c r="D431" s="1" t="s">
        <v>1740</v>
      </c>
      <c r="E431" s="1" t="str">
        <v>nmorton@gmail.com</v>
      </c>
      <c r="F431" t="str">
        <f t="shared" si="80"/>
        <v>Valid</v>
      </c>
      <c r="G431" s="1" t="s">
        <v>119</v>
      </c>
      <c r="H431" s="1" t="str">
        <f t="shared" si="81"/>
        <v>Female</v>
      </c>
      <c r="I431" s="1" t="s">
        <v>89</v>
      </c>
      <c r="J431" t="str">
        <f t="shared" si="82"/>
        <v>GERMANY</v>
      </c>
      <c r="K431" s="14">
        <v>0</v>
      </c>
      <c r="L431" s="1">
        <f t="shared" si="83"/>
        <v>19</v>
      </c>
      <c r="M431" s="1" t="str">
        <f t="shared" si="84"/>
        <v>Student</v>
      </c>
      <c r="N431" s="9">
        <v>45551</v>
      </c>
      <c r="O431" s="1" t="s">
        <v>235</v>
      </c>
      <c r="P431" s="1" t="s">
        <v>147</v>
      </c>
      <c r="Q431" s="4">
        <v>0.56999999999999995</v>
      </c>
      <c r="R431" s="13">
        <f t="shared" si="85"/>
        <v>56.999999999999993</v>
      </c>
      <c r="S431" s="6">
        <f t="shared" si="79"/>
        <v>0.56999999999999995</v>
      </c>
      <c r="T431" s="1" t="s">
        <v>21</v>
      </c>
      <c r="U431" s="1">
        <f t="shared" si="86"/>
        <v>1.5</v>
      </c>
      <c r="V431" s="1">
        <f t="shared" si="87"/>
        <v>40.349999999999994</v>
      </c>
      <c r="W431" s="10" t="str">
        <f t="shared" si="88"/>
        <v>Low</v>
      </c>
      <c r="X431" s="1" t="s">
        <v>32</v>
      </c>
      <c r="Y431" s="1" t="str">
        <f t="shared" si="89"/>
        <v>Yes</v>
      </c>
      <c r="Z431" s="14">
        <v>5</v>
      </c>
      <c r="AA431" s="18">
        <f t="shared" si="90"/>
        <v>5</v>
      </c>
      <c r="AB431" s="18" t="str">
        <f t="shared" si="91"/>
        <v>High Performer</v>
      </c>
      <c r="AC431" s="9" t="s">
        <v>1451</v>
      </c>
      <c r="AD431">
        <f>IF(AC431="",0,LEN(AC431)-LEN(SUBSTITUTE(AC431,",",""))+1)</f>
        <v>1</v>
      </c>
    </row>
    <row r="432" spans="1:30" ht="12.5" x14ac:dyDescent="0.25">
      <c r="A432" s="1" t="s">
        <v>1741</v>
      </c>
      <c r="B432" s="1" t="s">
        <v>1742</v>
      </c>
      <c r="C432" s="1" t="str">
        <v>Mario Wilson</v>
      </c>
      <c r="D432" s="1" t="s">
        <v>1743</v>
      </c>
      <c r="E432" s="1" t="str">
        <v>vgutierrez@castro-walsh.com</v>
      </c>
      <c r="F432" t="str">
        <f t="shared" si="80"/>
        <v>Valid</v>
      </c>
      <c r="G432" s="1" t="s">
        <v>88</v>
      </c>
      <c r="H432" s="1" t="str">
        <f t="shared" si="81"/>
        <v>Male</v>
      </c>
      <c r="I432" s="1" t="s">
        <v>51</v>
      </c>
      <c r="J432" t="str">
        <f t="shared" si="82"/>
        <v>UK</v>
      </c>
      <c r="L432" s="1">
        <f t="shared" si="83"/>
        <v>19</v>
      </c>
      <c r="M432" s="1" t="str">
        <f t="shared" si="84"/>
        <v>Student</v>
      </c>
      <c r="N432" s="2">
        <v>44964</v>
      </c>
      <c r="O432" s="1" t="s">
        <v>30</v>
      </c>
      <c r="P432" s="1" t="s">
        <v>31</v>
      </c>
      <c r="Q432" s="4">
        <v>44</v>
      </c>
      <c r="R432" s="13">
        <f t="shared" si="85"/>
        <v>44</v>
      </c>
      <c r="S432" s="6">
        <f t="shared" si="79"/>
        <v>0.44</v>
      </c>
      <c r="T432" s="1" t="s">
        <v>64</v>
      </c>
      <c r="U432" s="1">
        <f t="shared" si="86"/>
        <v>2</v>
      </c>
      <c r="V432" s="1">
        <f t="shared" si="87"/>
        <v>31.4</v>
      </c>
      <c r="W432" s="10" t="str">
        <f t="shared" si="88"/>
        <v>Low</v>
      </c>
      <c r="X432" s="1">
        <v>1</v>
      </c>
      <c r="Y432" s="1" t="str">
        <f t="shared" si="89"/>
        <v>Yes</v>
      </c>
      <c r="Z432" s="14">
        <v>1</v>
      </c>
      <c r="AA432" s="18">
        <f t="shared" si="90"/>
        <v>1</v>
      </c>
      <c r="AB432" s="18" t="str">
        <f t="shared" si="91"/>
        <v>No</v>
      </c>
      <c r="AC432" s="9" t="s">
        <v>1744</v>
      </c>
      <c r="AD432">
        <f>IF(AC432="",0,LEN(AC432)-LEN(SUBSTITUTE(AC432,",",""))+1)</f>
        <v>5</v>
      </c>
    </row>
    <row r="433" spans="1:30" ht="12.5" x14ac:dyDescent="0.25">
      <c r="A433" s="1" t="s">
        <v>1745</v>
      </c>
      <c r="B433" s="1" t="s">
        <v>1746</v>
      </c>
      <c r="C433" s="1" t="str">
        <v>Elizabeth Hunter</v>
      </c>
      <c r="D433" s="1" t="s">
        <v>1747</v>
      </c>
      <c r="E433" s="1" t="str">
        <v>wilsonmathew@yahoo.com</v>
      </c>
      <c r="F433" t="str">
        <f t="shared" si="80"/>
        <v>Valid</v>
      </c>
      <c r="G433" s="1" t="s">
        <v>57</v>
      </c>
      <c r="H433" s="1" t="str">
        <f t="shared" si="81"/>
        <v>Female</v>
      </c>
      <c r="I433" s="1" t="s">
        <v>18</v>
      </c>
      <c r="J433" t="str">
        <f t="shared" si="82"/>
        <v>US</v>
      </c>
      <c r="L433" s="1">
        <f t="shared" si="83"/>
        <v>19</v>
      </c>
      <c r="M433" s="1" t="str">
        <f t="shared" si="84"/>
        <v>Student</v>
      </c>
      <c r="N433" s="9">
        <v>45653</v>
      </c>
      <c r="O433" s="1" t="s">
        <v>19</v>
      </c>
      <c r="P433" s="1" t="s">
        <v>20</v>
      </c>
      <c r="Q433" s="4">
        <v>3</v>
      </c>
      <c r="R433" s="13">
        <f t="shared" si="85"/>
        <v>3</v>
      </c>
      <c r="S433" s="6">
        <f t="shared" si="79"/>
        <v>0.03</v>
      </c>
      <c r="T433" s="1">
        <v>1.5</v>
      </c>
      <c r="U433" s="1">
        <f t="shared" si="86"/>
        <v>1.5</v>
      </c>
      <c r="V433" s="1">
        <f t="shared" si="87"/>
        <v>2.5499999999999998</v>
      </c>
      <c r="W433" s="10" t="str">
        <f t="shared" si="88"/>
        <v>Low</v>
      </c>
      <c r="X433" s="1" t="s">
        <v>22</v>
      </c>
      <c r="Y433" s="1" t="str">
        <f t="shared" si="89"/>
        <v>No</v>
      </c>
      <c r="Z433" s="14">
        <v>2</v>
      </c>
      <c r="AA433" s="18">
        <f t="shared" si="90"/>
        <v>2</v>
      </c>
      <c r="AB433" s="18" t="str">
        <f t="shared" si="91"/>
        <v>No</v>
      </c>
      <c r="AC433" s="9" t="s">
        <v>1748</v>
      </c>
      <c r="AD433">
        <f>IF(AC433="",0,LEN(AC433)-LEN(SUBSTITUTE(AC433,",",""))+1)</f>
        <v>6</v>
      </c>
    </row>
    <row r="434" spans="1:30" ht="12.5" x14ac:dyDescent="0.25">
      <c r="A434" s="1" t="s">
        <v>1749</v>
      </c>
      <c r="B434" s="1" t="s">
        <v>1750</v>
      </c>
      <c r="C434" s="1" t="str">
        <v>Gary Morgan</v>
      </c>
      <c r="D434" s="1" t="s">
        <v>1751</v>
      </c>
      <c r="E434" s="1" t="str">
        <v>probles@gmail.com</v>
      </c>
      <c r="F434" t="str">
        <f t="shared" si="80"/>
        <v>Valid</v>
      </c>
      <c r="G434" s="1" t="s">
        <v>109</v>
      </c>
      <c r="H434" s="1" t="str">
        <f t="shared" si="81"/>
        <v>Male</v>
      </c>
      <c r="I434" s="1" t="s">
        <v>51</v>
      </c>
      <c r="J434" t="str">
        <f t="shared" si="82"/>
        <v>UK</v>
      </c>
      <c r="K434" s="14">
        <v>18</v>
      </c>
      <c r="L434" s="1">
        <f t="shared" si="83"/>
        <v>18</v>
      </c>
      <c r="M434" s="1" t="str">
        <f t="shared" si="84"/>
        <v>Student</v>
      </c>
      <c r="N434" s="2">
        <v>45452</v>
      </c>
      <c r="O434" s="1" t="s">
        <v>170</v>
      </c>
      <c r="P434" s="1" t="s">
        <v>147</v>
      </c>
      <c r="Q434" s="4">
        <v>0.46</v>
      </c>
      <c r="R434" s="13">
        <f t="shared" si="85"/>
        <v>46</v>
      </c>
      <c r="S434" s="6">
        <f t="shared" si="79"/>
        <v>0.46</v>
      </c>
      <c r="T434" s="1" t="s">
        <v>21</v>
      </c>
      <c r="U434" s="1">
        <f t="shared" si="86"/>
        <v>1.5</v>
      </c>
      <c r="V434" s="1">
        <f t="shared" si="87"/>
        <v>32.65</v>
      </c>
      <c r="W434" s="10" t="str">
        <f t="shared" si="88"/>
        <v>Low</v>
      </c>
      <c r="X434" s="1" t="s">
        <v>22</v>
      </c>
      <c r="Y434" s="1" t="str">
        <f t="shared" si="89"/>
        <v>No</v>
      </c>
      <c r="Z434" s="14">
        <v>6</v>
      </c>
      <c r="AA434" s="18">
        <f t="shared" si="90"/>
        <v>6</v>
      </c>
      <c r="AB434" s="18" t="str">
        <f t="shared" si="91"/>
        <v>No</v>
      </c>
      <c r="AC434" s="9" t="s">
        <v>1752</v>
      </c>
      <c r="AD434">
        <f>IF(AC434="",0,LEN(AC434)-LEN(SUBSTITUTE(AC434,",",""))+1)</f>
        <v>3</v>
      </c>
    </row>
    <row r="435" spans="1:30" ht="12.5" x14ac:dyDescent="0.25">
      <c r="A435" s="1" t="s">
        <v>1753</v>
      </c>
      <c r="B435" s="1" t="s">
        <v>1701</v>
      </c>
      <c r="C435" s="1" t="str">
        <v>Stephanie Ford</v>
      </c>
      <c r="D435" s="1" t="s">
        <v>1754</v>
      </c>
      <c r="E435" s="1" t="str">
        <v>conleykevin@hotmail.com</v>
      </c>
      <c r="F435" t="str">
        <f t="shared" si="80"/>
        <v>Valid</v>
      </c>
      <c r="G435" s="1" t="s">
        <v>88</v>
      </c>
      <c r="H435" s="1" t="str">
        <f t="shared" si="81"/>
        <v>Male</v>
      </c>
      <c r="I435" s="1" t="s">
        <v>51</v>
      </c>
      <c r="J435" t="str">
        <f t="shared" si="82"/>
        <v>UK</v>
      </c>
      <c r="K435" s="14">
        <v>0</v>
      </c>
      <c r="L435" s="1">
        <f t="shared" si="83"/>
        <v>19</v>
      </c>
      <c r="M435" s="1" t="str">
        <f t="shared" si="84"/>
        <v>Student</v>
      </c>
      <c r="N435" s="9">
        <v>45405</v>
      </c>
      <c r="O435" s="1" t="s">
        <v>114</v>
      </c>
      <c r="P435" s="1" t="s">
        <v>59</v>
      </c>
      <c r="Q435" s="4">
        <v>0.82</v>
      </c>
      <c r="R435" s="13">
        <f t="shared" si="85"/>
        <v>82</v>
      </c>
      <c r="S435" s="6">
        <f t="shared" si="79"/>
        <v>0.82</v>
      </c>
      <c r="T435" s="1" t="s">
        <v>21</v>
      </c>
      <c r="U435" s="1">
        <f t="shared" si="86"/>
        <v>1.5</v>
      </c>
      <c r="V435" s="1">
        <f t="shared" si="87"/>
        <v>57.85</v>
      </c>
      <c r="W435" s="10" t="str">
        <f t="shared" si="88"/>
        <v>Medium</v>
      </c>
      <c r="X435" s="1" t="s">
        <v>38</v>
      </c>
      <c r="Y435" s="1" t="str">
        <f t="shared" si="89"/>
        <v>No</v>
      </c>
      <c r="Z435" s="14">
        <v>6</v>
      </c>
      <c r="AA435" s="18">
        <f t="shared" si="90"/>
        <v>6</v>
      </c>
      <c r="AB435" s="18" t="str">
        <f t="shared" si="91"/>
        <v>No</v>
      </c>
      <c r="AC435" s="9" t="s">
        <v>1755</v>
      </c>
      <c r="AD435">
        <f>IF(AC435="",0,LEN(AC435)-LEN(SUBSTITUTE(AC435,",",""))+1)</f>
        <v>7</v>
      </c>
    </row>
    <row r="436" spans="1:30" ht="12.5" x14ac:dyDescent="0.25">
      <c r="A436" s="1" t="s">
        <v>1756</v>
      </c>
      <c r="B436" s="1" t="s">
        <v>1757</v>
      </c>
      <c r="C436" s="1" t="str">
        <v>Michael Marsh</v>
      </c>
      <c r="D436" s="1" t="s">
        <v>1758</v>
      </c>
      <c r="E436" s="1" t="str">
        <v>montesjuan@gmail.com</v>
      </c>
      <c r="F436" t="str">
        <f t="shared" si="80"/>
        <v>Valid</v>
      </c>
      <c r="G436" s="1" t="s">
        <v>27</v>
      </c>
      <c r="H436" s="1" t="str">
        <f t="shared" si="81"/>
        <v>Male</v>
      </c>
      <c r="I436" s="1" t="s">
        <v>18</v>
      </c>
      <c r="J436" t="str">
        <f t="shared" si="82"/>
        <v>US</v>
      </c>
      <c r="K436" s="14">
        <v>0</v>
      </c>
      <c r="L436" s="1">
        <f t="shared" si="83"/>
        <v>19</v>
      </c>
      <c r="M436" s="1" t="str">
        <f t="shared" si="84"/>
        <v>Student</v>
      </c>
      <c r="N436" s="9">
        <v>45711</v>
      </c>
      <c r="O436" s="1" t="s">
        <v>58</v>
      </c>
      <c r="P436" s="1" t="s">
        <v>59</v>
      </c>
      <c r="Q436" s="4">
        <v>0</v>
      </c>
      <c r="R436" s="13">
        <f t="shared" si="85"/>
        <v>0</v>
      </c>
      <c r="S436" s="6">
        <f t="shared" si="79"/>
        <v>0</v>
      </c>
      <c r="T436" s="1" t="s">
        <v>21</v>
      </c>
      <c r="U436" s="1">
        <f t="shared" si="86"/>
        <v>1.5</v>
      </c>
      <c r="V436" s="1">
        <f t="shared" si="87"/>
        <v>0.44999999999999996</v>
      </c>
      <c r="W436" s="10" t="str">
        <f t="shared" si="88"/>
        <v>Low</v>
      </c>
      <c r="X436" s="1" t="s">
        <v>76</v>
      </c>
      <c r="Y436" s="1" t="str">
        <f t="shared" si="89"/>
        <v>Yes</v>
      </c>
      <c r="Z436" s="14">
        <v>5</v>
      </c>
      <c r="AA436" s="18">
        <f t="shared" si="90"/>
        <v>5</v>
      </c>
      <c r="AB436" s="18" t="str">
        <f t="shared" si="91"/>
        <v>High Performer</v>
      </c>
      <c r="AC436" s="9" t="s">
        <v>1759</v>
      </c>
      <c r="AD436">
        <f>IF(AC436="",0,LEN(AC436)-LEN(SUBSTITUTE(AC436,",",""))+1)</f>
        <v>4</v>
      </c>
    </row>
    <row r="437" spans="1:30" ht="12.5" x14ac:dyDescent="0.25">
      <c r="A437" s="1" t="s">
        <v>1760</v>
      </c>
      <c r="B437" s="1" t="s">
        <v>1761</v>
      </c>
      <c r="C437" s="1" t="str">
        <v>Laura Price</v>
      </c>
      <c r="D437" s="1" t="s">
        <v>1762</v>
      </c>
      <c r="E437" s="1" t="str">
        <v>janet50@gutierrez-crawford.com</v>
      </c>
      <c r="F437" t="str">
        <f t="shared" si="80"/>
        <v>Valid</v>
      </c>
      <c r="G437" s="1" t="s">
        <v>27</v>
      </c>
      <c r="H437" s="1" t="str">
        <f t="shared" si="81"/>
        <v>Male</v>
      </c>
      <c r="I437" s="1" t="s">
        <v>136</v>
      </c>
      <c r="J437" t="str">
        <f t="shared" si="82"/>
        <v>UK</v>
      </c>
      <c r="K437" s="14">
        <v>34</v>
      </c>
      <c r="L437" s="1">
        <f t="shared" si="83"/>
        <v>34</v>
      </c>
      <c r="M437" s="1" t="str">
        <f t="shared" si="84"/>
        <v>Mid Career</v>
      </c>
      <c r="N437" s="9">
        <v>45184</v>
      </c>
      <c r="O437" s="1" t="s">
        <v>69</v>
      </c>
      <c r="P437" s="1" t="s">
        <v>31</v>
      </c>
      <c r="Q437" s="4">
        <v>0.88</v>
      </c>
      <c r="R437" s="13">
        <f t="shared" si="85"/>
        <v>88</v>
      </c>
      <c r="S437" s="6">
        <f t="shared" si="79"/>
        <v>0.88</v>
      </c>
      <c r="T437" s="1">
        <v>1.5</v>
      </c>
      <c r="U437" s="1">
        <f t="shared" si="86"/>
        <v>1.5</v>
      </c>
      <c r="V437" s="1">
        <f t="shared" si="87"/>
        <v>62.05</v>
      </c>
      <c r="W437" s="10" t="str">
        <f t="shared" si="88"/>
        <v>Medium</v>
      </c>
      <c r="X437" s="1">
        <v>1</v>
      </c>
      <c r="Y437" s="1" t="str">
        <f t="shared" si="89"/>
        <v>Yes</v>
      </c>
      <c r="Z437" s="14">
        <v>1</v>
      </c>
      <c r="AA437" s="18">
        <f t="shared" si="90"/>
        <v>1</v>
      </c>
      <c r="AB437" s="18" t="str">
        <f t="shared" si="91"/>
        <v>No</v>
      </c>
      <c r="AC437" s="9" t="s">
        <v>1763</v>
      </c>
      <c r="AD437">
        <f>IF(AC437="",0,LEN(AC437)-LEN(SUBSTITUTE(AC437,",",""))+1)</f>
        <v>6</v>
      </c>
    </row>
    <row r="438" spans="1:30" ht="12.5" x14ac:dyDescent="0.25">
      <c r="A438" s="1" t="s">
        <v>1764</v>
      </c>
      <c r="B438" s="1" t="s">
        <v>1765</v>
      </c>
      <c r="C438" s="1" t="str">
        <v>Eric Rodriguez</v>
      </c>
      <c r="D438" s="1" t="s">
        <v>1766</v>
      </c>
      <c r="E438" s="1" t="str">
        <v>robinwallace@lloyd.com</v>
      </c>
      <c r="F438" t="str">
        <f t="shared" si="80"/>
        <v>Valid</v>
      </c>
      <c r="G438" s="1" t="s">
        <v>27</v>
      </c>
      <c r="H438" s="1" t="str">
        <f t="shared" si="81"/>
        <v>Male</v>
      </c>
      <c r="I438" s="1" t="s">
        <v>28</v>
      </c>
      <c r="J438" t="str">
        <f t="shared" si="82"/>
        <v>INDIA</v>
      </c>
      <c r="K438" s="14">
        <v>0</v>
      </c>
      <c r="L438" s="1">
        <f t="shared" si="83"/>
        <v>19</v>
      </c>
      <c r="M438" s="1" t="str">
        <f t="shared" si="84"/>
        <v>Student</v>
      </c>
      <c r="N438" s="2">
        <v>45057</v>
      </c>
      <c r="O438" s="1" t="s">
        <v>19</v>
      </c>
      <c r="P438" s="1" t="s">
        <v>20</v>
      </c>
      <c r="Q438" s="4">
        <v>85</v>
      </c>
      <c r="R438" s="13">
        <f t="shared" si="85"/>
        <v>85</v>
      </c>
      <c r="S438" s="6">
        <f t="shared" si="79"/>
        <v>0.85</v>
      </c>
      <c r="T438" s="1" t="s">
        <v>46</v>
      </c>
      <c r="U438" s="1">
        <f t="shared" si="86"/>
        <v>1</v>
      </c>
      <c r="V438" s="1">
        <f t="shared" si="87"/>
        <v>59.79999999999999</v>
      </c>
      <c r="W438" s="10" t="str">
        <f t="shared" si="88"/>
        <v>Medium</v>
      </c>
      <c r="X438" s="1" t="s">
        <v>38</v>
      </c>
      <c r="Y438" s="1" t="str">
        <f t="shared" si="89"/>
        <v>No</v>
      </c>
      <c r="Z438" s="14">
        <v>1</v>
      </c>
      <c r="AA438" s="18">
        <f t="shared" si="90"/>
        <v>1</v>
      </c>
      <c r="AB438" s="18" t="str">
        <f t="shared" si="91"/>
        <v>No</v>
      </c>
      <c r="AC438" s="9" t="s">
        <v>1767</v>
      </c>
      <c r="AD438">
        <f>IF(AC438="",0,LEN(AC438)-LEN(SUBSTITUTE(AC438,",",""))+1)</f>
        <v>8</v>
      </c>
    </row>
    <row r="439" spans="1:30" ht="12.5" x14ac:dyDescent="0.25">
      <c r="A439" s="1" t="s">
        <v>1768</v>
      </c>
      <c r="B439" s="1" t="s">
        <v>1769</v>
      </c>
      <c r="C439" s="1" t="str">
        <v>Emily Murphy</v>
      </c>
      <c r="D439" s="1" t="s">
        <v>1770</v>
      </c>
      <c r="E439" s="1" t="str">
        <v>jamiejohnson@reeves-boyd.com</v>
      </c>
      <c r="F439" t="str">
        <f t="shared" si="80"/>
        <v>Valid</v>
      </c>
      <c r="G439" s="1" t="s">
        <v>27</v>
      </c>
      <c r="H439" s="1" t="str">
        <f t="shared" si="81"/>
        <v>Male</v>
      </c>
      <c r="I439" s="1" t="s">
        <v>51</v>
      </c>
      <c r="J439" t="str">
        <f t="shared" si="82"/>
        <v>UK</v>
      </c>
      <c r="K439" s="14">
        <v>0</v>
      </c>
      <c r="L439" s="1">
        <f t="shared" si="83"/>
        <v>19</v>
      </c>
      <c r="M439" s="1" t="str">
        <f t="shared" si="84"/>
        <v>Student</v>
      </c>
      <c r="N439" s="9">
        <v>44953</v>
      </c>
      <c r="O439" s="1" t="s">
        <v>114</v>
      </c>
      <c r="P439" s="1" t="s">
        <v>59</v>
      </c>
      <c r="Q439" s="4">
        <v>53</v>
      </c>
      <c r="R439" s="13">
        <f t="shared" si="85"/>
        <v>53</v>
      </c>
      <c r="S439" s="6">
        <f t="shared" si="79"/>
        <v>0.53</v>
      </c>
      <c r="T439" s="1">
        <v>45</v>
      </c>
      <c r="U439" s="1">
        <f t="shared" si="86"/>
        <v>45</v>
      </c>
      <c r="V439" s="1">
        <f t="shared" si="87"/>
        <v>50.599999999999994</v>
      </c>
      <c r="W439" s="10" t="str">
        <f t="shared" si="88"/>
        <v>Medium</v>
      </c>
      <c r="X439" s="1">
        <v>0</v>
      </c>
      <c r="Y439" s="1" t="str">
        <f t="shared" si="89"/>
        <v>No</v>
      </c>
      <c r="Z439" s="14">
        <v>3</v>
      </c>
      <c r="AA439" s="18">
        <f t="shared" si="90"/>
        <v>3</v>
      </c>
      <c r="AB439" s="18" t="str">
        <f t="shared" si="91"/>
        <v>No</v>
      </c>
      <c r="AC439" s="9" t="s">
        <v>1771</v>
      </c>
      <c r="AD439">
        <f>IF(AC439="",0,LEN(AC439)-LEN(SUBSTITUTE(AC439,",",""))+1)</f>
        <v>8</v>
      </c>
    </row>
    <row r="440" spans="1:30" ht="12.5" x14ac:dyDescent="0.25">
      <c r="A440" s="1" t="s">
        <v>1772</v>
      </c>
      <c r="B440" s="1" t="s">
        <v>1773</v>
      </c>
      <c r="C440" s="1" t="str">
        <v>Anita Owens</v>
      </c>
      <c r="D440" s="1" t="s">
        <v>1774</v>
      </c>
      <c r="E440" s="1" t="str">
        <v>meyerdonna@johnson-blake.com</v>
      </c>
      <c r="F440" t="str">
        <f t="shared" si="80"/>
        <v>Valid</v>
      </c>
      <c r="G440" s="1" t="s">
        <v>27</v>
      </c>
      <c r="H440" s="1" t="str">
        <f t="shared" si="81"/>
        <v>Male</v>
      </c>
      <c r="I440" s="1" t="s">
        <v>28</v>
      </c>
      <c r="J440" t="str">
        <f t="shared" si="82"/>
        <v>INDIA</v>
      </c>
      <c r="L440" s="1">
        <f t="shared" si="83"/>
        <v>19</v>
      </c>
      <c r="M440" s="1" t="str">
        <f t="shared" si="84"/>
        <v>Student</v>
      </c>
      <c r="N440" s="2">
        <v>44993</v>
      </c>
      <c r="O440" s="1" t="s">
        <v>75</v>
      </c>
      <c r="P440" s="1" t="s">
        <v>37</v>
      </c>
      <c r="Q440" s="4">
        <v>0.74</v>
      </c>
      <c r="R440" s="13">
        <f t="shared" si="85"/>
        <v>74</v>
      </c>
      <c r="S440" s="6">
        <f t="shared" si="79"/>
        <v>0.74</v>
      </c>
      <c r="T440" s="1">
        <v>1.5</v>
      </c>
      <c r="U440" s="1">
        <f t="shared" si="86"/>
        <v>1.5</v>
      </c>
      <c r="V440" s="1">
        <f t="shared" si="87"/>
        <v>52.25</v>
      </c>
      <c r="W440" s="10" t="str">
        <f t="shared" si="88"/>
        <v>Medium</v>
      </c>
      <c r="X440" s="1">
        <v>1</v>
      </c>
      <c r="Y440" s="1" t="str">
        <f t="shared" si="89"/>
        <v>Yes</v>
      </c>
      <c r="Z440" s="14">
        <v>2</v>
      </c>
      <c r="AA440" s="18">
        <f t="shared" si="90"/>
        <v>2</v>
      </c>
      <c r="AB440" s="18" t="str">
        <f t="shared" si="91"/>
        <v>No</v>
      </c>
      <c r="AC440" s="9" t="s">
        <v>1775</v>
      </c>
      <c r="AD440">
        <f>IF(AC440="",0,LEN(AC440)-LEN(SUBSTITUTE(AC440,",",""))+1)</f>
        <v>5</v>
      </c>
    </row>
    <row r="441" spans="1:30" ht="12.5" x14ac:dyDescent="0.25">
      <c r="A441" s="1" t="s">
        <v>1776</v>
      </c>
      <c r="B441" s="1" t="s">
        <v>1777</v>
      </c>
      <c r="C441" s="1" t="str">
        <v>Patricia Lambert</v>
      </c>
      <c r="D441" s="1" t="s">
        <v>1778</v>
      </c>
      <c r="E441" s="1" t="str">
        <v>ericwilson@hotmail.com</v>
      </c>
      <c r="F441" t="str">
        <f t="shared" si="80"/>
        <v>Valid</v>
      </c>
      <c r="G441" s="1" t="s">
        <v>109</v>
      </c>
      <c r="H441" s="1" t="str">
        <f t="shared" si="81"/>
        <v>Male</v>
      </c>
      <c r="I441" s="1" t="s">
        <v>51</v>
      </c>
      <c r="J441" t="str">
        <f t="shared" si="82"/>
        <v>UK</v>
      </c>
      <c r="L441" s="1">
        <f t="shared" si="83"/>
        <v>19</v>
      </c>
      <c r="M441" s="1" t="str">
        <f t="shared" si="84"/>
        <v>Student</v>
      </c>
      <c r="N441" s="9">
        <v>45156</v>
      </c>
      <c r="O441" s="1" t="s">
        <v>301</v>
      </c>
      <c r="P441" s="1" t="s">
        <v>20</v>
      </c>
      <c r="Q441" s="4">
        <v>0.35</v>
      </c>
      <c r="R441" s="13">
        <f t="shared" si="85"/>
        <v>35</v>
      </c>
      <c r="S441" s="6">
        <f t="shared" si="79"/>
        <v>0.35</v>
      </c>
      <c r="T441" s="1" t="s">
        <v>21</v>
      </c>
      <c r="U441" s="1">
        <f t="shared" si="86"/>
        <v>1.5</v>
      </c>
      <c r="V441" s="1">
        <f t="shared" si="87"/>
        <v>24.95</v>
      </c>
      <c r="W441" s="10" t="str">
        <f t="shared" si="88"/>
        <v>Low</v>
      </c>
      <c r="X441" s="1" t="s">
        <v>22</v>
      </c>
      <c r="Y441" s="1" t="str">
        <f t="shared" si="89"/>
        <v>No</v>
      </c>
      <c r="Z441" s="14">
        <v>6</v>
      </c>
      <c r="AA441" s="18">
        <f t="shared" si="90"/>
        <v>6</v>
      </c>
      <c r="AB441" s="18" t="str">
        <f t="shared" si="91"/>
        <v>No</v>
      </c>
      <c r="AC441" s="9" t="s">
        <v>1779</v>
      </c>
      <c r="AD441">
        <f>IF(AC441="",0,LEN(AC441)-LEN(SUBSTITUTE(AC441,",",""))+1)</f>
        <v>5</v>
      </c>
    </row>
    <row r="442" spans="1:30" ht="12.5" x14ac:dyDescent="0.25">
      <c r="A442" s="1" t="s">
        <v>1780</v>
      </c>
      <c r="B442" s="1" t="s">
        <v>1781</v>
      </c>
      <c r="C442" s="1" t="str">
        <v>Fernando Thomas</v>
      </c>
      <c r="D442" s="1" t="s">
        <v>1782</v>
      </c>
      <c r="E442" s="1" t="str">
        <v>georgecollins@yahoo.com</v>
      </c>
      <c r="F442" t="str">
        <f t="shared" si="80"/>
        <v>Valid</v>
      </c>
      <c r="G442" s="1" t="s">
        <v>109</v>
      </c>
      <c r="H442" s="1" t="str">
        <f t="shared" si="81"/>
        <v>Male</v>
      </c>
      <c r="I442" s="1" t="s">
        <v>51</v>
      </c>
      <c r="J442" t="str">
        <f t="shared" si="82"/>
        <v>UK</v>
      </c>
      <c r="L442" s="1">
        <f t="shared" si="83"/>
        <v>19</v>
      </c>
      <c r="M442" s="1" t="str">
        <f t="shared" si="84"/>
        <v>Student</v>
      </c>
      <c r="N442" s="9">
        <v>45527</v>
      </c>
      <c r="O442" s="1" t="s">
        <v>75</v>
      </c>
      <c r="P442" s="1" t="s">
        <v>37</v>
      </c>
      <c r="Q442" s="4">
        <v>0.67</v>
      </c>
      <c r="R442" s="13">
        <f t="shared" si="85"/>
        <v>67</v>
      </c>
      <c r="S442" s="6">
        <f t="shared" si="79"/>
        <v>0.67</v>
      </c>
      <c r="T442" s="1" t="s">
        <v>64</v>
      </c>
      <c r="U442" s="1">
        <f t="shared" si="86"/>
        <v>2</v>
      </c>
      <c r="V442" s="1">
        <f t="shared" si="87"/>
        <v>47.5</v>
      </c>
      <c r="W442" s="10" t="str">
        <f t="shared" si="88"/>
        <v>Medium</v>
      </c>
      <c r="X442" s="1" t="s">
        <v>38</v>
      </c>
      <c r="Y442" s="1" t="str">
        <f t="shared" si="89"/>
        <v>No</v>
      </c>
      <c r="Z442" s="14">
        <v>6</v>
      </c>
      <c r="AA442" s="18">
        <f t="shared" si="90"/>
        <v>6</v>
      </c>
      <c r="AB442" s="18" t="str">
        <f t="shared" si="91"/>
        <v>No</v>
      </c>
      <c r="AC442" s="9" t="s">
        <v>1783</v>
      </c>
      <c r="AD442">
        <f>IF(AC442="",0,LEN(AC442)-LEN(SUBSTITUTE(AC442,",",""))+1)</f>
        <v>4</v>
      </c>
    </row>
    <row r="443" spans="1:30" ht="12.5" x14ac:dyDescent="0.25">
      <c r="A443" s="1" t="s">
        <v>1784</v>
      </c>
      <c r="B443" s="1" t="s">
        <v>1785</v>
      </c>
      <c r="C443" s="1" t="str">
        <v>Michael Rodriguez</v>
      </c>
      <c r="D443" s="1" t="s">
        <v>1786</v>
      </c>
      <c r="E443" s="1" t="str">
        <v>simmonsharold@vance.info</v>
      </c>
      <c r="F443" t="str">
        <f t="shared" si="80"/>
        <v>Valid</v>
      </c>
      <c r="G443" s="1" t="s">
        <v>27</v>
      </c>
      <c r="H443" s="1" t="str">
        <f t="shared" si="81"/>
        <v>Male</v>
      </c>
      <c r="I443" s="1" t="s">
        <v>74</v>
      </c>
      <c r="J443" t="str">
        <f t="shared" si="82"/>
        <v>USA</v>
      </c>
      <c r="K443" s="14">
        <v>19</v>
      </c>
      <c r="L443" s="1">
        <f t="shared" si="83"/>
        <v>19</v>
      </c>
      <c r="M443" s="1" t="str">
        <f t="shared" si="84"/>
        <v>Student</v>
      </c>
      <c r="N443" s="9">
        <v>45497</v>
      </c>
      <c r="O443" s="1" t="s">
        <v>158</v>
      </c>
      <c r="P443" s="1" t="s">
        <v>59</v>
      </c>
      <c r="Q443" s="4">
        <v>0.26</v>
      </c>
      <c r="R443" s="13">
        <f t="shared" si="85"/>
        <v>26</v>
      </c>
      <c r="S443" s="6">
        <f t="shared" si="79"/>
        <v>0.26</v>
      </c>
      <c r="T443" s="1" t="s">
        <v>46</v>
      </c>
      <c r="U443" s="1">
        <f t="shared" si="86"/>
        <v>1</v>
      </c>
      <c r="V443" s="1">
        <f t="shared" si="87"/>
        <v>18.5</v>
      </c>
      <c r="W443" s="10" t="str">
        <f t="shared" si="88"/>
        <v>Low</v>
      </c>
      <c r="X443" s="1" t="s">
        <v>38</v>
      </c>
      <c r="Y443" s="1" t="str">
        <f t="shared" si="89"/>
        <v>No</v>
      </c>
      <c r="Z443" s="14">
        <v>5</v>
      </c>
      <c r="AA443" s="18">
        <f t="shared" si="90"/>
        <v>5</v>
      </c>
      <c r="AB443" s="18" t="str">
        <f t="shared" si="91"/>
        <v>No</v>
      </c>
      <c r="AC443" s="9" t="s">
        <v>1787</v>
      </c>
      <c r="AD443">
        <f>IF(AC443="",0,LEN(AC443)-LEN(SUBSTITUTE(AC443,",",""))+1)</f>
        <v>8</v>
      </c>
    </row>
    <row r="444" spans="1:30" ht="12.5" x14ac:dyDescent="0.25">
      <c r="A444" s="1" t="s">
        <v>1788</v>
      </c>
      <c r="B444" s="1" t="s">
        <v>1789</v>
      </c>
      <c r="C444" s="1" t="str">
        <v>Peter Lamb</v>
      </c>
      <c r="D444" s="1" t="s">
        <v>1790</v>
      </c>
      <c r="E444" s="1" t="str">
        <v>fbradley@mcdonald.info</v>
      </c>
      <c r="F444" t="str">
        <f t="shared" si="80"/>
        <v>Valid</v>
      </c>
      <c r="G444" s="1" t="s">
        <v>88</v>
      </c>
      <c r="H444" s="1" t="str">
        <f t="shared" si="81"/>
        <v>Male</v>
      </c>
      <c r="I444" s="1" t="s">
        <v>28</v>
      </c>
      <c r="J444" t="str">
        <f t="shared" si="82"/>
        <v>INDIA</v>
      </c>
      <c r="L444" s="1">
        <f t="shared" si="83"/>
        <v>19</v>
      </c>
      <c r="M444" s="1" t="str">
        <f t="shared" si="84"/>
        <v>Student</v>
      </c>
      <c r="N444" s="9">
        <v>45615</v>
      </c>
      <c r="O444" s="1" t="s">
        <v>52</v>
      </c>
      <c r="P444" s="1" t="s">
        <v>37</v>
      </c>
      <c r="Q444" s="4">
        <v>0.49</v>
      </c>
      <c r="R444" s="13">
        <f t="shared" si="85"/>
        <v>49</v>
      </c>
      <c r="S444" s="6">
        <f t="shared" si="79"/>
        <v>0.49</v>
      </c>
      <c r="T444" s="1" t="s">
        <v>64</v>
      </c>
      <c r="U444" s="1">
        <f t="shared" si="86"/>
        <v>2</v>
      </c>
      <c r="V444" s="1">
        <f t="shared" si="87"/>
        <v>34.9</v>
      </c>
      <c r="W444" s="10" t="str">
        <f t="shared" si="88"/>
        <v>Low</v>
      </c>
      <c r="X444" s="1" t="s">
        <v>32</v>
      </c>
      <c r="Y444" s="1" t="str">
        <f t="shared" si="89"/>
        <v>Yes</v>
      </c>
      <c r="Z444" s="14">
        <v>4</v>
      </c>
      <c r="AA444" s="18">
        <f t="shared" si="90"/>
        <v>4</v>
      </c>
      <c r="AB444" s="18" t="str">
        <f t="shared" si="91"/>
        <v>High Performer</v>
      </c>
      <c r="AC444" s="9" t="s">
        <v>1791</v>
      </c>
      <c r="AD444">
        <f>IF(AC444="",0,LEN(AC444)-LEN(SUBSTITUTE(AC444,",",""))+1)</f>
        <v>4</v>
      </c>
    </row>
    <row r="445" spans="1:30" ht="12.5" x14ac:dyDescent="0.25">
      <c r="A445" s="1" t="s">
        <v>1792</v>
      </c>
      <c r="B445" s="1" t="s">
        <v>1793</v>
      </c>
      <c r="C445" s="1" t="str">
        <v>Lisa Durham</v>
      </c>
      <c r="D445" s="1" t="s">
        <v>1794</v>
      </c>
      <c r="E445" s="1" t="str">
        <v>hollyortega@yahoo.com</v>
      </c>
      <c r="F445" t="str">
        <f t="shared" si="80"/>
        <v>Valid</v>
      </c>
      <c r="G445" s="1" t="s">
        <v>27</v>
      </c>
      <c r="H445" s="1" t="str">
        <f t="shared" si="81"/>
        <v>Male</v>
      </c>
      <c r="I445" s="1" t="s">
        <v>156</v>
      </c>
      <c r="J445" t="str">
        <f t="shared" si="82"/>
        <v>IN</v>
      </c>
      <c r="L445" s="1">
        <f t="shared" si="83"/>
        <v>19</v>
      </c>
      <c r="M445" s="1" t="str">
        <f t="shared" si="84"/>
        <v>Student</v>
      </c>
      <c r="N445" s="2">
        <v>45447</v>
      </c>
      <c r="O445" s="1" t="s">
        <v>30</v>
      </c>
      <c r="P445" s="1" t="s">
        <v>31</v>
      </c>
      <c r="Q445" s="4">
        <v>81</v>
      </c>
      <c r="R445" s="13">
        <f t="shared" si="85"/>
        <v>81</v>
      </c>
      <c r="S445" s="6">
        <f t="shared" si="79"/>
        <v>0.81</v>
      </c>
      <c r="T445" s="1">
        <v>1.5</v>
      </c>
      <c r="U445" s="1">
        <f t="shared" si="86"/>
        <v>1.5</v>
      </c>
      <c r="V445" s="1">
        <f t="shared" si="87"/>
        <v>57.15</v>
      </c>
      <c r="W445" s="10" t="str">
        <f t="shared" si="88"/>
        <v>Medium</v>
      </c>
      <c r="X445" s="1" t="s">
        <v>32</v>
      </c>
      <c r="Y445" s="1" t="str">
        <f t="shared" si="89"/>
        <v>Yes</v>
      </c>
      <c r="Z445" s="14">
        <v>3</v>
      </c>
      <c r="AA445" s="18">
        <f t="shared" si="90"/>
        <v>3</v>
      </c>
      <c r="AB445" s="18" t="str">
        <f t="shared" si="91"/>
        <v>No</v>
      </c>
      <c r="AC445" s="9">
        <v>45447</v>
      </c>
      <c r="AD445">
        <f>IF(AC445="",0,LEN(AC445)-LEN(SUBSTITUTE(AC445,",",""))+1)</f>
        <v>1</v>
      </c>
    </row>
    <row r="446" spans="1:30" ht="12.5" x14ac:dyDescent="0.25">
      <c r="A446" s="1" t="s">
        <v>1795</v>
      </c>
      <c r="B446" s="1" t="s">
        <v>1796</v>
      </c>
      <c r="C446" s="1" t="str">
        <v>John Singleton</v>
      </c>
      <c r="D446" s="1" t="s">
        <v>1797</v>
      </c>
      <c r="E446" s="1" t="str">
        <v>cassandra28@gmail.com</v>
      </c>
      <c r="F446" t="str">
        <f t="shared" si="80"/>
        <v>Valid</v>
      </c>
      <c r="G446" s="1" t="s">
        <v>57</v>
      </c>
      <c r="H446" s="1" t="str">
        <f t="shared" si="81"/>
        <v>Female</v>
      </c>
      <c r="I446" s="1" t="s">
        <v>51</v>
      </c>
      <c r="J446" t="str">
        <f t="shared" si="82"/>
        <v>UK</v>
      </c>
      <c r="K446" s="14">
        <v>0</v>
      </c>
      <c r="L446" s="1">
        <f t="shared" si="83"/>
        <v>19</v>
      </c>
      <c r="M446" s="1" t="str">
        <f t="shared" si="84"/>
        <v>Student</v>
      </c>
      <c r="N446" s="2">
        <v>45599</v>
      </c>
      <c r="O446" s="1" t="s">
        <v>69</v>
      </c>
      <c r="P446" s="1" t="s">
        <v>31</v>
      </c>
      <c r="Q446" s="4">
        <v>93</v>
      </c>
      <c r="R446" s="13">
        <f t="shared" si="85"/>
        <v>93</v>
      </c>
      <c r="S446" s="6">
        <f t="shared" si="79"/>
        <v>0.93</v>
      </c>
      <c r="T446" s="1" t="s">
        <v>46</v>
      </c>
      <c r="U446" s="1">
        <f t="shared" si="86"/>
        <v>1</v>
      </c>
      <c r="V446" s="1">
        <f t="shared" si="87"/>
        <v>65.399999999999991</v>
      </c>
      <c r="W446" s="10" t="str">
        <f t="shared" si="88"/>
        <v>Medium</v>
      </c>
      <c r="X446" s="1" t="s">
        <v>76</v>
      </c>
      <c r="Y446" s="1" t="str">
        <f t="shared" si="89"/>
        <v>Yes</v>
      </c>
      <c r="AA446" s="18" t="str">
        <f t="shared" si="90"/>
        <v>Invalid</v>
      </c>
      <c r="AB446" s="18" t="str">
        <f t="shared" si="91"/>
        <v>High Performer</v>
      </c>
      <c r="AC446" s="9" t="s">
        <v>1798</v>
      </c>
      <c r="AD446">
        <f>IF(AC446="",0,LEN(AC446)-LEN(SUBSTITUTE(AC446,",",""))+1)</f>
        <v>8</v>
      </c>
    </row>
    <row r="447" spans="1:30" ht="12.5" x14ac:dyDescent="0.25">
      <c r="A447" s="1" t="s">
        <v>1799</v>
      </c>
      <c r="B447" s="1" t="s">
        <v>1800</v>
      </c>
      <c r="C447" s="1" t="str">
        <v>Matthew Sparks</v>
      </c>
      <c r="D447" s="1" t="s">
        <v>1801</v>
      </c>
      <c r="E447" s="1" t="str">
        <v>pgarza@hotmail.com</v>
      </c>
      <c r="F447" t="str">
        <f t="shared" si="80"/>
        <v>Valid</v>
      </c>
      <c r="G447" s="1" t="s">
        <v>27</v>
      </c>
      <c r="H447" s="1" t="str">
        <f t="shared" si="81"/>
        <v>Male</v>
      </c>
      <c r="I447" s="1" t="s">
        <v>89</v>
      </c>
      <c r="J447" t="str">
        <f t="shared" si="82"/>
        <v>GERMANY</v>
      </c>
      <c r="K447" s="14">
        <v>19</v>
      </c>
      <c r="L447" s="1">
        <f t="shared" si="83"/>
        <v>19</v>
      </c>
      <c r="M447" s="1" t="str">
        <f t="shared" si="84"/>
        <v>Student</v>
      </c>
      <c r="N447" s="9">
        <v>45288</v>
      </c>
      <c r="O447" s="1" t="s">
        <v>19</v>
      </c>
      <c r="P447" s="1" t="s">
        <v>20</v>
      </c>
      <c r="Q447" s="4">
        <v>0.87</v>
      </c>
      <c r="R447" s="13">
        <f t="shared" si="85"/>
        <v>87</v>
      </c>
      <c r="S447" s="6">
        <f t="shared" si="79"/>
        <v>0.87</v>
      </c>
      <c r="T447" s="1">
        <v>1.5</v>
      </c>
      <c r="U447" s="1">
        <f t="shared" si="86"/>
        <v>1.5</v>
      </c>
      <c r="V447" s="1">
        <f t="shared" si="87"/>
        <v>61.35</v>
      </c>
      <c r="W447" s="10" t="str">
        <f t="shared" si="88"/>
        <v>Medium</v>
      </c>
      <c r="X447" s="1" t="s">
        <v>76</v>
      </c>
      <c r="Y447" s="1" t="str">
        <f t="shared" si="89"/>
        <v>Yes</v>
      </c>
      <c r="Z447" s="14">
        <v>4</v>
      </c>
      <c r="AA447" s="18">
        <f t="shared" si="90"/>
        <v>4</v>
      </c>
      <c r="AB447" s="18" t="str">
        <f t="shared" si="91"/>
        <v>High Performer</v>
      </c>
      <c r="AC447" s="9" t="s">
        <v>1802</v>
      </c>
      <c r="AD447">
        <f>IF(AC447="",0,LEN(AC447)-LEN(SUBSTITUTE(AC447,",",""))+1)</f>
        <v>7</v>
      </c>
    </row>
    <row r="448" spans="1:30" ht="12.5" x14ac:dyDescent="0.25">
      <c r="A448" s="1" t="s">
        <v>1803</v>
      </c>
      <c r="B448" s="1" t="s">
        <v>1804</v>
      </c>
      <c r="C448" s="1" t="str">
        <v>Glen Cervantes</v>
      </c>
      <c r="D448" s="1" t="s">
        <v>1805</v>
      </c>
      <c r="E448" s="1" t="str">
        <v>vbradley@hotmail.com</v>
      </c>
      <c r="F448" t="str">
        <f t="shared" si="80"/>
        <v>Valid</v>
      </c>
      <c r="G448" s="1" t="s">
        <v>88</v>
      </c>
      <c r="H448" s="1" t="str">
        <f t="shared" si="81"/>
        <v>Male</v>
      </c>
      <c r="I448" s="1" t="s">
        <v>51</v>
      </c>
      <c r="J448" t="str">
        <f t="shared" si="82"/>
        <v>UK</v>
      </c>
      <c r="K448" s="14">
        <v>0</v>
      </c>
      <c r="L448" s="1">
        <f t="shared" si="83"/>
        <v>19</v>
      </c>
      <c r="M448" s="1" t="str">
        <f t="shared" si="84"/>
        <v>Student</v>
      </c>
      <c r="N448" s="9">
        <v>45036</v>
      </c>
      <c r="O448" s="1" t="s">
        <v>30</v>
      </c>
      <c r="P448" s="1" t="s">
        <v>31</v>
      </c>
      <c r="Q448" s="4">
        <v>0.9</v>
      </c>
      <c r="R448" s="13">
        <f t="shared" si="85"/>
        <v>90</v>
      </c>
      <c r="S448" s="6">
        <f t="shared" si="79"/>
        <v>0.9</v>
      </c>
      <c r="T448" s="1">
        <v>45</v>
      </c>
      <c r="U448" s="1">
        <f t="shared" si="86"/>
        <v>45</v>
      </c>
      <c r="V448" s="1">
        <f t="shared" si="87"/>
        <v>76.5</v>
      </c>
      <c r="W448" s="10" t="str">
        <f t="shared" si="88"/>
        <v>High</v>
      </c>
      <c r="X448" s="1" t="s">
        <v>32</v>
      </c>
      <c r="Y448" s="1" t="str">
        <f t="shared" si="89"/>
        <v>Yes</v>
      </c>
      <c r="Z448" s="14">
        <v>1</v>
      </c>
      <c r="AA448" s="18">
        <f t="shared" si="90"/>
        <v>1</v>
      </c>
      <c r="AB448" s="18" t="str">
        <f t="shared" si="91"/>
        <v>No</v>
      </c>
      <c r="AC448" s="9" t="s">
        <v>1806</v>
      </c>
      <c r="AD448">
        <f>IF(AC448="",0,LEN(AC448)-LEN(SUBSTITUTE(AC448,",",""))+1)</f>
        <v>4</v>
      </c>
    </row>
    <row r="449" spans="1:30" ht="12.5" x14ac:dyDescent="0.25">
      <c r="A449" s="1" t="s">
        <v>1807</v>
      </c>
      <c r="B449" s="1" t="s">
        <v>1808</v>
      </c>
      <c r="C449" s="1" t="str">
        <v>Timothy Andrews</v>
      </c>
      <c r="D449" s="1" t="s">
        <v>1809</v>
      </c>
      <c r="E449" s="1" t="str">
        <v>vargassteven@hotmail.com</v>
      </c>
      <c r="F449" t="str">
        <f t="shared" si="80"/>
        <v>Valid</v>
      </c>
      <c r="G449" s="1" t="s">
        <v>57</v>
      </c>
      <c r="H449" s="1" t="str">
        <f t="shared" si="81"/>
        <v>Female</v>
      </c>
      <c r="I449" s="1" t="s">
        <v>44</v>
      </c>
      <c r="J449" t="str">
        <f t="shared" si="82"/>
        <v>CANADA</v>
      </c>
      <c r="K449" s="14">
        <v>23</v>
      </c>
      <c r="L449" s="1">
        <f t="shared" si="83"/>
        <v>23</v>
      </c>
      <c r="M449" s="1" t="str">
        <f t="shared" si="84"/>
        <v>Early Career</v>
      </c>
      <c r="N449" s="9">
        <v>45736</v>
      </c>
      <c r="O449" s="1" t="s">
        <v>114</v>
      </c>
      <c r="P449" s="1" t="s">
        <v>59</v>
      </c>
      <c r="Q449" s="4">
        <v>0.35</v>
      </c>
      <c r="R449" s="13">
        <f t="shared" si="85"/>
        <v>35</v>
      </c>
      <c r="S449" s="6">
        <f t="shared" si="79"/>
        <v>0.35</v>
      </c>
      <c r="T449" s="1" t="s">
        <v>46</v>
      </c>
      <c r="U449" s="1">
        <f t="shared" si="86"/>
        <v>1</v>
      </c>
      <c r="V449" s="1">
        <f t="shared" si="87"/>
        <v>24.8</v>
      </c>
      <c r="W449" s="10" t="str">
        <f t="shared" si="88"/>
        <v>Low</v>
      </c>
      <c r="X449" s="1" t="s">
        <v>76</v>
      </c>
      <c r="Y449" s="1" t="str">
        <f t="shared" si="89"/>
        <v>Yes</v>
      </c>
      <c r="Z449" s="14">
        <v>6</v>
      </c>
      <c r="AA449" s="18">
        <f t="shared" si="90"/>
        <v>6</v>
      </c>
      <c r="AB449" s="18" t="str">
        <f t="shared" si="91"/>
        <v>High Performer</v>
      </c>
      <c r="AC449" s="9" t="s">
        <v>1810</v>
      </c>
      <c r="AD449">
        <f>IF(AC449="",0,LEN(AC449)-LEN(SUBSTITUTE(AC449,",",""))+1)</f>
        <v>2</v>
      </c>
    </row>
    <row r="450" spans="1:30" ht="12.5" x14ac:dyDescent="0.25">
      <c r="A450" s="1" t="s">
        <v>1811</v>
      </c>
      <c r="B450" s="1" t="s">
        <v>1812</v>
      </c>
      <c r="C450" s="1" t="str">
        <v>Andrea Rodriguez</v>
      </c>
      <c r="D450" s="1" t="s">
        <v>1813</v>
      </c>
      <c r="E450" s="1" t="str">
        <v>troy01@gmail.com</v>
      </c>
      <c r="F450" t="str">
        <f t="shared" si="80"/>
        <v>Valid</v>
      </c>
      <c r="G450" s="1" t="s">
        <v>43</v>
      </c>
      <c r="H450" s="1" t="str">
        <f t="shared" si="81"/>
        <v>Female</v>
      </c>
      <c r="I450" s="1" t="s">
        <v>18</v>
      </c>
      <c r="J450" t="str">
        <f t="shared" si="82"/>
        <v>US</v>
      </c>
      <c r="K450" s="14">
        <v>0</v>
      </c>
      <c r="L450" s="1">
        <f t="shared" si="83"/>
        <v>19</v>
      </c>
      <c r="M450" s="1" t="str">
        <f t="shared" si="84"/>
        <v>Student</v>
      </c>
      <c r="N450" s="2">
        <v>44690</v>
      </c>
      <c r="O450" s="1" t="s">
        <v>58</v>
      </c>
      <c r="P450" s="1" t="s">
        <v>59</v>
      </c>
      <c r="Q450" s="4">
        <v>0.33</v>
      </c>
      <c r="R450" s="13">
        <f t="shared" si="85"/>
        <v>33</v>
      </c>
      <c r="S450" s="6">
        <f t="shared" ref="S450:S513" si="92">R450/100</f>
        <v>0.33</v>
      </c>
      <c r="T450" s="1">
        <v>1.5</v>
      </c>
      <c r="U450" s="1">
        <f t="shared" si="86"/>
        <v>1.5</v>
      </c>
      <c r="V450" s="1">
        <f t="shared" si="87"/>
        <v>23.549999999999997</v>
      </c>
      <c r="W450" s="10" t="str">
        <f t="shared" si="88"/>
        <v>Low</v>
      </c>
      <c r="X450" s="1" t="s">
        <v>22</v>
      </c>
      <c r="Y450" s="1" t="str">
        <f t="shared" si="89"/>
        <v>No</v>
      </c>
      <c r="Z450" s="14">
        <v>2</v>
      </c>
      <c r="AA450" s="18">
        <f t="shared" si="90"/>
        <v>2</v>
      </c>
      <c r="AB450" s="18" t="str">
        <f t="shared" si="91"/>
        <v>No</v>
      </c>
      <c r="AC450" s="9" t="s">
        <v>1814</v>
      </c>
      <c r="AD450">
        <f>IF(AC450="",0,LEN(AC450)-LEN(SUBSTITUTE(AC450,",",""))+1)</f>
        <v>6</v>
      </c>
    </row>
    <row r="451" spans="1:30" ht="12.5" x14ac:dyDescent="0.25">
      <c r="A451" s="1" t="s">
        <v>1815</v>
      </c>
      <c r="B451" s="1" t="s">
        <v>1816</v>
      </c>
      <c r="C451" s="1" t="str">
        <v>April Thomas</v>
      </c>
      <c r="D451" s="1" t="s">
        <v>127</v>
      </c>
      <c r="E451" s="1" t="str">
        <v>invalid-email</v>
      </c>
      <c r="F451" t="str">
        <f t="shared" ref="F451:F514" si="93">IF(ISNUMBER(SEARCH("@", E451)), "Valid", "Invalid")</f>
        <v>Invalid</v>
      </c>
      <c r="G451" s="1" t="s">
        <v>17</v>
      </c>
      <c r="H451" s="1" t="str">
        <f t="shared" ref="H451:H514" si="94">IF(OR(LOWER(G451)="m", LOWER(G451)="male"), "Male", IF(OR(LOWER(G451)="f", LOWER(G451)="female"), "Female","Other"))</f>
        <v>Female</v>
      </c>
      <c r="I451" s="1" t="s">
        <v>44</v>
      </c>
      <c r="J451" t="str">
        <f t="shared" ref="J451:J514" si="95">UPPER(TRIM(I451))</f>
        <v>CANADA</v>
      </c>
      <c r="L451" s="1">
        <f t="shared" ref="L451:L514" si="96">IF(OR(K451=0,K451&lt;10,K451&gt;100), $L$1202, K451)</f>
        <v>19</v>
      </c>
      <c r="M451" s="1" t="str">
        <f t="shared" ref="M451:M514" si="97">IF(K451&lt;22,"Student",
IF(K451&lt;=30,"Early Career",
IF(K451&lt;=40,"Mid Career",
IF(K451&lt;=50,"Senior","Expert"))))</f>
        <v>Student</v>
      </c>
      <c r="N451" s="2">
        <v>44784</v>
      </c>
      <c r="O451" s="1" t="s">
        <v>69</v>
      </c>
      <c r="P451" s="1" t="s">
        <v>31</v>
      </c>
      <c r="Q451" s="4">
        <v>0.56000000000000005</v>
      </c>
      <c r="R451" s="13">
        <f t="shared" ref="R451:R514" si="98">IF(Q451&lt;=1, Q451*100, Q451)</f>
        <v>56.000000000000007</v>
      </c>
      <c r="S451" s="6">
        <f t="shared" si="92"/>
        <v>0.56000000000000005</v>
      </c>
      <c r="T451" s="1">
        <v>45</v>
      </c>
      <c r="U451" s="1">
        <f t="shared" ref="U451:U514" si="99">IF(ISNUMBER(T451), T451,
IF(ISNUMBER(SEARCH("min", T451)), VALUE(LEFT(T451, FIND(" ", T451)-1))/60,
IF(ISNUMBER(SEARCH("hour", T451)), VALUE(LEFT(T451, FIND(" ", T451)-1)),
"")))</f>
        <v>45</v>
      </c>
      <c r="V451" s="1">
        <f t="shared" ref="V451:V514" si="100">MIN( (0.7*R451 + 0.3*(U451)), 100 )</f>
        <v>52.7</v>
      </c>
      <c r="W451" s="10" t="str">
        <f t="shared" ref="W451:W514" si="101">IF(V451&lt;41,"Low",IF(V451&lt;71,"Medium","High"))</f>
        <v>Medium</v>
      </c>
      <c r="X451" s="1" t="s">
        <v>38</v>
      </c>
      <c r="Y451" s="1" t="str">
        <f t="shared" ref="Y451:Y514" si="102">IF(OR(X451="Yes", X451="Y", X451=1), "Yes", "No")</f>
        <v>No</v>
      </c>
      <c r="AA451" s="18" t="str">
        <f t="shared" ref="AA451:AA514" si="103">IF(AND(Z451&gt;=1,Z451&lt;=6),Z451,"Invalid")</f>
        <v>Invalid</v>
      </c>
      <c r="AB451" s="18" t="str">
        <f t="shared" ref="AB451:AB514" si="104">IF(AND(Y451="Yes",AA451&gt;=4),"High Performer","No")</f>
        <v>No</v>
      </c>
      <c r="AC451" s="9" t="s">
        <v>1817</v>
      </c>
      <c r="AD451">
        <f>IF(AC451="",0,LEN(AC451)-LEN(SUBSTITUTE(AC451,",",""))+1)</f>
        <v>4</v>
      </c>
    </row>
    <row r="452" spans="1:30" ht="12.5" x14ac:dyDescent="0.25">
      <c r="A452" s="1" t="s">
        <v>1818</v>
      </c>
      <c r="B452" s="1" t="s">
        <v>1819</v>
      </c>
      <c r="C452" s="1" t="str">
        <v>Jillian Harris</v>
      </c>
      <c r="D452" s="1" t="s">
        <v>1820</v>
      </c>
      <c r="E452" s="1" t="str">
        <v>ashley46@hotmail.com</v>
      </c>
      <c r="F452" t="str">
        <f t="shared" si="93"/>
        <v>Valid</v>
      </c>
      <c r="G452" s="1" t="s">
        <v>95</v>
      </c>
      <c r="H452" s="1" t="str">
        <f t="shared" si="94"/>
        <v>Male</v>
      </c>
      <c r="I452" s="1" t="s">
        <v>96</v>
      </c>
      <c r="J452" t="str">
        <f t="shared" si="95"/>
        <v>INDIA</v>
      </c>
      <c r="L452" s="1">
        <f t="shared" si="96"/>
        <v>19</v>
      </c>
      <c r="M452" s="1" t="str">
        <f t="shared" si="97"/>
        <v>Student</v>
      </c>
      <c r="N452" s="9">
        <v>44889</v>
      </c>
      <c r="O452" s="1" t="s">
        <v>146</v>
      </c>
      <c r="P452" s="1" t="s">
        <v>147</v>
      </c>
      <c r="Q452" s="4">
        <v>0.34</v>
      </c>
      <c r="R452" s="13">
        <f t="shared" si="98"/>
        <v>34</v>
      </c>
      <c r="S452" s="6">
        <f t="shared" si="92"/>
        <v>0.34</v>
      </c>
      <c r="T452" s="1">
        <v>1.5</v>
      </c>
      <c r="U452" s="1">
        <f t="shared" si="99"/>
        <v>1.5</v>
      </c>
      <c r="V452" s="1">
        <f t="shared" si="100"/>
        <v>24.249999999999996</v>
      </c>
      <c r="W452" s="10" t="str">
        <f t="shared" si="101"/>
        <v>Low</v>
      </c>
      <c r="X452" s="1" t="s">
        <v>38</v>
      </c>
      <c r="Y452" s="1" t="str">
        <f t="shared" si="102"/>
        <v>No</v>
      </c>
      <c r="Z452" s="14">
        <v>2</v>
      </c>
      <c r="AA452" s="18">
        <f t="shared" si="103"/>
        <v>2</v>
      </c>
      <c r="AB452" s="18" t="str">
        <f t="shared" si="104"/>
        <v>No</v>
      </c>
      <c r="AC452" s="9" t="s">
        <v>1821</v>
      </c>
      <c r="AD452">
        <f>IF(AC452="",0,LEN(AC452)-LEN(SUBSTITUTE(AC452,",",""))+1)</f>
        <v>1</v>
      </c>
    </row>
    <row r="453" spans="1:30" ht="12.5" x14ac:dyDescent="0.25">
      <c r="A453" s="1" t="s">
        <v>1822</v>
      </c>
      <c r="B453" s="1" t="s">
        <v>1823</v>
      </c>
      <c r="C453" s="1" t="str">
        <v>Kayla Abbott</v>
      </c>
      <c r="D453" s="1" t="s">
        <v>1824</v>
      </c>
      <c r="E453" s="1" t="str">
        <v>woodana@gmail.com</v>
      </c>
      <c r="F453" t="str">
        <f t="shared" si="93"/>
        <v>Valid</v>
      </c>
      <c r="G453" s="1" t="s">
        <v>57</v>
      </c>
      <c r="H453" s="1" t="str">
        <f t="shared" si="94"/>
        <v>Female</v>
      </c>
      <c r="I453" s="1" t="s">
        <v>156</v>
      </c>
      <c r="J453" t="str">
        <f t="shared" si="95"/>
        <v>IN</v>
      </c>
      <c r="L453" s="1">
        <f t="shared" si="96"/>
        <v>19</v>
      </c>
      <c r="M453" s="1" t="str">
        <f t="shared" si="97"/>
        <v>Student</v>
      </c>
      <c r="N453" s="9">
        <v>45192</v>
      </c>
      <c r="O453" s="1" t="s">
        <v>45</v>
      </c>
      <c r="P453" s="1" t="s">
        <v>20</v>
      </c>
      <c r="Q453" s="4">
        <v>0.88</v>
      </c>
      <c r="R453" s="13">
        <f t="shared" si="98"/>
        <v>88</v>
      </c>
      <c r="S453" s="6">
        <f t="shared" si="92"/>
        <v>0.88</v>
      </c>
      <c r="T453" s="1">
        <v>1.5</v>
      </c>
      <c r="U453" s="1">
        <f t="shared" si="99"/>
        <v>1.5</v>
      </c>
      <c r="V453" s="1">
        <f t="shared" si="100"/>
        <v>62.05</v>
      </c>
      <c r="W453" s="10" t="str">
        <f t="shared" si="101"/>
        <v>Medium</v>
      </c>
      <c r="X453" s="1">
        <v>0</v>
      </c>
      <c r="Y453" s="1" t="str">
        <f t="shared" si="102"/>
        <v>No</v>
      </c>
      <c r="Z453" s="14">
        <v>6</v>
      </c>
      <c r="AA453" s="18">
        <f t="shared" si="103"/>
        <v>6</v>
      </c>
      <c r="AB453" s="18" t="str">
        <f t="shared" si="104"/>
        <v>No</v>
      </c>
      <c r="AC453" s="9" t="s">
        <v>1825</v>
      </c>
      <c r="AD453">
        <f>IF(AC453="",0,LEN(AC453)-LEN(SUBSTITUTE(AC453,",",""))+1)</f>
        <v>4</v>
      </c>
    </row>
    <row r="454" spans="1:30" ht="12.5" x14ac:dyDescent="0.25">
      <c r="A454" s="1" t="s">
        <v>1826</v>
      </c>
      <c r="B454" s="1" t="s">
        <v>1827</v>
      </c>
      <c r="C454" s="1" t="str">
        <v>Scott Glenn</v>
      </c>
      <c r="D454" s="1" t="s">
        <v>1828</v>
      </c>
      <c r="E454" s="1" t="str">
        <v>zpark@flores.net</v>
      </c>
      <c r="F454" t="str">
        <f t="shared" si="93"/>
        <v>Valid</v>
      </c>
      <c r="G454" s="1" t="s">
        <v>95</v>
      </c>
      <c r="H454" s="1" t="str">
        <f t="shared" si="94"/>
        <v>Male</v>
      </c>
      <c r="I454" s="1" t="s">
        <v>18</v>
      </c>
      <c r="J454" t="str">
        <f t="shared" si="95"/>
        <v>US</v>
      </c>
      <c r="K454" s="14">
        <v>39</v>
      </c>
      <c r="L454" s="1">
        <f t="shared" si="96"/>
        <v>39</v>
      </c>
      <c r="M454" s="1" t="str">
        <f t="shared" si="97"/>
        <v>Mid Career</v>
      </c>
      <c r="N454" s="2">
        <v>44777</v>
      </c>
      <c r="O454" s="1" t="s">
        <v>301</v>
      </c>
      <c r="P454" s="1" t="s">
        <v>20</v>
      </c>
      <c r="Q454" s="4">
        <v>97</v>
      </c>
      <c r="R454" s="13">
        <f t="shared" si="98"/>
        <v>97</v>
      </c>
      <c r="S454" s="6">
        <f t="shared" si="92"/>
        <v>0.97</v>
      </c>
      <c r="T454" s="1">
        <v>1.5</v>
      </c>
      <c r="U454" s="1">
        <f t="shared" si="99"/>
        <v>1.5</v>
      </c>
      <c r="V454" s="1">
        <f t="shared" si="100"/>
        <v>68.349999999999994</v>
      </c>
      <c r="W454" s="10" t="str">
        <f t="shared" si="101"/>
        <v>Medium</v>
      </c>
      <c r="X454" s="1" t="s">
        <v>38</v>
      </c>
      <c r="Y454" s="1" t="str">
        <f t="shared" si="102"/>
        <v>No</v>
      </c>
      <c r="Z454" s="14">
        <v>6</v>
      </c>
      <c r="AA454" s="18">
        <f t="shared" si="103"/>
        <v>6</v>
      </c>
      <c r="AB454" s="18" t="str">
        <f t="shared" si="104"/>
        <v>No</v>
      </c>
      <c r="AC454" s="9" t="s">
        <v>1829</v>
      </c>
      <c r="AD454">
        <f>IF(AC454="",0,LEN(AC454)-LEN(SUBSTITUTE(AC454,",",""))+1)</f>
        <v>6</v>
      </c>
    </row>
    <row r="455" spans="1:30" ht="12.5" x14ac:dyDescent="0.25">
      <c r="A455" s="1" t="s">
        <v>1830</v>
      </c>
      <c r="B455" s="1" t="s">
        <v>1831</v>
      </c>
      <c r="C455" s="1" t="str">
        <v>James Middleton</v>
      </c>
      <c r="D455" s="1" t="s">
        <v>1832</v>
      </c>
      <c r="E455" s="1" t="str">
        <v>keithsalas@gmail.com</v>
      </c>
      <c r="F455" t="str">
        <f t="shared" si="93"/>
        <v>Valid</v>
      </c>
      <c r="G455" s="1" t="s">
        <v>43</v>
      </c>
      <c r="H455" s="1" t="str">
        <f t="shared" si="94"/>
        <v>Female</v>
      </c>
      <c r="I455" s="1" t="s">
        <v>28</v>
      </c>
      <c r="J455" t="str">
        <f t="shared" si="95"/>
        <v>INDIA</v>
      </c>
      <c r="K455" s="14">
        <v>0</v>
      </c>
      <c r="L455" s="1">
        <f t="shared" si="96"/>
        <v>19</v>
      </c>
      <c r="M455" s="1" t="str">
        <f t="shared" si="97"/>
        <v>Student</v>
      </c>
      <c r="N455" s="2">
        <v>44929</v>
      </c>
      <c r="O455" s="1" t="s">
        <v>45</v>
      </c>
      <c r="P455" s="1" t="s">
        <v>20</v>
      </c>
      <c r="Q455" s="4">
        <v>0.8</v>
      </c>
      <c r="R455" s="13">
        <f t="shared" si="98"/>
        <v>80</v>
      </c>
      <c r="S455" s="6">
        <f t="shared" si="92"/>
        <v>0.8</v>
      </c>
      <c r="T455" s="1" t="s">
        <v>64</v>
      </c>
      <c r="U455" s="1">
        <f t="shared" si="99"/>
        <v>2</v>
      </c>
      <c r="V455" s="1">
        <f t="shared" si="100"/>
        <v>56.6</v>
      </c>
      <c r="W455" s="10" t="str">
        <f t="shared" si="101"/>
        <v>Medium</v>
      </c>
      <c r="X455" s="1" t="s">
        <v>38</v>
      </c>
      <c r="Y455" s="1" t="str">
        <f t="shared" si="102"/>
        <v>No</v>
      </c>
      <c r="Z455" s="14">
        <v>4</v>
      </c>
      <c r="AA455" s="18">
        <f t="shared" si="103"/>
        <v>4</v>
      </c>
      <c r="AB455" s="18" t="str">
        <f t="shared" si="104"/>
        <v>No</v>
      </c>
      <c r="AC455" s="9" t="s">
        <v>1198</v>
      </c>
      <c r="AD455">
        <f>IF(AC455="",0,LEN(AC455)-LEN(SUBSTITUTE(AC455,",",""))+1)</f>
        <v>6</v>
      </c>
    </row>
    <row r="456" spans="1:30" ht="12.5" x14ac:dyDescent="0.25">
      <c r="A456" s="1" t="s">
        <v>1833</v>
      </c>
      <c r="B456" s="1" t="s">
        <v>1834</v>
      </c>
      <c r="C456" s="1" t="str">
        <v>Stephen Barrett</v>
      </c>
      <c r="D456" s="1" t="s">
        <v>1835</v>
      </c>
      <c r="E456" s="1" t="str">
        <v>taylorlinda@english-dominguez.biz</v>
      </c>
      <c r="F456" t="str">
        <f t="shared" si="93"/>
        <v>Valid</v>
      </c>
      <c r="G456" s="1" t="s">
        <v>95</v>
      </c>
      <c r="H456" s="1" t="str">
        <f t="shared" si="94"/>
        <v>Male</v>
      </c>
      <c r="I456" s="1" t="s">
        <v>18</v>
      </c>
      <c r="J456" t="str">
        <f t="shared" si="95"/>
        <v>US</v>
      </c>
      <c r="K456" s="14">
        <v>21</v>
      </c>
      <c r="L456" s="1">
        <f t="shared" si="96"/>
        <v>21</v>
      </c>
      <c r="M456" s="1" t="str">
        <f t="shared" si="97"/>
        <v>Student</v>
      </c>
      <c r="N456" s="2">
        <v>44572</v>
      </c>
      <c r="O456" s="1" t="s">
        <v>45</v>
      </c>
      <c r="P456" s="1" t="s">
        <v>20</v>
      </c>
      <c r="Q456" s="4">
        <v>0.56999999999999995</v>
      </c>
      <c r="R456" s="13">
        <f t="shared" si="98"/>
        <v>56.999999999999993</v>
      </c>
      <c r="S456" s="6">
        <f t="shared" si="92"/>
        <v>0.56999999999999995</v>
      </c>
      <c r="T456" s="1" t="s">
        <v>64</v>
      </c>
      <c r="U456" s="1">
        <f t="shared" si="99"/>
        <v>2</v>
      </c>
      <c r="V456" s="1">
        <f t="shared" si="100"/>
        <v>40.499999999999993</v>
      </c>
      <c r="W456" s="10" t="str">
        <f t="shared" si="101"/>
        <v>Low</v>
      </c>
      <c r="X456" s="1">
        <v>0</v>
      </c>
      <c r="Y456" s="1" t="str">
        <f t="shared" si="102"/>
        <v>No</v>
      </c>
      <c r="Z456" s="14">
        <v>1</v>
      </c>
      <c r="AA456" s="18">
        <f t="shared" si="103"/>
        <v>1</v>
      </c>
      <c r="AB456" s="18" t="str">
        <f t="shared" si="104"/>
        <v>No</v>
      </c>
      <c r="AC456" s="9" t="s">
        <v>1836</v>
      </c>
      <c r="AD456">
        <f>IF(AC456="",0,LEN(AC456)-LEN(SUBSTITUTE(AC456,",",""))+1)</f>
        <v>5</v>
      </c>
    </row>
    <row r="457" spans="1:30" ht="12.5" x14ac:dyDescent="0.25">
      <c r="A457" s="1" t="s">
        <v>1837</v>
      </c>
      <c r="B457" s="1" t="s">
        <v>1838</v>
      </c>
      <c r="C457" s="1" t="str">
        <v>Joanna Kelly</v>
      </c>
      <c r="D457" s="1" t="s">
        <v>1839</v>
      </c>
      <c r="E457" s="1" t="str">
        <v>kjacobs@bradford-young.net</v>
      </c>
      <c r="F457" t="str">
        <f t="shared" si="93"/>
        <v>Valid</v>
      </c>
      <c r="G457" s="1" t="s">
        <v>95</v>
      </c>
      <c r="H457" s="1" t="str">
        <f t="shared" si="94"/>
        <v>Male</v>
      </c>
      <c r="I457" s="1" t="s">
        <v>136</v>
      </c>
      <c r="J457" t="str">
        <f t="shared" si="95"/>
        <v>UK</v>
      </c>
      <c r="K457" s="14">
        <v>37</v>
      </c>
      <c r="L457" s="1">
        <f t="shared" si="96"/>
        <v>37</v>
      </c>
      <c r="M457" s="1" t="str">
        <f t="shared" si="97"/>
        <v>Mid Career</v>
      </c>
      <c r="N457" s="9">
        <v>45626</v>
      </c>
      <c r="O457" s="1" t="s">
        <v>69</v>
      </c>
      <c r="P457" s="1" t="s">
        <v>31</v>
      </c>
      <c r="Q457" s="4">
        <v>0.09</v>
      </c>
      <c r="R457" s="13">
        <f t="shared" si="98"/>
        <v>9</v>
      </c>
      <c r="S457" s="6">
        <f t="shared" si="92"/>
        <v>0.09</v>
      </c>
      <c r="T457" s="1" t="s">
        <v>46</v>
      </c>
      <c r="U457" s="1">
        <f t="shared" si="99"/>
        <v>1</v>
      </c>
      <c r="V457" s="1">
        <f t="shared" si="100"/>
        <v>6.6</v>
      </c>
      <c r="W457" s="10" t="str">
        <f t="shared" si="101"/>
        <v>Low</v>
      </c>
      <c r="X457" s="1">
        <v>0</v>
      </c>
      <c r="Y457" s="1" t="str">
        <f t="shared" si="102"/>
        <v>No</v>
      </c>
      <c r="Z457" s="14">
        <v>1</v>
      </c>
      <c r="AA457" s="18">
        <f t="shared" si="103"/>
        <v>1</v>
      </c>
      <c r="AB457" s="18" t="str">
        <f t="shared" si="104"/>
        <v>No</v>
      </c>
      <c r="AC457" s="9" t="s">
        <v>1840</v>
      </c>
      <c r="AD457">
        <f>IF(AC457="",0,LEN(AC457)-LEN(SUBSTITUTE(AC457,",",""))+1)</f>
        <v>3</v>
      </c>
    </row>
    <row r="458" spans="1:30" ht="12.5" x14ac:dyDescent="0.25">
      <c r="A458" s="1" t="s">
        <v>1841</v>
      </c>
      <c r="B458" s="1" t="s">
        <v>1842</v>
      </c>
      <c r="C458" s="1" t="str">
        <v>William Carroll</v>
      </c>
      <c r="D458" s="1" t="s">
        <v>1843</v>
      </c>
      <c r="E458" s="1" t="str">
        <v>carpentersuzanne@gmail.com</v>
      </c>
      <c r="F458" t="str">
        <f t="shared" si="93"/>
        <v>Valid</v>
      </c>
      <c r="G458" s="1" t="s">
        <v>109</v>
      </c>
      <c r="H458" s="1" t="str">
        <f t="shared" si="94"/>
        <v>Male</v>
      </c>
      <c r="I458" s="1" t="s">
        <v>74</v>
      </c>
      <c r="J458" t="str">
        <f t="shared" si="95"/>
        <v>USA</v>
      </c>
      <c r="K458" s="14">
        <v>44</v>
      </c>
      <c r="L458" s="1">
        <f t="shared" si="96"/>
        <v>44</v>
      </c>
      <c r="M458" s="1" t="str">
        <f t="shared" si="97"/>
        <v>Senior</v>
      </c>
      <c r="N458" s="9">
        <v>45076</v>
      </c>
      <c r="O458" s="1" t="s">
        <v>235</v>
      </c>
      <c r="P458" s="1" t="s">
        <v>147</v>
      </c>
      <c r="Q458" s="4">
        <v>0.39</v>
      </c>
      <c r="R458" s="13">
        <f t="shared" si="98"/>
        <v>39</v>
      </c>
      <c r="S458" s="6">
        <f t="shared" si="92"/>
        <v>0.39</v>
      </c>
      <c r="T458" s="1" t="s">
        <v>46</v>
      </c>
      <c r="U458" s="1">
        <f t="shared" si="99"/>
        <v>1</v>
      </c>
      <c r="V458" s="1">
        <f t="shared" si="100"/>
        <v>27.599999999999998</v>
      </c>
      <c r="W458" s="10" t="str">
        <f t="shared" si="101"/>
        <v>Low</v>
      </c>
      <c r="X458" s="1">
        <v>1</v>
      </c>
      <c r="Y458" s="1" t="str">
        <f t="shared" si="102"/>
        <v>Yes</v>
      </c>
      <c r="Z458" s="14">
        <v>6</v>
      </c>
      <c r="AA458" s="18">
        <f t="shared" si="103"/>
        <v>6</v>
      </c>
      <c r="AB458" s="18" t="str">
        <f t="shared" si="104"/>
        <v>High Performer</v>
      </c>
      <c r="AC458" s="9" t="s">
        <v>1844</v>
      </c>
      <c r="AD458">
        <f>IF(AC458="",0,LEN(AC458)-LEN(SUBSTITUTE(AC458,",",""))+1)</f>
        <v>3</v>
      </c>
    </row>
    <row r="459" spans="1:30" ht="12.5" x14ac:dyDescent="0.25">
      <c r="A459" s="1" t="s">
        <v>1845</v>
      </c>
      <c r="B459" s="1" t="s">
        <v>1846</v>
      </c>
      <c r="C459" s="1" t="str">
        <v>Nicole Ramirez</v>
      </c>
      <c r="D459" s="1" t="s">
        <v>1847</v>
      </c>
      <c r="E459" s="1" t="str">
        <v>sanchezcrystal@horne.org</v>
      </c>
      <c r="F459" t="str">
        <f t="shared" si="93"/>
        <v>Valid</v>
      </c>
      <c r="G459" s="1" t="s">
        <v>109</v>
      </c>
      <c r="H459" s="1" t="str">
        <f t="shared" si="94"/>
        <v>Male</v>
      </c>
      <c r="I459" s="1" t="s">
        <v>156</v>
      </c>
      <c r="J459" t="str">
        <f t="shared" si="95"/>
        <v>IN</v>
      </c>
      <c r="K459" s="14">
        <v>44</v>
      </c>
      <c r="L459" s="1">
        <f t="shared" si="96"/>
        <v>44</v>
      </c>
      <c r="M459" s="1" t="str">
        <f t="shared" si="97"/>
        <v>Senior</v>
      </c>
      <c r="N459" s="9">
        <v>44878</v>
      </c>
      <c r="O459" s="1" t="s">
        <v>90</v>
      </c>
      <c r="P459" s="1" t="s">
        <v>31</v>
      </c>
      <c r="Q459" s="4">
        <v>0.94</v>
      </c>
      <c r="R459" s="13">
        <f t="shared" si="98"/>
        <v>94</v>
      </c>
      <c r="S459" s="6">
        <f t="shared" si="92"/>
        <v>0.94</v>
      </c>
      <c r="T459" s="1" t="s">
        <v>21</v>
      </c>
      <c r="U459" s="1">
        <f t="shared" si="99"/>
        <v>1.5</v>
      </c>
      <c r="V459" s="1">
        <f t="shared" si="100"/>
        <v>66.25</v>
      </c>
      <c r="W459" s="10" t="str">
        <f t="shared" si="101"/>
        <v>Medium</v>
      </c>
      <c r="X459" s="1">
        <v>1</v>
      </c>
      <c r="Y459" s="1" t="str">
        <f t="shared" si="102"/>
        <v>Yes</v>
      </c>
      <c r="AA459" s="18" t="str">
        <f t="shared" si="103"/>
        <v>Invalid</v>
      </c>
      <c r="AB459" s="18" t="str">
        <f t="shared" si="104"/>
        <v>High Performer</v>
      </c>
      <c r="AC459" s="9" t="s">
        <v>306</v>
      </c>
      <c r="AD459">
        <f>IF(AC459="",0,LEN(AC459)-LEN(SUBSTITUTE(AC459,",",""))+1)</f>
        <v>2</v>
      </c>
    </row>
    <row r="460" spans="1:30" ht="12.5" x14ac:dyDescent="0.25">
      <c r="A460" s="1" t="s">
        <v>1848</v>
      </c>
      <c r="B460" s="1" t="s">
        <v>1849</v>
      </c>
      <c r="C460" s="1" t="str">
        <v>Alexandra Gibson</v>
      </c>
      <c r="D460" s="1" t="s">
        <v>1850</v>
      </c>
      <c r="E460" s="1" t="str">
        <v>robert44@gmail.com</v>
      </c>
      <c r="F460" t="str">
        <f t="shared" si="93"/>
        <v>Valid</v>
      </c>
      <c r="G460" s="1" t="s">
        <v>109</v>
      </c>
      <c r="H460" s="1" t="str">
        <f t="shared" si="94"/>
        <v>Male</v>
      </c>
      <c r="I460" s="1" t="s">
        <v>136</v>
      </c>
      <c r="J460" t="str">
        <f t="shared" si="95"/>
        <v>UK</v>
      </c>
      <c r="K460" s="14">
        <v>0</v>
      </c>
      <c r="L460" s="1">
        <f t="shared" si="96"/>
        <v>19</v>
      </c>
      <c r="M460" s="1" t="str">
        <f t="shared" si="97"/>
        <v>Student</v>
      </c>
      <c r="N460" s="2">
        <v>45054</v>
      </c>
      <c r="O460" s="1" t="s">
        <v>170</v>
      </c>
      <c r="P460" s="1" t="s">
        <v>147</v>
      </c>
      <c r="Q460" s="4">
        <v>0.96</v>
      </c>
      <c r="R460" s="13">
        <f t="shared" si="98"/>
        <v>96</v>
      </c>
      <c r="S460" s="6">
        <f t="shared" si="92"/>
        <v>0.96</v>
      </c>
      <c r="T460" s="1">
        <v>1.5</v>
      </c>
      <c r="U460" s="1">
        <f t="shared" si="99"/>
        <v>1.5</v>
      </c>
      <c r="V460" s="1">
        <f t="shared" si="100"/>
        <v>67.649999999999991</v>
      </c>
      <c r="W460" s="10" t="str">
        <f t="shared" si="101"/>
        <v>Medium</v>
      </c>
      <c r="X460" s="1" t="s">
        <v>76</v>
      </c>
      <c r="Y460" s="1" t="str">
        <f t="shared" si="102"/>
        <v>Yes</v>
      </c>
      <c r="Z460" s="14">
        <v>4</v>
      </c>
      <c r="AA460" s="18">
        <f t="shared" si="103"/>
        <v>4</v>
      </c>
      <c r="AB460" s="18" t="str">
        <f t="shared" si="104"/>
        <v>High Performer</v>
      </c>
      <c r="AC460" s="9" t="s">
        <v>1851</v>
      </c>
      <c r="AD460">
        <f>IF(AC460="",0,LEN(AC460)-LEN(SUBSTITUTE(AC460,",",""))+1)</f>
        <v>2</v>
      </c>
    </row>
    <row r="461" spans="1:30" ht="12.5" x14ac:dyDescent="0.25">
      <c r="A461" s="1" t="s">
        <v>1852</v>
      </c>
      <c r="B461" s="1" t="s">
        <v>1853</v>
      </c>
      <c r="C461" s="1" t="str">
        <v>Richard Green</v>
      </c>
      <c r="D461" s="1" t="s">
        <v>1854</v>
      </c>
      <c r="E461" s="1" t="str">
        <v>ashleydouglas@yahoo.com</v>
      </c>
      <c r="F461" t="str">
        <f t="shared" si="93"/>
        <v>Valid</v>
      </c>
      <c r="G461" s="1" t="s">
        <v>27</v>
      </c>
      <c r="H461" s="1" t="str">
        <f t="shared" si="94"/>
        <v>Male</v>
      </c>
      <c r="I461" s="1" t="s">
        <v>18</v>
      </c>
      <c r="J461" t="str">
        <f t="shared" si="95"/>
        <v>US</v>
      </c>
      <c r="L461" s="1">
        <f t="shared" si="96"/>
        <v>19</v>
      </c>
      <c r="M461" s="1" t="str">
        <f t="shared" si="97"/>
        <v>Student</v>
      </c>
      <c r="N461" s="9">
        <v>44712</v>
      </c>
      <c r="O461" s="1" t="s">
        <v>69</v>
      </c>
      <c r="P461" s="1" t="s">
        <v>31</v>
      </c>
      <c r="Q461" s="4">
        <v>10</v>
      </c>
      <c r="R461" s="13">
        <f t="shared" si="98"/>
        <v>10</v>
      </c>
      <c r="S461" s="6">
        <f t="shared" si="92"/>
        <v>0.1</v>
      </c>
      <c r="T461" s="1">
        <v>1.5</v>
      </c>
      <c r="U461" s="1">
        <f t="shared" si="99"/>
        <v>1.5</v>
      </c>
      <c r="V461" s="1">
        <f t="shared" si="100"/>
        <v>7.45</v>
      </c>
      <c r="W461" s="10" t="str">
        <f t="shared" si="101"/>
        <v>Low</v>
      </c>
      <c r="X461" s="1" t="s">
        <v>22</v>
      </c>
      <c r="Y461" s="1" t="str">
        <f t="shared" si="102"/>
        <v>No</v>
      </c>
      <c r="Z461" s="14">
        <v>1</v>
      </c>
      <c r="AA461" s="18">
        <f t="shared" si="103"/>
        <v>1</v>
      </c>
      <c r="AB461" s="18" t="str">
        <f t="shared" si="104"/>
        <v>No</v>
      </c>
      <c r="AC461" s="9" t="s">
        <v>1855</v>
      </c>
      <c r="AD461">
        <f>IF(AC461="",0,LEN(AC461)-LEN(SUBSTITUTE(AC461,",",""))+1)</f>
        <v>3</v>
      </c>
    </row>
    <row r="462" spans="1:30" ht="12.5" x14ac:dyDescent="0.25">
      <c r="A462" s="1" t="s">
        <v>1856</v>
      </c>
      <c r="B462" s="1" t="s">
        <v>1857</v>
      </c>
      <c r="C462" s="1" t="str">
        <v>Billy Bowers</v>
      </c>
      <c r="D462" s="1" t="s">
        <v>127</v>
      </c>
      <c r="E462" s="1" t="str">
        <v>invalid-email</v>
      </c>
      <c r="F462" t="str">
        <f t="shared" si="93"/>
        <v>Invalid</v>
      </c>
      <c r="G462" s="1" t="s">
        <v>109</v>
      </c>
      <c r="H462" s="1" t="str">
        <f t="shared" si="94"/>
        <v>Male</v>
      </c>
      <c r="I462" s="1" t="s">
        <v>136</v>
      </c>
      <c r="J462" t="str">
        <f t="shared" si="95"/>
        <v>UK</v>
      </c>
      <c r="K462" s="14">
        <v>37</v>
      </c>
      <c r="L462" s="1">
        <f t="shared" si="96"/>
        <v>37</v>
      </c>
      <c r="M462" s="1" t="str">
        <f t="shared" si="97"/>
        <v>Mid Career</v>
      </c>
      <c r="N462" s="2">
        <v>45303</v>
      </c>
      <c r="O462" s="1" t="s">
        <v>146</v>
      </c>
      <c r="P462" s="1" t="s">
        <v>147</v>
      </c>
      <c r="Q462" s="4">
        <v>0.3</v>
      </c>
      <c r="R462" s="13">
        <f t="shared" si="98"/>
        <v>30</v>
      </c>
      <c r="S462" s="6">
        <f t="shared" si="92"/>
        <v>0.3</v>
      </c>
      <c r="T462" s="1">
        <v>45</v>
      </c>
      <c r="U462" s="1">
        <f t="shared" si="99"/>
        <v>45</v>
      </c>
      <c r="V462" s="1">
        <f t="shared" si="100"/>
        <v>34.5</v>
      </c>
      <c r="W462" s="10" t="str">
        <f t="shared" si="101"/>
        <v>Low</v>
      </c>
      <c r="X462" s="1" t="s">
        <v>32</v>
      </c>
      <c r="Y462" s="1" t="str">
        <f t="shared" si="102"/>
        <v>Yes</v>
      </c>
      <c r="Z462" s="14">
        <v>2</v>
      </c>
      <c r="AA462" s="18">
        <f t="shared" si="103"/>
        <v>2</v>
      </c>
      <c r="AB462" s="18" t="str">
        <f t="shared" si="104"/>
        <v>No</v>
      </c>
      <c r="AC462" s="9" t="s">
        <v>1858</v>
      </c>
      <c r="AD462">
        <f>IF(AC462="",0,LEN(AC462)-LEN(SUBSTITUTE(AC462,",",""))+1)</f>
        <v>5</v>
      </c>
    </row>
    <row r="463" spans="1:30" ht="12.5" x14ac:dyDescent="0.25">
      <c r="A463" s="1" t="s">
        <v>1859</v>
      </c>
      <c r="B463" s="1" t="s">
        <v>1860</v>
      </c>
      <c r="C463" s="1" t="str">
        <v>Alexis Rodriguez</v>
      </c>
      <c r="D463" s="1" t="s">
        <v>1861</v>
      </c>
      <c r="E463" s="1" t="str">
        <v>donnawood@green.com</v>
      </c>
      <c r="F463" t="str">
        <f t="shared" si="93"/>
        <v>Valid</v>
      </c>
      <c r="G463" s="1" t="s">
        <v>43</v>
      </c>
      <c r="H463" s="1" t="str">
        <f t="shared" si="94"/>
        <v>Female</v>
      </c>
      <c r="I463" s="1" t="s">
        <v>136</v>
      </c>
      <c r="J463" t="str">
        <f t="shared" si="95"/>
        <v>UK</v>
      </c>
      <c r="K463" s="14">
        <v>0</v>
      </c>
      <c r="L463" s="1">
        <f t="shared" si="96"/>
        <v>19</v>
      </c>
      <c r="M463" s="1" t="str">
        <f t="shared" si="97"/>
        <v>Student</v>
      </c>
      <c r="N463" s="2">
        <v>44990</v>
      </c>
      <c r="O463" s="1" t="s">
        <v>52</v>
      </c>
      <c r="P463" s="1" t="s">
        <v>37</v>
      </c>
      <c r="Q463" s="4">
        <v>0.15</v>
      </c>
      <c r="R463" s="13">
        <f t="shared" si="98"/>
        <v>15</v>
      </c>
      <c r="S463" s="6">
        <f t="shared" si="92"/>
        <v>0.15</v>
      </c>
      <c r="T463" s="1">
        <v>45</v>
      </c>
      <c r="U463" s="1">
        <f t="shared" si="99"/>
        <v>45</v>
      </c>
      <c r="V463" s="1">
        <f t="shared" si="100"/>
        <v>24</v>
      </c>
      <c r="W463" s="10" t="str">
        <f t="shared" si="101"/>
        <v>Low</v>
      </c>
      <c r="X463" s="1" t="s">
        <v>32</v>
      </c>
      <c r="Y463" s="1" t="str">
        <f t="shared" si="102"/>
        <v>Yes</v>
      </c>
      <c r="Z463" s="14">
        <v>5</v>
      </c>
      <c r="AA463" s="18">
        <f t="shared" si="103"/>
        <v>5</v>
      </c>
      <c r="AB463" s="18" t="str">
        <f t="shared" si="104"/>
        <v>High Performer</v>
      </c>
      <c r="AC463" s="9">
        <v>44990</v>
      </c>
      <c r="AD463">
        <f>IF(AC463="",0,LEN(AC463)-LEN(SUBSTITUTE(AC463,",",""))+1)</f>
        <v>1</v>
      </c>
    </row>
    <row r="464" spans="1:30" ht="12.5" x14ac:dyDescent="0.25">
      <c r="A464" s="1" t="s">
        <v>1862</v>
      </c>
      <c r="B464" s="1" t="s">
        <v>1863</v>
      </c>
      <c r="C464" s="1" t="str">
        <v>William Coffey</v>
      </c>
      <c r="D464" s="1" t="s">
        <v>1864</v>
      </c>
      <c r="E464" s="1" t="str">
        <v>amullins@young-alexander.com</v>
      </c>
      <c r="F464" t="str">
        <f t="shared" si="93"/>
        <v>Valid</v>
      </c>
      <c r="G464" s="1" t="s">
        <v>95</v>
      </c>
      <c r="H464" s="1" t="str">
        <f t="shared" si="94"/>
        <v>Male</v>
      </c>
      <c r="I464" s="1" t="s">
        <v>28</v>
      </c>
      <c r="J464" t="str">
        <f t="shared" si="95"/>
        <v>INDIA</v>
      </c>
      <c r="L464" s="1">
        <f t="shared" si="96"/>
        <v>19</v>
      </c>
      <c r="M464" s="1" t="str">
        <f t="shared" si="97"/>
        <v>Student</v>
      </c>
      <c r="N464" s="9">
        <v>45411</v>
      </c>
      <c r="O464" s="1" t="s">
        <v>19</v>
      </c>
      <c r="P464" s="1" t="s">
        <v>20</v>
      </c>
      <c r="Q464" s="4">
        <v>0.6</v>
      </c>
      <c r="R464" s="13">
        <f t="shared" si="98"/>
        <v>60</v>
      </c>
      <c r="S464" s="6">
        <f t="shared" si="92"/>
        <v>0.6</v>
      </c>
      <c r="T464" s="1" t="s">
        <v>21</v>
      </c>
      <c r="U464" s="1">
        <f t="shared" si="99"/>
        <v>1.5</v>
      </c>
      <c r="V464" s="1">
        <f t="shared" si="100"/>
        <v>42.45</v>
      </c>
      <c r="W464" s="10" t="str">
        <f t="shared" si="101"/>
        <v>Medium</v>
      </c>
      <c r="X464" s="1" t="s">
        <v>38</v>
      </c>
      <c r="Y464" s="1" t="str">
        <f t="shared" si="102"/>
        <v>No</v>
      </c>
      <c r="Z464" s="14">
        <v>4</v>
      </c>
      <c r="AA464" s="18">
        <f t="shared" si="103"/>
        <v>4</v>
      </c>
      <c r="AB464" s="18" t="str">
        <f t="shared" si="104"/>
        <v>No</v>
      </c>
      <c r="AC464" s="9" t="s">
        <v>1865</v>
      </c>
      <c r="AD464">
        <f>IF(AC464="",0,LEN(AC464)-LEN(SUBSTITUTE(AC464,",",""))+1)</f>
        <v>2</v>
      </c>
    </row>
    <row r="465" spans="1:30" ht="12.5" x14ac:dyDescent="0.25">
      <c r="A465" s="1" t="s">
        <v>1866</v>
      </c>
      <c r="B465" s="1" t="s">
        <v>1867</v>
      </c>
      <c r="C465" s="1" t="str">
        <v>Dennis Weiss</v>
      </c>
      <c r="D465" s="1" t="s">
        <v>1868</v>
      </c>
      <c r="E465" s="1" t="str">
        <v>stevenalvarez@reese-goodwin.net</v>
      </c>
      <c r="F465" t="str">
        <f t="shared" si="93"/>
        <v>Valid</v>
      </c>
      <c r="G465" s="1" t="s">
        <v>119</v>
      </c>
      <c r="H465" s="1" t="str">
        <f t="shared" si="94"/>
        <v>Female</v>
      </c>
      <c r="I465" s="1" t="s">
        <v>96</v>
      </c>
      <c r="J465" t="str">
        <f t="shared" si="95"/>
        <v>INDIA</v>
      </c>
      <c r="K465" s="14">
        <v>21</v>
      </c>
      <c r="L465" s="1">
        <f t="shared" si="96"/>
        <v>21</v>
      </c>
      <c r="M465" s="1" t="str">
        <f t="shared" si="97"/>
        <v>Student</v>
      </c>
      <c r="N465" s="9">
        <v>44985</v>
      </c>
      <c r="O465" s="1" t="s">
        <v>52</v>
      </c>
      <c r="P465" s="1" t="s">
        <v>37</v>
      </c>
      <c r="Q465" s="4">
        <v>0.06</v>
      </c>
      <c r="R465" s="13">
        <f t="shared" si="98"/>
        <v>6</v>
      </c>
      <c r="S465" s="6">
        <f t="shared" si="92"/>
        <v>0.06</v>
      </c>
      <c r="T465" s="1">
        <v>1.5</v>
      </c>
      <c r="U465" s="1">
        <f t="shared" si="99"/>
        <v>1.5</v>
      </c>
      <c r="V465" s="1">
        <f t="shared" si="100"/>
        <v>4.6499999999999995</v>
      </c>
      <c r="W465" s="10" t="str">
        <f t="shared" si="101"/>
        <v>Low</v>
      </c>
      <c r="X465" s="1">
        <v>0</v>
      </c>
      <c r="Y465" s="1" t="str">
        <f t="shared" si="102"/>
        <v>No</v>
      </c>
      <c r="Z465" s="14">
        <v>5</v>
      </c>
      <c r="AA465" s="18">
        <f t="shared" si="103"/>
        <v>5</v>
      </c>
      <c r="AB465" s="18" t="str">
        <f t="shared" si="104"/>
        <v>No</v>
      </c>
      <c r="AC465" s="9" t="s">
        <v>1869</v>
      </c>
      <c r="AD465">
        <f>IF(AC465="",0,LEN(AC465)-LEN(SUBSTITUTE(AC465,",",""))+1)</f>
        <v>8</v>
      </c>
    </row>
    <row r="466" spans="1:30" ht="12.5" x14ac:dyDescent="0.25">
      <c r="A466" s="1" t="s">
        <v>1870</v>
      </c>
      <c r="B466" s="1" t="s">
        <v>1871</v>
      </c>
      <c r="C466" s="1" t="str">
        <v>Charles Berg</v>
      </c>
      <c r="D466" s="1" t="s">
        <v>1872</v>
      </c>
      <c r="E466" s="1" t="str">
        <v>sara76@stewart.com</v>
      </c>
      <c r="F466" t="str">
        <f t="shared" si="93"/>
        <v>Valid</v>
      </c>
      <c r="G466" s="1" t="s">
        <v>43</v>
      </c>
      <c r="H466" s="1" t="str">
        <f t="shared" si="94"/>
        <v>Female</v>
      </c>
      <c r="I466" s="1" t="s">
        <v>74</v>
      </c>
      <c r="J466" t="str">
        <f t="shared" si="95"/>
        <v>USA</v>
      </c>
      <c r="K466" s="14">
        <v>0</v>
      </c>
      <c r="L466" s="1">
        <f t="shared" si="96"/>
        <v>19</v>
      </c>
      <c r="M466" s="1" t="str">
        <f t="shared" si="97"/>
        <v>Student</v>
      </c>
      <c r="N466" s="2">
        <v>45020</v>
      </c>
      <c r="O466" s="1" t="s">
        <v>114</v>
      </c>
      <c r="P466" s="1" t="s">
        <v>59</v>
      </c>
      <c r="Q466" s="4">
        <v>0.86</v>
      </c>
      <c r="R466" s="13">
        <f t="shared" si="98"/>
        <v>86</v>
      </c>
      <c r="S466" s="6">
        <f t="shared" si="92"/>
        <v>0.86</v>
      </c>
      <c r="T466" s="1" t="s">
        <v>64</v>
      </c>
      <c r="U466" s="1">
        <f t="shared" si="99"/>
        <v>2</v>
      </c>
      <c r="V466" s="1">
        <f t="shared" si="100"/>
        <v>60.8</v>
      </c>
      <c r="W466" s="10" t="str">
        <f t="shared" si="101"/>
        <v>Medium</v>
      </c>
      <c r="X466" s="1" t="s">
        <v>22</v>
      </c>
      <c r="Y466" s="1" t="str">
        <f t="shared" si="102"/>
        <v>No</v>
      </c>
      <c r="Z466" s="14">
        <v>3</v>
      </c>
      <c r="AA466" s="18">
        <f t="shared" si="103"/>
        <v>3</v>
      </c>
      <c r="AB466" s="18" t="str">
        <f t="shared" si="104"/>
        <v>No</v>
      </c>
      <c r="AC466" s="9" t="s">
        <v>302</v>
      </c>
      <c r="AD466">
        <f>IF(AC466="",0,LEN(AC466)-LEN(SUBSTITUTE(AC466,",",""))+1)</f>
        <v>6</v>
      </c>
    </row>
    <row r="467" spans="1:30" ht="12.5" x14ac:dyDescent="0.25">
      <c r="A467" s="1" t="s">
        <v>1873</v>
      </c>
      <c r="B467" s="1" t="s">
        <v>1874</v>
      </c>
      <c r="C467" s="1" t="str">
        <v>Thomas Garrison</v>
      </c>
      <c r="D467" s="1" t="s">
        <v>1875</v>
      </c>
      <c r="E467" s="1" t="str">
        <v>joseph14@hotmail.com</v>
      </c>
      <c r="F467" t="str">
        <f t="shared" si="93"/>
        <v>Valid</v>
      </c>
      <c r="G467" s="1" t="s">
        <v>119</v>
      </c>
      <c r="H467" s="1" t="str">
        <f t="shared" si="94"/>
        <v>Female</v>
      </c>
      <c r="I467" s="1" t="s">
        <v>51</v>
      </c>
      <c r="J467" t="str">
        <f t="shared" si="95"/>
        <v>UK</v>
      </c>
      <c r="L467" s="1">
        <f t="shared" si="96"/>
        <v>19</v>
      </c>
      <c r="M467" s="1" t="str">
        <f t="shared" si="97"/>
        <v>Student</v>
      </c>
      <c r="N467" s="2">
        <v>45572</v>
      </c>
      <c r="O467" s="1" t="s">
        <v>158</v>
      </c>
      <c r="P467" s="1" t="s">
        <v>59</v>
      </c>
      <c r="Q467" s="4">
        <v>0.06</v>
      </c>
      <c r="R467" s="13">
        <f t="shared" si="98"/>
        <v>6</v>
      </c>
      <c r="S467" s="6">
        <f t="shared" si="92"/>
        <v>0.06</v>
      </c>
      <c r="T467" s="1" t="s">
        <v>64</v>
      </c>
      <c r="U467" s="1">
        <f t="shared" si="99"/>
        <v>2</v>
      </c>
      <c r="V467" s="1">
        <f t="shared" si="100"/>
        <v>4.7999999999999989</v>
      </c>
      <c r="W467" s="10" t="str">
        <f t="shared" si="101"/>
        <v>Low</v>
      </c>
      <c r="X467" s="1">
        <v>0</v>
      </c>
      <c r="Y467" s="1" t="str">
        <f t="shared" si="102"/>
        <v>No</v>
      </c>
      <c r="Z467" s="14">
        <v>4</v>
      </c>
      <c r="AA467" s="18">
        <f t="shared" si="103"/>
        <v>4</v>
      </c>
      <c r="AB467" s="18" t="str">
        <f t="shared" si="104"/>
        <v>No</v>
      </c>
      <c r="AC467" s="9" t="s">
        <v>1876</v>
      </c>
      <c r="AD467">
        <f>IF(AC467="",0,LEN(AC467)-LEN(SUBSTITUTE(AC467,",",""))+1)</f>
        <v>2</v>
      </c>
    </row>
    <row r="468" spans="1:30" ht="12.5" x14ac:dyDescent="0.25">
      <c r="A468" s="1" t="s">
        <v>1877</v>
      </c>
      <c r="B468" s="1" t="s">
        <v>1878</v>
      </c>
      <c r="C468" s="1" t="str">
        <v>Morgan Chapman</v>
      </c>
      <c r="D468" s="1" t="s">
        <v>1879</v>
      </c>
      <c r="E468" s="1" t="str">
        <v>erica25@smith.biz</v>
      </c>
      <c r="F468" t="str">
        <f t="shared" si="93"/>
        <v>Valid</v>
      </c>
      <c r="G468" s="1" t="s">
        <v>109</v>
      </c>
      <c r="H468" s="1" t="str">
        <f t="shared" si="94"/>
        <v>Male</v>
      </c>
      <c r="I468" s="1" t="s">
        <v>74</v>
      </c>
      <c r="J468" t="str">
        <f t="shared" si="95"/>
        <v>USA</v>
      </c>
      <c r="L468" s="1">
        <f t="shared" si="96"/>
        <v>19</v>
      </c>
      <c r="M468" s="1" t="str">
        <f t="shared" si="97"/>
        <v>Student</v>
      </c>
      <c r="N468" s="9">
        <v>45565</v>
      </c>
      <c r="O468" s="1" t="s">
        <v>146</v>
      </c>
      <c r="P468" s="1" t="s">
        <v>147</v>
      </c>
      <c r="Q468" s="4">
        <v>0.16</v>
      </c>
      <c r="R468" s="13">
        <f t="shared" si="98"/>
        <v>16</v>
      </c>
      <c r="S468" s="6">
        <f t="shared" si="92"/>
        <v>0.16</v>
      </c>
      <c r="T468" s="1">
        <v>2</v>
      </c>
      <c r="U468" s="1">
        <f t="shared" si="99"/>
        <v>2</v>
      </c>
      <c r="V468" s="1">
        <f t="shared" si="100"/>
        <v>11.799999999999999</v>
      </c>
      <c r="W468" s="10" t="str">
        <f t="shared" si="101"/>
        <v>Low</v>
      </c>
      <c r="X468" s="1" t="s">
        <v>22</v>
      </c>
      <c r="Y468" s="1" t="str">
        <f t="shared" si="102"/>
        <v>No</v>
      </c>
      <c r="Z468" s="14">
        <v>1</v>
      </c>
      <c r="AA468" s="18">
        <f t="shared" si="103"/>
        <v>1</v>
      </c>
      <c r="AB468" s="18" t="str">
        <f t="shared" si="104"/>
        <v>No</v>
      </c>
      <c r="AC468" s="9" t="s">
        <v>1880</v>
      </c>
      <c r="AD468">
        <f>IF(AC468="",0,LEN(AC468)-LEN(SUBSTITUTE(AC468,",",""))+1)</f>
        <v>6</v>
      </c>
    </row>
    <row r="469" spans="1:30" ht="12.5" x14ac:dyDescent="0.25">
      <c r="A469" s="1" t="s">
        <v>1881</v>
      </c>
      <c r="B469" s="1" t="s">
        <v>1882</v>
      </c>
      <c r="C469" s="1" t="str">
        <v>Nicholas King</v>
      </c>
      <c r="D469" s="1" t="s">
        <v>1883</v>
      </c>
      <c r="E469" s="1" t="str">
        <v>harveybrian@douglas.com</v>
      </c>
      <c r="F469" t="str">
        <f t="shared" si="93"/>
        <v>Valid</v>
      </c>
      <c r="G469" s="1" t="s">
        <v>43</v>
      </c>
      <c r="H469" s="1" t="str">
        <f t="shared" si="94"/>
        <v>Female</v>
      </c>
      <c r="I469" s="1" t="s">
        <v>74</v>
      </c>
      <c r="J469" t="str">
        <f t="shared" si="95"/>
        <v>USA</v>
      </c>
      <c r="K469" s="14">
        <v>0</v>
      </c>
      <c r="L469" s="1">
        <f t="shared" si="96"/>
        <v>19</v>
      </c>
      <c r="M469" s="1" t="str">
        <f t="shared" si="97"/>
        <v>Student</v>
      </c>
      <c r="N469" s="2">
        <v>44690</v>
      </c>
      <c r="O469" s="1" t="s">
        <v>36</v>
      </c>
      <c r="P469" s="1" t="s">
        <v>37</v>
      </c>
      <c r="Q469" s="4">
        <v>0.81</v>
      </c>
      <c r="R469" s="13">
        <f t="shared" si="98"/>
        <v>81</v>
      </c>
      <c r="S469" s="6">
        <f t="shared" si="92"/>
        <v>0.81</v>
      </c>
      <c r="T469" s="1">
        <v>45</v>
      </c>
      <c r="U469" s="1">
        <f t="shared" si="99"/>
        <v>45</v>
      </c>
      <c r="V469" s="1">
        <f t="shared" si="100"/>
        <v>70.199999999999989</v>
      </c>
      <c r="W469" s="10" t="str">
        <f t="shared" si="101"/>
        <v>Medium</v>
      </c>
      <c r="X469" s="1" t="s">
        <v>22</v>
      </c>
      <c r="Y469" s="1" t="str">
        <f t="shared" si="102"/>
        <v>No</v>
      </c>
      <c r="Z469" s="14">
        <v>5</v>
      </c>
      <c r="AA469" s="18">
        <f t="shared" si="103"/>
        <v>5</v>
      </c>
      <c r="AB469" s="18" t="str">
        <f t="shared" si="104"/>
        <v>No</v>
      </c>
      <c r="AC469" s="9" t="s">
        <v>1884</v>
      </c>
      <c r="AD469">
        <f>IF(AC469="",0,LEN(AC469)-LEN(SUBSTITUTE(AC469,",",""))+1)</f>
        <v>5</v>
      </c>
    </row>
    <row r="470" spans="1:30" ht="12.5" x14ac:dyDescent="0.25">
      <c r="A470" s="1" t="s">
        <v>1885</v>
      </c>
      <c r="B470" s="1" t="s">
        <v>1886</v>
      </c>
      <c r="C470" s="1" t="str">
        <v>Phillip Wong</v>
      </c>
      <c r="D470" s="1" t="s">
        <v>1887</v>
      </c>
      <c r="E470" s="1" t="str">
        <v>dominguezjon@guerrero-jones.info</v>
      </c>
      <c r="F470" t="str">
        <f t="shared" si="93"/>
        <v>Valid</v>
      </c>
      <c r="G470" s="1" t="s">
        <v>88</v>
      </c>
      <c r="H470" s="1" t="str">
        <f t="shared" si="94"/>
        <v>Male</v>
      </c>
      <c r="I470" s="1" t="s">
        <v>89</v>
      </c>
      <c r="J470" t="str">
        <f t="shared" si="95"/>
        <v>GERMANY</v>
      </c>
      <c r="K470" s="14">
        <v>36</v>
      </c>
      <c r="L470" s="1">
        <f t="shared" si="96"/>
        <v>36</v>
      </c>
      <c r="M470" s="1" t="str">
        <f t="shared" si="97"/>
        <v>Mid Career</v>
      </c>
      <c r="N470" s="3">
        <v>44844</v>
      </c>
      <c r="O470" s="1" t="s">
        <v>69</v>
      </c>
      <c r="P470" s="1" t="s">
        <v>31</v>
      </c>
      <c r="Q470" s="4">
        <v>0.54</v>
      </c>
      <c r="R470" s="13">
        <f t="shared" si="98"/>
        <v>54</v>
      </c>
      <c r="S470" s="6">
        <f t="shared" si="92"/>
        <v>0.54</v>
      </c>
      <c r="T470" s="1">
        <v>2</v>
      </c>
      <c r="U470" s="1">
        <f t="shared" si="99"/>
        <v>2</v>
      </c>
      <c r="V470" s="1">
        <f t="shared" si="100"/>
        <v>38.4</v>
      </c>
      <c r="W470" s="10" t="str">
        <f t="shared" si="101"/>
        <v>Low</v>
      </c>
      <c r="X470" s="1" t="s">
        <v>76</v>
      </c>
      <c r="Y470" s="1" t="str">
        <f t="shared" si="102"/>
        <v>Yes</v>
      </c>
      <c r="AA470" s="18" t="str">
        <f t="shared" si="103"/>
        <v>Invalid</v>
      </c>
      <c r="AB470" s="18" t="str">
        <f t="shared" si="104"/>
        <v>High Performer</v>
      </c>
      <c r="AC470" s="9" t="s">
        <v>1888</v>
      </c>
      <c r="AD470">
        <f>IF(AC470="",0,LEN(AC470)-LEN(SUBSTITUTE(AC470,",",""))+1)</f>
        <v>8</v>
      </c>
    </row>
    <row r="471" spans="1:30" ht="12.5" x14ac:dyDescent="0.25">
      <c r="A471" s="1" t="s">
        <v>1889</v>
      </c>
      <c r="B471" s="1" t="s">
        <v>1890</v>
      </c>
      <c r="C471" s="1" t="str">
        <v>Patricia Scott</v>
      </c>
      <c r="D471" s="1" t="s">
        <v>1891</v>
      </c>
      <c r="E471" s="1" t="str">
        <v>kimberly66@ferrell-scott.com</v>
      </c>
      <c r="F471" t="str">
        <f t="shared" si="93"/>
        <v>Valid</v>
      </c>
      <c r="G471" s="1" t="s">
        <v>17</v>
      </c>
      <c r="H471" s="1" t="str">
        <f t="shared" si="94"/>
        <v>Female</v>
      </c>
      <c r="I471" s="1" t="s">
        <v>136</v>
      </c>
      <c r="J471" t="str">
        <f t="shared" si="95"/>
        <v>UK</v>
      </c>
      <c r="K471" s="14">
        <v>33</v>
      </c>
      <c r="L471" s="1">
        <f t="shared" si="96"/>
        <v>33</v>
      </c>
      <c r="M471" s="1" t="str">
        <f t="shared" si="97"/>
        <v>Mid Career</v>
      </c>
      <c r="N471" s="2">
        <v>45205</v>
      </c>
      <c r="O471" s="1" t="s">
        <v>158</v>
      </c>
      <c r="P471" s="1" t="s">
        <v>59</v>
      </c>
      <c r="Q471" s="4">
        <v>64</v>
      </c>
      <c r="R471" s="13">
        <f t="shared" si="98"/>
        <v>64</v>
      </c>
      <c r="S471" s="6">
        <f t="shared" si="92"/>
        <v>0.64</v>
      </c>
      <c r="T471" s="1" t="s">
        <v>64</v>
      </c>
      <c r="U471" s="1">
        <f t="shared" si="99"/>
        <v>2</v>
      </c>
      <c r="V471" s="1">
        <f t="shared" si="100"/>
        <v>45.4</v>
      </c>
      <c r="W471" s="10" t="str">
        <f t="shared" si="101"/>
        <v>Medium</v>
      </c>
      <c r="X471" s="1" t="s">
        <v>76</v>
      </c>
      <c r="Y471" s="1" t="str">
        <f t="shared" si="102"/>
        <v>Yes</v>
      </c>
      <c r="Z471" s="14">
        <v>1</v>
      </c>
      <c r="AA471" s="18">
        <f t="shared" si="103"/>
        <v>1</v>
      </c>
      <c r="AB471" s="18" t="str">
        <f t="shared" si="104"/>
        <v>No</v>
      </c>
      <c r="AC471" s="9">
        <v>45205</v>
      </c>
      <c r="AD471">
        <f>IF(AC471="",0,LEN(AC471)-LEN(SUBSTITUTE(AC471,",",""))+1)</f>
        <v>1</v>
      </c>
    </row>
    <row r="472" spans="1:30" ht="12.5" x14ac:dyDescent="0.25">
      <c r="A472" s="1" t="s">
        <v>1892</v>
      </c>
      <c r="B472" s="1" t="s">
        <v>1893</v>
      </c>
      <c r="C472" s="1" t="str">
        <v>Lisa White</v>
      </c>
      <c r="D472" s="1" t="s">
        <v>1894</v>
      </c>
      <c r="E472" s="1" t="str">
        <v>thomaskayla@gmail.com</v>
      </c>
      <c r="F472" t="str">
        <f t="shared" si="93"/>
        <v>Valid</v>
      </c>
      <c r="G472" s="1" t="s">
        <v>109</v>
      </c>
      <c r="H472" s="1" t="str">
        <f t="shared" si="94"/>
        <v>Male</v>
      </c>
      <c r="I472" s="1" t="s">
        <v>136</v>
      </c>
      <c r="J472" t="str">
        <f t="shared" si="95"/>
        <v>UK</v>
      </c>
      <c r="K472" s="14">
        <v>0</v>
      </c>
      <c r="L472" s="1">
        <f t="shared" si="96"/>
        <v>19</v>
      </c>
      <c r="M472" s="1" t="str">
        <f t="shared" si="97"/>
        <v>Student</v>
      </c>
      <c r="N472" s="2">
        <v>45139</v>
      </c>
      <c r="O472" s="1" t="s">
        <v>158</v>
      </c>
      <c r="P472" s="1" t="s">
        <v>59</v>
      </c>
      <c r="Q472" s="4">
        <v>0.82</v>
      </c>
      <c r="R472" s="13">
        <f t="shared" si="98"/>
        <v>82</v>
      </c>
      <c r="S472" s="6">
        <f t="shared" si="92"/>
        <v>0.82</v>
      </c>
      <c r="T472" s="1">
        <v>2</v>
      </c>
      <c r="U472" s="1">
        <f t="shared" si="99"/>
        <v>2</v>
      </c>
      <c r="V472" s="1">
        <f t="shared" si="100"/>
        <v>58</v>
      </c>
      <c r="W472" s="10" t="str">
        <f t="shared" si="101"/>
        <v>Medium</v>
      </c>
      <c r="X472" s="1" t="s">
        <v>76</v>
      </c>
      <c r="Y472" s="1" t="str">
        <f t="shared" si="102"/>
        <v>Yes</v>
      </c>
      <c r="Z472" s="14">
        <v>1</v>
      </c>
      <c r="AA472" s="18">
        <f t="shared" si="103"/>
        <v>1</v>
      </c>
      <c r="AB472" s="18" t="str">
        <f t="shared" si="104"/>
        <v>No</v>
      </c>
      <c r="AC472" s="9" t="s">
        <v>1895</v>
      </c>
      <c r="AD472">
        <f>IF(AC472="",0,LEN(AC472)-LEN(SUBSTITUTE(AC472,",",""))+1)</f>
        <v>3</v>
      </c>
    </row>
    <row r="473" spans="1:30" ht="12.5" x14ac:dyDescent="0.25">
      <c r="A473" s="1" t="s">
        <v>1896</v>
      </c>
      <c r="B473" s="1" t="s">
        <v>1897</v>
      </c>
      <c r="C473" s="1" t="str">
        <v>Ashley Jones</v>
      </c>
      <c r="D473" s="1" t="s">
        <v>1898</v>
      </c>
      <c r="E473" s="1" t="str">
        <v>fsmith@gmail.com</v>
      </c>
      <c r="F473" t="str">
        <f t="shared" si="93"/>
        <v>Valid</v>
      </c>
      <c r="G473" s="1" t="s">
        <v>17</v>
      </c>
      <c r="H473" s="1" t="str">
        <f t="shared" si="94"/>
        <v>Female</v>
      </c>
      <c r="I473" s="1" t="s">
        <v>18</v>
      </c>
      <c r="J473" t="str">
        <f t="shared" si="95"/>
        <v>US</v>
      </c>
      <c r="L473" s="1">
        <f t="shared" si="96"/>
        <v>19</v>
      </c>
      <c r="M473" s="1" t="str">
        <f t="shared" si="97"/>
        <v>Student</v>
      </c>
      <c r="N473" s="9">
        <v>45611</v>
      </c>
      <c r="O473" s="1" t="s">
        <v>58</v>
      </c>
      <c r="P473" s="1" t="s">
        <v>59</v>
      </c>
      <c r="Q473" s="4">
        <v>0.47</v>
      </c>
      <c r="R473" s="13">
        <f t="shared" si="98"/>
        <v>47</v>
      </c>
      <c r="S473" s="6">
        <f t="shared" si="92"/>
        <v>0.47</v>
      </c>
      <c r="T473" s="1" t="s">
        <v>46</v>
      </c>
      <c r="U473" s="1">
        <f t="shared" si="99"/>
        <v>1</v>
      </c>
      <c r="V473" s="1">
        <f t="shared" si="100"/>
        <v>33.199999999999996</v>
      </c>
      <c r="W473" s="10" t="str">
        <f t="shared" si="101"/>
        <v>Low</v>
      </c>
      <c r="X473" s="1" t="s">
        <v>32</v>
      </c>
      <c r="Y473" s="1" t="str">
        <f t="shared" si="102"/>
        <v>Yes</v>
      </c>
      <c r="AA473" s="18" t="str">
        <f t="shared" si="103"/>
        <v>Invalid</v>
      </c>
      <c r="AB473" s="18" t="str">
        <f t="shared" si="104"/>
        <v>High Performer</v>
      </c>
      <c r="AC473" s="9" t="s">
        <v>1899</v>
      </c>
      <c r="AD473">
        <f>IF(AC473="",0,LEN(AC473)-LEN(SUBSTITUTE(AC473,",",""))+1)</f>
        <v>3</v>
      </c>
    </row>
    <row r="474" spans="1:30" ht="12.5" x14ac:dyDescent="0.25">
      <c r="A474" s="1" t="s">
        <v>1900</v>
      </c>
      <c r="B474" s="1" t="s">
        <v>1901</v>
      </c>
      <c r="C474" s="1" t="str">
        <v>Deborah Graves</v>
      </c>
      <c r="D474" s="1" t="s">
        <v>1902</v>
      </c>
      <c r="E474" s="1" t="str">
        <v>robertsonshelby@yahoo.com</v>
      </c>
      <c r="F474" t="str">
        <f t="shared" si="93"/>
        <v>Valid</v>
      </c>
      <c r="G474" s="1" t="s">
        <v>57</v>
      </c>
      <c r="H474" s="1" t="str">
        <f t="shared" si="94"/>
        <v>Female</v>
      </c>
      <c r="I474" s="1" t="s">
        <v>28</v>
      </c>
      <c r="J474" t="str">
        <f t="shared" si="95"/>
        <v>INDIA</v>
      </c>
      <c r="L474" s="1">
        <f t="shared" si="96"/>
        <v>19</v>
      </c>
      <c r="M474" s="1" t="str">
        <f t="shared" si="97"/>
        <v>Student</v>
      </c>
      <c r="N474" s="9">
        <v>45672</v>
      </c>
      <c r="O474" s="1" t="s">
        <v>58</v>
      </c>
      <c r="P474" s="1" t="s">
        <v>59</v>
      </c>
      <c r="Q474" s="4">
        <v>0.42</v>
      </c>
      <c r="R474" s="13">
        <f t="shared" si="98"/>
        <v>42</v>
      </c>
      <c r="S474" s="6">
        <f t="shared" si="92"/>
        <v>0.42</v>
      </c>
      <c r="T474" s="1" t="s">
        <v>46</v>
      </c>
      <c r="U474" s="1">
        <f t="shared" si="99"/>
        <v>1</v>
      </c>
      <c r="V474" s="1">
        <f t="shared" si="100"/>
        <v>29.7</v>
      </c>
      <c r="W474" s="10" t="str">
        <f t="shared" si="101"/>
        <v>Low</v>
      </c>
      <c r="X474" s="1">
        <v>1</v>
      </c>
      <c r="Y474" s="1" t="str">
        <f t="shared" si="102"/>
        <v>Yes</v>
      </c>
      <c r="AA474" s="18" t="str">
        <f t="shared" si="103"/>
        <v>Invalid</v>
      </c>
      <c r="AB474" s="18" t="str">
        <f t="shared" si="104"/>
        <v>High Performer</v>
      </c>
      <c r="AC474" s="9" t="s">
        <v>1903</v>
      </c>
      <c r="AD474">
        <f>IF(AC474="",0,LEN(AC474)-LEN(SUBSTITUTE(AC474,",",""))+1)</f>
        <v>4</v>
      </c>
    </row>
    <row r="475" spans="1:30" ht="12.5" x14ac:dyDescent="0.25">
      <c r="A475" s="1" t="s">
        <v>1904</v>
      </c>
      <c r="B475" s="1" t="s">
        <v>1905</v>
      </c>
      <c r="C475" s="1" t="str">
        <v>Rachel Fernandez</v>
      </c>
      <c r="D475" s="1" t="s">
        <v>1906</v>
      </c>
      <c r="E475" s="1" t="str">
        <v>xfinley@martinez-nichols.com</v>
      </c>
      <c r="F475" t="str">
        <f t="shared" si="93"/>
        <v>Valid</v>
      </c>
      <c r="G475" s="1" t="s">
        <v>109</v>
      </c>
      <c r="H475" s="1" t="str">
        <f t="shared" si="94"/>
        <v>Male</v>
      </c>
      <c r="I475" s="1" t="s">
        <v>156</v>
      </c>
      <c r="J475" t="str">
        <f t="shared" si="95"/>
        <v>IN</v>
      </c>
      <c r="K475" s="14">
        <v>0</v>
      </c>
      <c r="L475" s="1">
        <f t="shared" si="96"/>
        <v>19</v>
      </c>
      <c r="M475" s="1" t="str">
        <f t="shared" si="97"/>
        <v>Student</v>
      </c>
      <c r="N475" s="9">
        <v>45400</v>
      </c>
      <c r="O475" s="1" t="s">
        <v>301</v>
      </c>
      <c r="P475" s="1" t="s">
        <v>20</v>
      </c>
      <c r="Q475" s="4">
        <v>0.9</v>
      </c>
      <c r="R475" s="13">
        <f t="shared" si="98"/>
        <v>90</v>
      </c>
      <c r="S475" s="6">
        <f t="shared" si="92"/>
        <v>0.9</v>
      </c>
      <c r="T475" s="1" t="s">
        <v>21</v>
      </c>
      <c r="U475" s="1">
        <f t="shared" si="99"/>
        <v>1.5</v>
      </c>
      <c r="V475" s="1">
        <f t="shared" si="100"/>
        <v>63.449999999999996</v>
      </c>
      <c r="W475" s="10" t="str">
        <f t="shared" si="101"/>
        <v>Medium</v>
      </c>
      <c r="X475" s="1" t="s">
        <v>38</v>
      </c>
      <c r="Y475" s="1" t="str">
        <f t="shared" si="102"/>
        <v>No</v>
      </c>
      <c r="Z475" s="14">
        <v>1</v>
      </c>
      <c r="AA475" s="18">
        <f t="shared" si="103"/>
        <v>1</v>
      </c>
      <c r="AB475" s="18" t="str">
        <f t="shared" si="104"/>
        <v>No</v>
      </c>
      <c r="AC475" s="9" t="s">
        <v>1907</v>
      </c>
      <c r="AD475">
        <f>IF(AC475="",0,LEN(AC475)-LEN(SUBSTITUTE(AC475,",",""))+1)</f>
        <v>6</v>
      </c>
    </row>
    <row r="476" spans="1:30" ht="12.5" x14ac:dyDescent="0.25">
      <c r="A476" s="1" t="s">
        <v>1908</v>
      </c>
      <c r="B476" s="1" t="s">
        <v>1909</v>
      </c>
      <c r="C476" s="1" t="str">
        <v>Tina Davis</v>
      </c>
      <c r="D476" s="1" t="s">
        <v>1910</v>
      </c>
      <c r="E476" s="1" t="str">
        <v>randallkathleen@yahoo.com</v>
      </c>
      <c r="F476" t="str">
        <f t="shared" si="93"/>
        <v>Valid</v>
      </c>
      <c r="G476" s="1" t="s">
        <v>88</v>
      </c>
      <c r="H476" s="1" t="str">
        <f t="shared" si="94"/>
        <v>Male</v>
      </c>
      <c r="I476" s="1" t="s">
        <v>44</v>
      </c>
      <c r="J476" t="str">
        <f t="shared" si="95"/>
        <v>CANADA</v>
      </c>
      <c r="K476" s="14">
        <v>19</v>
      </c>
      <c r="L476" s="1">
        <f t="shared" si="96"/>
        <v>19</v>
      </c>
      <c r="M476" s="1" t="str">
        <f t="shared" si="97"/>
        <v>Student</v>
      </c>
      <c r="N476" s="2">
        <v>45086</v>
      </c>
      <c r="O476" s="1" t="s">
        <v>30</v>
      </c>
      <c r="P476" s="1" t="s">
        <v>31</v>
      </c>
      <c r="Q476" s="4">
        <v>41</v>
      </c>
      <c r="R476" s="13">
        <f t="shared" si="98"/>
        <v>41</v>
      </c>
      <c r="S476" s="6">
        <f t="shared" si="92"/>
        <v>0.41</v>
      </c>
      <c r="T476" s="1" t="s">
        <v>46</v>
      </c>
      <c r="U476" s="1">
        <f t="shared" si="99"/>
        <v>1</v>
      </c>
      <c r="V476" s="1">
        <f t="shared" si="100"/>
        <v>29</v>
      </c>
      <c r="W476" s="10" t="str">
        <f t="shared" si="101"/>
        <v>Low</v>
      </c>
      <c r="X476" s="1" t="s">
        <v>38</v>
      </c>
      <c r="Y476" s="1" t="str">
        <f t="shared" si="102"/>
        <v>No</v>
      </c>
      <c r="Z476" s="14">
        <v>3</v>
      </c>
      <c r="AA476" s="18">
        <f t="shared" si="103"/>
        <v>3</v>
      </c>
      <c r="AB476" s="18" t="str">
        <f t="shared" si="104"/>
        <v>No</v>
      </c>
      <c r="AC476" s="9" t="s">
        <v>1911</v>
      </c>
      <c r="AD476">
        <f>IF(AC476="",0,LEN(AC476)-LEN(SUBSTITUTE(AC476,",",""))+1)</f>
        <v>4</v>
      </c>
    </row>
    <row r="477" spans="1:30" ht="12.5" x14ac:dyDescent="0.25">
      <c r="A477" s="1" t="s">
        <v>1912</v>
      </c>
      <c r="B477" s="1" t="s">
        <v>1913</v>
      </c>
      <c r="C477" s="1" t="str">
        <v>Mary Evans</v>
      </c>
      <c r="D477" s="1" t="s">
        <v>1914</v>
      </c>
      <c r="E477" s="1" t="str">
        <v>mccoymichael@gmail.com</v>
      </c>
      <c r="F477" t="str">
        <f t="shared" si="93"/>
        <v>Valid</v>
      </c>
      <c r="G477" s="1" t="s">
        <v>57</v>
      </c>
      <c r="H477" s="1" t="str">
        <f t="shared" si="94"/>
        <v>Female</v>
      </c>
      <c r="I477" s="1" t="s">
        <v>74</v>
      </c>
      <c r="J477" t="str">
        <f t="shared" si="95"/>
        <v>USA</v>
      </c>
      <c r="L477" s="1">
        <f t="shared" si="96"/>
        <v>19</v>
      </c>
      <c r="M477" s="1" t="str">
        <f t="shared" si="97"/>
        <v>Student</v>
      </c>
      <c r="N477" s="2">
        <v>45839</v>
      </c>
      <c r="O477" s="1" t="s">
        <v>114</v>
      </c>
      <c r="P477" s="1" t="s">
        <v>59</v>
      </c>
      <c r="Q477" s="4">
        <v>86</v>
      </c>
      <c r="R477" s="13">
        <f t="shared" si="98"/>
        <v>86</v>
      </c>
      <c r="S477" s="6">
        <f t="shared" si="92"/>
        <v>0.86</v>
      </c>
      <c r="T477" s="1" t="s">
        <v>64</v>
      </c>
      <c r="U477" s="1">
        <f t="shared" si="99"/>
        <v>2</v>
      </c>
      <c r="V477" s="1">
        <f t="shared" si="100"/>
        <v>60.8</v>
      </c>
      <c r="W477" s="10" t="str">
        <f t="shared" si="101"/>
        <v>Medium</v>
      </c>
      <c r="X477" s="1" t="s">
        <v>38</v>
      </c>
      <c r="Y477" s="1" t="str">
        <f t="shared" si="102"/>
        <v>No</v>
      </c>
      <c r="Z477" s="14">
        <v>6</v>
      </c>
      <c r="AA477" s="18">
        <f t="shared" si="103"/>
        <v>6</v>
      </c>
      <c r="AB477" s="18" t="str">
        <f t="shared" si="104"/>
        <v>No</v>
      </c>
      <c r="AC477" s="9" t="s">
        <v>1915</v>
      </c>
      <c r="AD477">
        <f>IF(AC477="",0,LEN(AC477)-LEN(SUBSTITUTE(AC477,",",""))+1)</f>
        <v>2</v>
      </c>
    </row>
    <row r="478" spans="1:30" ht="12.5" x14ac:dyDescent="0.25">
      <c r="A478" s="1" t="s">
        <v>1916</v>
      </c>
      <c r="B478" s="1" t="s">
        <v>1917</v>
      </c>
      <c r="C478" s="1" t="str">
        <v>Alexander Davies</v>
      </c>
      <c r="D478" s="1" t="s">
        <v>1918</v>
      </c>
      <c r="E478" s="1" t="str">
        <v>yprice@schneider.info</v>
      </c>
      <c r="F478" t="str">
        <f t="shared" si="93"/>
        <v>Valid</v>
      </c>
      <c r="G478" s="1" t="s">
        <v>43</v>
      </c>
      <c r="H478" s="1" t="str">
        <f t="shared" si="94"/>
        <v>Female</v>
      </c>
      <c r="I478" s="1" t="s">
        <v>96</v>
      </c>
      <c r="J478" t="str">
        <f t="shared" si="95"/>
        <v>INDIA</v>
      </c>
      <c r="K478" s="14">
        <v>38</v>
      </c>
      <c r="L478" s="1">
        <f t="shared" si="96"/>
        <v>38</v>
      </c>
      <c r="M478" s="1" t="str">
        <f t="shared" si="97"/>
        <v>Mid Career</v>
      </c>
      <c r="N478" s="9">
        <v>45641</v>
      </c>
      <c r="O478" s="1" t="s">
        <v>170</v>
      </c>
      <c r="P478" s="1" t="s">
        <v>147</v>
      </c>
      <c r="Q478" s="4">
        <v>0.14000000000000001</v>
      </c>
      <c r="R478" s="13">
        <f t="shared" si="98"/>
        <v>14.000000000000002</v>
      </c>
      <c r="S478" s="6">
        <f t="shared" si="92"/>
        <v>0.14000000000000001</v>
      </c>
      <c r="T478" s="1">
        <v>1.5</v>
      </c>
      <c r="U478" s="1">
        <f t="shared" si="99"/>
        <v>1.5</v>
      </c>
      <c r="V478" s="1">
        <f t="shared" si="100"/>
        <v>10.25</v>
      </c>
      <c r="W478" s="10" t="str">
        <f t="shared" si="101"/>
        <v>Low</v>
      </c>
      <c r="X478" s="1">
        <v>0</v>
      </c>
      <c r="Y478" s="1" t="str">
        <f t="shared" si="102"/>
        <v>No</v>
      </c>
      <c r="AA478" s="18" t="str">
        <f t="shared" si="103"/>
        <v>Invalid</v>
      </c>
      <c r="AB478" s="18" t="str">
        <f t="shared" si="104"/>
        <v>No</v>
      </c>
      <c r="AC478" s="9" t="s">
        <v>1919</v>
      </c>
      <c r="AD478">
        <f>IF(AC478="",0,LEN(AC478)-LEN(SUBSTITUTE(AC478,",",""))+1)</f>
        <v>2</v>
      </c>
    </row>
    <row r="479" spans="1:30" ht="12.5" x14ac:dyDescent="0.25">
      <c r="A479" s="1" t="s">
        <v>1920</v>
      </c>
      <c r="B479" s="1" t="s">
        <v>1921</v>
      </c>
      <c r="C479" s="1" t="str">
        <v>Amanda Wilson</v>
      </c>
      <c r="D479" s="1" t="s">
        <v>1922</v>
      </c>
      <c r="E479" s="1" t="str">
        <v>joycehall@gmail.com</v>
      </c>
      <c r="F479" t="str">
        <f t="shared" si="93"/>
        <v>Valid</v>
      </c>
      <c r="G479" s="1" t="s">
        <v>95</v>
      </c>
      <c r="H479" s="1" t="str">
        <f t="shared" si="94"/>
        <v>Male</v>
      </c>
      <c r="I479" s="1" t="s">
        <v>89</v>
      </c>
      <c r="J479" t="str">
        <f t="shared" si="95"/>
        <v>GERMANY</v>
      </c>
      <c r="K479" s="14">
        <v>0</v>
      </c>
      <c r="L479" s="1">
        <f t="shared" si="96"/>
        <v>19</v>
      </c>
      <c r="M479" s="1" t="str">
        <f t="shared" si="97"/>
        <v>Student</v>
      </c>
      <c r="N479" s="2">
        <v>44597</v>
      </c>
      <c r="O479" s="1" t="s">
        <v>90</v>
      </c>
      <c r="P479" s="1" t="s">
        <v>31</v>
      </c>
      <c r="Q479" s="4">
        <v>0.94</v>
      </c>
      <c r="R479" s="13">
        <f t="shared" si="98"/>
        <v>94</v>
      </c>
      <c r="S479" s="6">
        <f t="shared" si="92"/>
        <v>0.94</v>
      </c>
      <c r="T479" s="1">
        <v>2</v>
      </c>
      <c r="U479" s="1">
        <f t="shared" si="99"/>
        <v>2</v>
      </c>
      <c r="V479" s="1">
        <f t="shared" si="100"/>
        <v>66.399999999999991</v>
      </c>
      <c r="W479" s="10" t="str">
        <f t="shared" si="101"/>
        <v>Medium</v>
      </c>
      <c r="X479" s="1" t="s">
        <v>38</v>
      </c>
      <c r="Y479" s="1" t="str">
        <f t="shared" si="102"/>
        <v>No</v>
      </c>
      <c r="AA479" s="18" t="str">
        <f t="shared" si="103"/>
        <v>Invalid</v>
      </c>
      <c r="AB479" s="18" t="str">
        <f t="shared" si="104"/>
        <v>No</v>
      </c>
      <c r="AC479" s="9" t="s">
        <v>1923</v>
      </c>
      <c r="AD479">
        <f>IF(AC479="",0,LEN(AC479)-LEN(SUBSTITUTE(AC479,",",""))+1)</f>
        <v>8</v>
      </c>
    </row>
    <row r="480" spans="1:30" ht="12.5" x14ac:dyDescent="0.25">
      <c r="A480" s="1" t="s">
        <v>1924</v>
      </c>
      <c r="B480" s="1" t="s">
        <v>1925</v>
      </c>
      <c r="C480" s="1" t="str">
        <v>Terry Montgomery</v>
      </c>
      <c r="D480" s="1" t="s">
        <v>1926</v>
      </c>
      <c r="E480" s="1" t="str">
        <v>alexischen@hoover-davis.org</v>
      </c>
      <c r="F480" t="str">
        <f t="shared" si="93"/>
        <v>Valid</v>
      </c>
      <c r="G480" s="1" t="s">
        <v>27</v>
      </c>
      <c r="H480" s="1" t="str">
        <f t="shared" si="94"/>
        <v>Male</v>
      </c>
      <c r="I480" s="1" t="s">
        <v>51</v>
      </c>
      <c r="J480" t="str">
        <f t="shared" si="95"/>
        <v>UK</v>
      </c>
      <c r="L480" s="1">
        <f t="shared" si="96"/>
        <v>19</v>
      </c>
      <c r="M480" s="1" t="str">
        <f t="shared" si="97"/>
        <v>Student</v>
      </c>
      <c r="N480" s="2">
        <v>44626</v>
      </c>
      <c r="O480" s="1" t="s">
        <v>69</v>
      </c>
      <c r="P480" s="1" t="s">
        <v>31</v>
      </c>
      <c r="Q480" s="4">
        <v>0.89</v>
      </c>
      <c r="R480" s="13">
        <f t="shared" si="98"/>
        <v>89</v>
      </c>
      <c r="S480" s="6">
        <f t="shared" si="92"/>
        <v>0.89</v>
      </c>
      <c r="T480" s="1" t="s">
        <v>64</v>
      </c>
      <c r="U480" s="1">
        <f t="shared" si="99"/>
        <v>2</v>
      </c>
      <c r="V480" s="1">
        <f t="shared" si="100"/>
        <v>62.9</v>
      </c>
      <c r="W480" s="10" t="str">
        <f t="shared" si="101"/>
        <v>Medium</v>
      </c>
      <c r="X480" s="1" t="s">
        <v>32</v>
      </c>
      <c r="Y480" s="1" t="str">
        <f t="shared" si="102"/>
        <v>Yes</v>
      </c>
      <c r="Z480" s="14">
        <v>5</v>
      </c>
      <c r="AA480" s="18">
        <f t="shared" si="103"/>
        <v>5</v>
      </c>
      <c r="AB480" s="18" t="str">
        <f t="shared" si="104"/>
        <v>High Performer</v>
      </c>
      <c r="AC480" s="9" t="s">
        <v>1927</v>
      </c>
      <c r="AD480">
        <f>IF(AC480="",0,LEN(AC480)-LEN(SUBSTITUTE(AC480,",",""))+1)</f>
        <v>6</v>
      </c>
    </row>
    <row r="481" spans="1:30" ht="12.5" x14ac:dyDescent="0.25">
      <c r="A481" s="1" t="s">
        <v>1928</v>
      </c>
      <c r="B481" s="1" t="s">
        <v>1929</v>
      </c>
      <c r="C481" s="1" t="str">
        <v>Ashley Larson</v>
      </c>
      <c r="D481" s="1" t="s">
        <v>1930</v>
      </c>
      <c r="E481" s="1" t="str">
        <v>brockronald@gregory.org</v>
      </c>
      <c r="F481" t="str">
        <f t="shared" si="93"/>
        <v>Valid</v>
      </c>
      <c r="G481" s="1" t="s">
        <v>109</v>
      </c>
      <c r="H481" s="1" t="str">
        <f t="shared" si="94"/>
        <v>Male</v>
      </c>
      <c r="I481" s="1" t="s">
        <v>51</v>
      </c>
      <c r="J481" t="str">
        <f t="shared" si="95"/>
        <v>UK</v>
      </c>
      <c r="K481" s="14">
        <v>0</v>
      </c>
      <c r="L481" s="1">
        <f t="shared" si="96"/>
        <v>19</v>
      </c>
      <c r="M481" s="1" t="str">
        <f t="shared" si="97"/>
        <v>Student</v>
      </c>
      <c r="N481" s="9">
        <v>44923</v>
      </c>
      <c r="O481" s="1" t="s">
        <v>170</v>
      </c>
      <c r="P481" s="1" t="s">
        <v>147</v>
      </c>
      <c r="Q481" s="4">
        <v>6</v>
      </c>
      <c r="R481" s="13">
        <f t="shared" si="98"/>
        <v>6</v>
      </c>
      <c r="S481" s="6">
        <f t="shared" si="92"/>
        <v>0.06</v>
      </c>
      <c r="T481" s="1">
        <v>2</v>
      </c>
      <c r="U481" s="1">
        <f t="shared" si="99"/>
        <v>2</v>
      </c>
      <c r="V481" s="1">
        <f t="shared" si="100"/>
        <v>4.7999999999999989</v>
      </c>
      <c r="W481" s="10" t="str">
        <f t="shared" si="101"/>
        <v>Low</v>
      </c>
      <c r="X481" s="1" t="s">
        <v>22</v>
      </c>
      <c r="Y481" s="1" t="str">
        <f t="shared" si="102"/>
        <v>No</v>
      </c>
      <c r="Z481" s="14">
        <v>2</v>
      </c>
      <c r="AA481" s="18">
        <f t="shared" si="103"/>
        <v>2</v>
      </c>
      <c r="AB481" s="18" t="str">
        <f t="shared" si="104"/>
        <v>No</v>
      </c>
      <c r="AC481" s="9" t="s">
        <v>1932</v>
      </c>
      <c r="AD481">
        <f>IF(AC481="",0,LEN(AC481)-LEN(SUBSTITUTE(AC481,",",""))+1)</f>
        <v>6</v>
      </c>
    </row>
    <row r="482" spans="1:30" ht="12.5" x14ac:dyDescent="0.25">
      <c r="A482" s="1" t="s">
        <v>1933</v>
      </c>
      <c r="B482" s="1" t="s">
        <v>1934</v>
      </c>
      <c r="C482" s="1" t="str">
        <v>Pamela Watkins</v>
      </c>
      <c r="D482" s="1" t="s">
        <v>1935</v>
      </c>
      <c r="E482" s="1" t="str">
        <v>martinezdonald@yahoo.com</v>
      </c>
      <c r="F482" t="str">
        <f t="shared" si="93"/>
        <v>Valid</v>
      </c>
      <c r="G482" s="1" t="s">
        <v>109</v>
      </c>
      <c r="H482" s="1" t="str">
        <f t="shared" si="94"/>
        <v>Male</v>
      </c>
      <c r="I482" s="1" t="s">
        <v>89</v>
      </c>
      <c r="J482" t="str">
        <f t="shared" si="95"/>
        <v>GERMANY</v>
      </c>
      <c r="K482" s="14">
        <v>0</v>
      </c>
      <c r="L482" s="1">
        <f t="shared" si="96"/>
        <v>19</v>
      </c>
      <c r="M482" s="1" t="str">
        <f t="shared" si="97"/>
        <v>Student</v>
      </c>
      <c r="N482" s="2">
        <v>45330</v>
      </c>
      <c r="O482" s="1" t="s">
        <v>235</v>
      </c>
      <c r="P482" s="1" t="s">
        <v>147</v>
      </c>
      <c r="Q482" s="4">
        <v>0.4</v>
      </c>
      <c r="R482" s="13">
        <f t="shared" si="98"/>
        <v>40</v>
      </c>
      <c r="S482" s="6">
        <f t="shared" si="92"/>
        <v>0.4</v>
      </c>
      <c r="T482" s="1">
        <v>1.5</v>
      </c>
      <c r="U482" s="1">
        <f t="shared" si="99"/>
        <v>1.5</v>
      </c>
      <c r="V482" s="1">
        <f t="shared" si="100"/>
        <v>28.45</v>
      </c>
      <c r="W482" s="10" t="str">
        <f t="shared" si="101"/>
        <v>Low</v>
      </c>
      <c r="X482" s="1" t="s">
        <v>32</v>
      </c>
      <c r="Y482" s="1" t="str">
        <f t="shared" si="102"/>
        <v>Yes</v>
      </c>
      <c r="Z482" s="14">
        <v>5</v>
      </c>
      <c r="AA482" s="18">
        <f t="shared" si="103"/>
        <v>5</v>
      </c>
      <c r="AB482" s="18" t="str">
        <f t="shared" si="104"/>
        <v>High Performer</v>
      </c>
      <c r="AC482" s="9" t="s">
        <v>1936</v>
      </c>
      <c r="AD482">
        <f>IF(AC482="",0,LEN(AC482)-LEN(SUBSTITUTE(AC482,",",""))+1)</f>
        <v>4</v>
      </c>
    </row>
    <row r="483" spans="1:30" ht="12.5" x14ac:dyDescent="0.25">
      <c r="A483" s="1" t="s">
        <v>1937</v>
      </c>
      <c r="B483" s="1" t="s">
        <v>1938</v>
      </c>
      <c r="C483" s="1" t="str">
        <v>Timothy Williams</v>
      </c>
      <c r="D483" s="1" t="s">
        <v>1939</v>
      </c>
      <c r="E483" s="1" t="str">
        <v>bstrickland@miller-smith.com</v>
      </c>
      <c r="F483" t="str">
        <f t="shared" si="93"/>
        <v>Valid</v>
      </c>
      <c r="G483" s="1" t="s">
        <v>88</v>
      </c>
      <c r="H483" s="1" t="str">
        <f t="shared" si="94"/>
        <v>Male</v>
      </c>
      <c r="I483" s="1" t="s">
        <v>136</v>
      </c>
      <c r="J483" t="str">
        <f t="shared" si="95"/>
        <v>UK</v>
      </c>
      <c r="K483" s="14">
        <v>42</v>
      </c>
      <c r="L483" s="1">
        <f t="shared" si="96"/>
        <v>42</v>
      </c>
      <c r="M483" s="1" t="str">
        <f t="shared" si="97"/>
        <v>Senior</v>
      </c>
      <c r="N483" s="9">
        <v>44919</v>
      </c>
      <c r="O483" s="1" t="s">
        <v>36</v>
      </c>
      <c r="P483" s="1" t="s">
        <v>37</v>
      </c>
      <c r="Q483" s="4">
        <v>0.2</v>
      </c>
      <c r="R483" s="13">
        <f t="shared" si="98"/>
        <v>20</v>
      </c>
      <c r="S483" s="6">
        <f t="shared" si="92"/>
        <v>0.2</v>
      </c>
      <c r="T483" s="1" t="s">
        <v>64</v>
      </c>
      <c r="U483" s="1">
        <f t="shared" si="99"/>
        <v>2</v>
      </c>
      <c r="V483" s="1">
        <f t="shared" si="100"/>
        <v>14.6</v>
      </c>
      <c r="W483" s="10" t="str">
        <f t="shared" si="101"/>
        <v>Low</v>
      </c>
      <c r="X483" s="1" t="s">
        <v>32</v>
      </c>
      <c r="Y483" s="1" t="str">
        <f t="shared" si="102"/>
        <v>Yes</v>
      </c>
      <c r="Z483" s="14">
        <v>5</v>
      </c>
      <c r="AA483" s="18">
        <f t="shared" si="103"/>
        <v>5</v>
      </c>
      <c r="AB483" s="18" t="str">
        <f t="shared" si="104"/>
        <v>High Performer</v>
      </c>
      <c r="AC483" s="9" t="s">
        <v>1940</v>
      </c>
      <c r="AD483">
        <f>IF(AC483="",0,LEN(AC483)-LEN(SUBSTITUTE(AC483,",",""))+1)</f>
        <v>6</v>
      </c>
    </row>
    <row r="484" spans="1:30" ht="12.5" x14ac:dyDescent="0.25">
      <c r="A484" s="1" t="s">
        <v>1941</v>
      </c>
      <c r="B484" s="1" t="s">
        <v>1942</v>
      </c>
      <c r="C484" s="1" t="str">
        <v>Rebecca Alvarez</v>
      </c>
      <c r="D484" s="1" t="s">
        <v>1943</v>
      </c>
      <c r="E484" s="1" t="str">
        <v>douglasnelson@jenkins-hurley.org</v>
      </c>
      <c r="F484" t="str">
        <f t="shared" si="93"/>
        <v>Valid</v>
      </c>
      <c r="G484" s="1" t="s">
        <v>109</v>
      </c>
      <c r="H484" s="1" t="str">
        <f t="shared" si="94"/>
        <v>Male</v>
      </c>
      <c r="I484" s="1" t="s">
        <v>136</v>
      </c>
      <c r="J484" t="str">
        <f t="shared" si="95"/>
        <v>UK</v>
      </c>
      <c r="K484" s="14">
        <v>0</v>
      </c>
      <c r="L484" s="1">
        <f t="shared" si="96"/>
        <v>19</v>
      </c>
      <c r="M484" s="1" t="str">
        <f t="shared" si="97"/>
        <v>Student</v>
      </c>
      <c r="N484" s="9">
        <v>45670</v>
      </c>
      <c r="O484" s="1" t="s">
        <v>235</v>
      </c>
      <c r="P484" s="1" t="s">
        <v>147</v>
      </c>
      <c r="Q484" s="4">
        <v>60</v>
      </c>
      <c r="R484" s="13">
        <f t="shared" si="98"/>
        <v>60</v>
      </c>
      <c r="S484" s="6">
        <f t="shared" si="92"/>
        <v>0.6</v>
      </c>
      <c r="T484" s="1" t="s">
        <v>46</v>
      </c>
      <c r="U484" s="1">
        <f t="shared" si="99"/>
        <v>1</v>
      </c>
      <c r="V484" s="1">
        <f t="shared" si="100"/>
        <v>42.3</v>
      </c>
      <c r="W484" s="10" t="str">
        <f t="shared" si="101"/>
        <v>Medium</v>
      </c>
      <c r="X484" s="1" t="s">
        <v>38</v>
      </c>
      <c r="Y484" s="1" t="str">
        <f t="shared" si="102"/>
        <v>No</v>
      </c>
      <c r="Z484" s="14">
        <v>3</v>
      </c>
      <c r="AA484" s="18">
        <f t="shared" si="103"/>
        <v>3</v>
      </c>
      <c r="AB484" s="18" t="str">
        <f t="shared" si="104"/>
        <v>No</v>
      </c>
      <c r="AC484" s="9" t="s">
        <v>1944</v>
      </c>
      <c r="AD484">
        <f>IF(AC484="",0,LEN(AC484)-LEN(SUBSTITUTE(AC484,",",""))+1)</f>
        <v>6</v>
      </c>
    </row>
    <row r="485" spans="1:30" ht="12.5" x14ac:dyDescent="0.25">
      <c r="A485" s="1" t="s">
        <v>1945</v>
      </c>
      <c r="B485" s="1" t="s">
        <v>1946</v>
      </c>
      <c r="C485" s="1" t="str">
        <v>Dr. Mark Patton Md</v>
      </c>
      <c r="D485" s="1" t="s">
        <v>1947</v>
      </c>
      <c r="E485" s="1" t="str">
        <v>jamesdowns@montgomery.net</v>
      </c>
      <c r="F485" t="str">
        <f t="shared" si="93"/>
        <v>Valid</v>
      </c>
      <c r="G485" s="1" t="s">
        <v>57</v>
      </c>
      <c r="H485" s="1" t="str">
        <f t="shared" si="94"/>
        <v>Female</v>
      </c>
      <c r="I485" s="1" t="s">
        <v>28</v>
      </c>
      <c r="J485" t="str">
        <f t="shared" si="95"/>
        <v>INDIA</v>
      </c>
      <c r="K485" s="14">
        <v>0</v>
      </c>
      <c r="L485" s="1">
        <f t="shared" si="96"/>
        <v>19</v>
      </c>
      <c r="M485" s="1" t="str">
        <f t="shared" si="97"/>
        <v>Student</v>
      </c>
      <c r="N485" s="9">
        <v>45732</v>
      </c>
      <c r="O485" s="1" t="s">
        <v>19</v>
      </c>
      <c r="P485" s="1" t="s">
        <v>20</v>
      </c>
      <c r="Q485" s="4">
        <v>0.79</v>
      </c>
      <c r="R485" s="13">
        <f t="shared" si="98"/>
        <v>79</v>
      </c>
      <c r="S485" s="6">
        <f t="shared" si="92"/>
        <v>0.79</v>
      </c>
      <c r="T485" s="1">
        <v>2</v>
      </c>
      <c r="U485" s="1">
        <f t="shared" si="99"/>
        <v>2</v>
      </c>
      <c r="V485" s="1">
        <f t="shared" si="100"/>
        <v>55.9</v>
      </c>
      <c r="W485" s="10" t="str">
        <f t="shared" si="101"/>
        <v>Medium</v>
      </c>
      <c r="X485" s="1">
        <v>1</v>
      </c>
      <c r="Y485" s="1" t="str">
        <f t="shared" si="102"/>
        <v>Yes</v>
      </c>
      <c r="Z485" s="14">
        <v>6</v>
      </c>
      <c r="AA485" s="18">
        <f t="shared" si="103"/>
        <v>6</v>
      </c>
      <c r="AB485" s="18" t="str">
        <f t="shared" si="104"/>
        <v>High Performer</v>
      </c>
      <c r="AC485" s="9" t="s">
        <v>1948</v>
      </c>
      <c r="AD485">
        <f>IF(AC485="",0,LEN(AC485)-LEN(SUBSTITUTE(AC485,",",""))+1)</f>
        <v>2</v>
      </c>
    </row>
    <row r="486" spans="1:30" ht="12.5" x14ac:dyDescent="0.25">
      <c r="A486" s="1" t="s">
        <v>1949</v>
      </c>
      <c r="B486" s="1" t="s">
        <v>1950</v>
      </c>
      <c r="C486" s="1" t="str">
        <v>Anthony Rodriguez</v>
      </c>
      <c r="D486" s="1" t="s">
        <v>1951</v>
      </c>
      <c r="E486" s="1" t="str">
        <v>kjimenez@livingston.com</v>
      </c>
      <c r="F486" t="str">
        <f t="shared" si="93"/>
        <v>Valid</v>
      </c>
      <c r="G486" s="1" t="s">
        <v>88</v>
      </c>
      <c r="H486" s="1" t="str">
        <f t="shared" si="94"/>
        <v>Male</v>
      </c>
      <c r="I486" s="1" t="s">
        <v>89</v>
      </c>
      <c r="J486" t="str">
        <f t="shared" si="95"/>
        <v>GERMANY</v>
      </c>
      <c r="L486" s="1">
        <f t="shared" si="96"/>
        <v>19</v>
      </c>
      <c r="M486" s="1" t="str">
        <f t="shared" si="97"/>
        <v>Student</v>
      </c>
      <c r="N486" s="9">
        <v>44998</v>
      </c>
      <c r="O486" s="1" t="s">
        <v>170</v>
      </c>
      <c r="P486" s="1" t="s">
        <v>147</v>
      </c>
      <c r="Q486" s="4">
        <v>0.56999999999999995</v>
      </c>
      <c r="R486" s="13">
        <f t="shared" si="98"/>
        <v>56.999999999999993</v>
      </c>
      <c r="S486" s="6">
        <f t="shared" si="92"/>
        <v>0.56999999999999995</v>
      </c>
      <c r="T486" s="1">
        <v>1.5</v>
      </c>
      <c r="U486" s="1">
        <f t="shared" si="99"/>
        <v>1.5</v>
      </c>
      <c r="V486" s="1">
        <f t="shared" si="100"/>
        <v>40.349999999999994</v>
      </c>
      <c r="W486" s="10" t="str">
        <f t="shared" si="101"/>
        <v>Low</v>
      </c>
      <c r="X486" s="1">
        <v>1</v>
      </c>
      <c r="Y486" s="1" t="str">
        <f t="shared" si="102"/>
        <v>Yes</v>
      </c>
      <c r="AA486" s="18" t="str">
        <f t="shared" si="103"/>
        <v>Invalid</v>
      </c>
      <c r="AB486" s="18" t="str">
        <f t="shared" si="104"/>
        <v>High Performer</v>
      </c>
      <c r="AC486" s="9" t="s">
        <v>1952</v>
      </c>
      <c r="AD486">
        <f>IF(AC486="",0,LEN(AC486)-LEN(SUBSTITUTE(AC486,",",""))+1)</f>
        <v>4</v>
      </c>
    </row>
    <row r="487" spans="1:30" ht="12.5" x14ac:dyDescent="0.25">
      <c r="A487" s="1" t="s">
        <v>1953</v>
      </c>
      <c r="B487" s="1" t="s">
        <v>1954</v>
      </c>
      <c r="C487" s="1" t="str">
        <v>Jody Garcia</v>
      </c>
      <c r="D487" s="1" t="s">
        <v>127</v>
      </c>
      <c r="E487" s="1" t="str">
        <v>invalid-email</v>
      </c>
      <c r="F487" t="str">
        <f t="shared" si="93"/>
        <v>Invalid</v>
      </c>
      <c r="G487" s="1" t="s">
        <v>57</v>
      </c>
      <c r="H487" s="1" t="str">
        <f t="shared" si="94"/>
        <v>Female</v>
      </c>
      <c r="I487" s="1" t="s">
        <v>156</v>
      </c>
      <c r="J487" t="str">
        <f t="shared" si="95"/>
        <v>IN</v>
      </c>
      <c r="L487" s="1">
        <f t="shared" si="96"/>
        <v>19</v>
      </c>
      <c r="M487" s="1" t="str">
        <f t="shared" si="97"/>
        <v>Student</v>
      </c>
      <c r="N487" s="2">
        <v>45598</v>
      </c>
      <c r="O487" s="1" t="s">
        <v>45</v>
      </c>
      <c r="P487" s="1" t="s">
        <v>20</v>
      </c>
      <c r="Q487" s="4">
        <v>0.54</v>
      </c>
      <c r="R487" s="13">
        <f t="shared" si="98"/>
        <v>54</v>
      </c>
      <c r="S487" s="6">
        <f t="shared" si="92"/>
        <v>0.54</v>
      </c>
      <c r="T487" s="1" t="s">
        <v>64</v>
      </c>
      <c r="U487" s="1">
        <f t="shared" si="99"/>
        <v>2</v>
      </c>
      <c r="V487" s="1">
        <f t="shared" si="100"/>
        <v>38.4</v>
      </c>
      <c r="W487" s="10" t="str">
        <f t="shared" si="101"/>
        <v>Low</v>
      </c>
      <c r="X487" s="1" t="s">
        <v>76</v>
      </c>
      <c r="Y487" s="1" t="str">
        <f t="shared" si="102"/>
        <v>Yes</v>
      </c>
      <c r="Z487" s="14">
        <v>3</v>
      </c>
      <c r="AA487" s="18">
        <f t="shared" si="103"/>
        <v>3</v>
      </c>
      <c r="AB487" s="18" t="str">
        <f t="shared" si="104"/>
        <v>No</v>
      </c>
      <c r="AC487" s="9" t="s">
        <v>1955</v>
      </c>
      <c r="AD487">
        <f>IF(AC487="",0,LEN(AC487)-LEN(SUBSTITUTE(AC487,",",""))+1)</f>
        <v>6</v>
      </c>
    </row>
    <row r="488" spans="1:30" ht="12.5" x14ac:dyDescent="0.25">
      <c r="A488" s="1" t="s">
        <v>1956</v>
      </c>
      <c r="B488" s="1" t="s">
        <v>1957</v>
      </c>
      <c r="C488" s="1" t="str">
        <v>Karina Wilson</v>
      </c>
      <c r="D488" s="1" t="s">
        <v>1958</v>
      </c>
      <c r="E488" s="1" t="str">
        <v>uwatkins@gonzalez-rhodes.com</v>
      </c>
      <c r="F488" t="str">
        <f t="shared" si="93"/>
        <v>Valid</v>
      </c>
      <c r="G488" s="1" t="s">
        <v>88</v>
      </c>
      <c r="H488" s="1" t="str">
        <f t="shared" si="94"/>
        <v>Male</v>
      </c>
      <c r="I488" s="1" t="s">
        <v>18</v>
      </c>
      <c r="J488" t="str">
        <f t="shared" si="95"/>
        <v>US</v>
      </c>
      <c r="K488" s="14">
        <v>0</v>
      </c>
      <c r="L488" s="1">
        <f t="shared" si="96"/>
        <v>19</v>
      </c>
      <c r="M488" s="1" t="str">
        <f t="shared" si="97"/>
        <v>Student</v>
      </c>
      <c r="N488" s="9">
        <v>44739</v>
      </c>
      <c r="O488" s="1" t="s">
        <v>146</v>
      </c>
      <c r="P488" s="1" t="s">
        <v>147</v>
      </c>
      <c r="Q488" s="4">
        <v>56</v>
      </c>
      <c r="R488" s="13">
        <f t="shared" si="98"/>
        <v>56</v>
      </c>
      <c r="S488" s="6">
        <f t="shared" si="92"/>
        <v>0.56000000000000005</v>
      </c>
      <c r="T488" s="1" t="s">
        <v>46</v>
      </c>
      <c r="U488" s="1">
        <f t="shared" si="99"/>
        <v>1</v>
      </c>
      <c r="V488" s="1">
        <f t="shared" si="100"/>
        <v>39.499999999999993</v>
      </c>
      <c r="W488" s="10" t="str">
        <f t="shared" si="101"/>
        <v>Low</v>
      </c>
      <c r="X488" s="1" t="s">
        <v>22</v>
      </c>
      <c r="Y488" s="1" t="str">
        <f t="shared" si="102"/>
        <v>No</v>
      </c>
      <c r="Z488" s="14">
        <v>3</v>
      </c>
      <c r="AA488" s="18">
        <f t="shared" si="103"/>
        <v>3</v>
      </c>
      <c r="AB488" s="18" t="str">
        <f t="shared" si="104"/>
        <v>No</v>
      </c>
      <c r="AC488" s="9" t="s">
        <v>1959</v>
      </c>
      <c r="AD488">
        <f>IF(AC488="",0,LEN(AC488)-LEN(SUBSTITUTE(AC488,",",""))+1)</f>
        <v>8</v>
      </c>
    </row>
    <row r="489" spans="1:30" ht="12.5" x14ac:dyDescent="0.25">
      <c r="A489" s="1" t="s">
        <v>1960</v>
      </c>
      <c r="B489" s="1" t="s">
        <v>1961</v>
      </c>
      <c r="C489" s="1" t="str">
        <v>Oscar Kane</v>
      </c>
      <c r="D489" s="1" t="s">
        <v>1962</v>
      </c>
      <c r="E489" s="1" t="str">
        <v>charlesrichards@gmail.com</v>
      </c>
      <c r="F489" t="str">
        <f t="shared" si="93"/>
        <v>Valid</v>
      </c>
      <c r="G489" s="1" t="s">
        <v>88</v>
      </c>
      <c r="H489" s="1" t="str">
        <f t="shared" si="94"/>
        <v>Male</v>
      </c>
      <c r="I489" s="1" t="s">
        <v>44</v>
      </c>
      <c r="J489" t="str">
        <f t="shared" si="95"/>
        <v>CANADA</v>
      </c>
      <c r="K489" s="14">
        <v>31</v>
      </c>
      <c r="L489" s="1">
        <f t="shared" si="96"/>
        <v>31</v>
      </c>
      <c r="M489" s="1" t="str">
        <f t="shared" si="97"/>
        <v>Mid Career</v>
      </c>
      <c r="N489" s="9">
        <v>45015</v>
      </c>
      <c r="O489" s="1" t="s">
        <v>170</v>
      </c>
      <c r="P489" s="1" t="s">
        <v>147</v>
      </c>
      <c r="Q489" s="4">
        <v>8</v>
      </c>
      <c r="R489" s="13">
        <f t="shared" si="98"/>
        <v>8</v>
      </c>
      <c r="S489" s="6">
        <f t="shared" si="92"/>
        <v>0.08</v>
      </c>
      <c r="T489" s="1">
        <v>45</v>
      </c>
      <c r="U489" s="1">
        <f t="shared" si="99"/>
        <v>45</v>
      </c>
      <c r="V489" s="1">
        <f t="shared" si="100"/>
        <v>19.100000000000001</v>
      </c>
      <c r="W489" s="10" t="str">
        <f t="shared" si="101"/>
        <v>Low</v>
      </c>
      <c r="X489" s="1">
        <v>0</v>
      </c>
      <c r="Y489" s="1" t="str">
        <f t="shared" si="102"/>
        <v>No</v>
      </c>
      <c r="Z489" s="14">
        <v>5</v>
      </c>
      <c r="AA489" s="18">
        <f t="shared" si="103"/>
        <v>5</v>
      </c>
      <c r="AB489" s="18" t="str">
        <f t="shared" si="104"/>
        <v>No</v>
      </c>
      <c r="AC489" s="9" t="s">
        <v>1963</v>
      </c>
      <c r="AD489">
        <f>IF(AC489="",0,LEN(AC489)-LEN(SUBSTITUTE(AC489,",",""))+1)</f>
        <v>8</v>
      </c>
    </row>
    <row r="490" spans="1:30" ht="12.5" x14ac:dyDescent="0.25">
      <c r="A490" s="1" t="s">
        <v>1964</v>
      </c>
      <c r="B490" s="1" t="s">
        <v>1965</v>
      </c>
      <c r="C490" s="1" t="str">
        <v>James Taylor</v>
      </c>
      <c r="D490" s="1" t="s">
        <v>1966</v>
      </c>
      <c r="E490" s="1" t="str">
        <v>theresa35@johnson.com</v>
      </c>
      <c r="F490" t="str">
        <f t="shared" si="93"/>
        <v>Valid</v>
      </c>
      <c r="G490" s="1" t="s">
        <v>27</v>
      </c>
      <c r="H490" s="1" t="str">
        <f t="shared" si="94"/>
        <v>Male</v>
      </c>
      <c r="I490" s="1" t="s">
        <v>44</v>
      </c>
      <c r="J490" t="str">
        <f t="shared" si="95"/>
        <v>CANADA</v>
      </c>
      <c r="K490" s="14">
        <v>0</v>
      </c>
      <c r="L490" s="1">
        <f t="shared" si="96"/>
        <v>19</v>
      </c>
      <c r="M490" s="1" t="str">
        <f t="shared" si="97"/>
        <v>Student</v>
      </c>
      <c r="N490" s="9">
        <v>45335</v>
      </c>
      <c r="O490" s="1" t="s">
        <v>90</v>
      </c>
      <c r="P490" s="1" t="s">
        <v>31</v>
      </c>
      <c r="Q490" s="4">
        <v>37</v>
      </c>
      <c r="R490" s="13">
        <f t="shared" si="98"/>
        <v>37</v>
      </c>
      <c r="S490" s="6">
        <f t="shared" si="92"/>
        <v>0.37</v>
      </c>
      <c r="T490" s="1" t="s">
        <v>21</v>
      </c>
      <c r="U490" s="1">
        <f t="shared" si="99"/>
        <v>1.5</v>
      </c>
      <c r="V490" s="1">
        <f t="shared" si="100"/>
        <v>26.349999999999998</v>
      </c>
      <c r="W490" s="10" t="str">
        <f t="shared" si="101"/>
        <v>Low</v>
      </c>
      <c r="X490" s="1" t="s">
        <v>22</v>
      </c>
      <c r="Y490" s="1" t="str">
        <f t="shared" si="102"/>
        <v>No</v>
      </c>
      <c r="Z490" s="14">
        <v>5</v>
      </c>
      <c r="AA490" s="18">
        <f t="shared" si="103"/>
        <v>5</v>
      </c>
      <c r="AB490" s="18" t="str">
        <f t="shared" si="104"/>
        <v>No</v>
      </c>
      <c r="AC490" s="9" t="s">
        <v>1967</v>
      </c>
      <c r="AD490">
        <f>IF(AC490="",0,LEN(AC490)-LEN(SUBSTITUTE(AC490,",",""))+1)</f>
        <v>4</v>
      </c>
    </row>
    <row r="491" spans="1:30" ht="12.5" x14ac:dyDescent="0.25">
      <c r="A491" s="1" t="s">
        <v>1968</v>
      </c>
      <c r="B491" s="1" t="s">
        <v>1969</v>
      </c>
      <c r="C491" s="1" t="str">
        <v>Christopher Cooper</v>
      </c>
      <c r="D491" s="1" t="s">
        <v>1970</v>
      </c>
      <c r="E491" s="1" t="str">
        <v>kristinelittle@hotmail.com</v>
      </c>
      <c r="F491" t="str">
        <f t="shared" si="93"/>
        <v>Valid</v>
      </c>
      <c r="G491" s="1" t="s">
        <v>27</v>
      </c>
      <c r="H491" s="1" t="str">
        <f t="shared" si="94"/>
        <v>Male</v>
      </c>
      <c r="I491" s="1" t="s">
        <v>18</v>
      </c>
      <c r="J491" t="str">
        <f t="shared" si="95"/>
        <v>US</v>
      </c>
      <c r="L491" s="1">
        <f t="shared" si="96"/>
        <v>19</v>
      </c>
      <c r="M491" s="1" t="str">
        <f t="shared" si="97"/>
        <v>Student</v>
      </c>
      <c r="N491" s="9">
        <v>45093</v>
      </c>
      <c r="O491" s="1" t="s">
        <v>19</v>
      </c>
      <c r="P491" s="1" t="s">
        <v>20</v>
      </c>
      <c r="Q491" s="4">
        <v>0.81</v>
      </c>
      <c r="R491" s="13">
        <f t="shared" si="98"/>
        <v>81</v>
      </c>
      <c r="S491" s="6">
        <f t="shared" si="92"/>
        <v>0.81</v>
      </c>
      <c r="T491" s="1">
        <v>2</v>
      </c>
      <c r="U491" s="1">
        <f t="shared" si="99"/>
        <v>2</v>
      </c>
      <c r="V491" s="1">
        <f t="shared" si="100"/>
        <v>57.3</v>
      </c>
      <c r="W491" s="10" t="str">
        <f t="shared" si="101"/>
        <v>Medium</v>
      </c>
      <c r="X491" s="1">
        <v>0</v>
      </c>
      <c r="Y491" s="1" t="str">
        <f t="shared" si="102"/>
        <v>No</v>
      </c>
      <c r="Z491" s="14">
        <v>6</v>
      </c>
      <c r="AA491" s="18">
        <f t="shared" si="103"/>
        <v>6</v>
      </c>
      <c r="AB491" s="18" t="str">
        <f t="shared" si="104"/>
        <v>No</v>
      </c>
      <c r="AC491" s="9" t="s">
        <v>1668</v>
      </c>
      <c r="AD491">
        <f>IF(AC491="",0,LEN(AC491)-LEN(SUBSTITUTE(AC491,",",""))+1)</f>
        <v>3</v>
      </c>
    </row>
    <row r="492" spans="1:30" ht="12.5" x14ac:dyDescent="0.25">
      <c r="A492" s="1" t="s">
        <v>1971</v>
      </c>
      <c r="B492" s="1" t="s">
        <v>1972</v>
      </c>
      <c r="C492" s="1" t="str">
        <v>Jason Boyd</v>
      </c>
      <c r="D492" s="1" t="s">
        <v>1973</v>
      </c>
      <c r="E492" s="1" t="str">
        <v>rhood@blair.com</v>
      </c>
      <c r="F492" t="str">
        <f t="shared" si="93"/>
        <v>Valid</v>
      </c>
      <c r="G492" s="1" t="s">
        <v>88</v>
      </c>
      <c r="H492" s="1" t="str">
        <f t="shared" si="94"/>
        <v>Male</v>
      </c>
      <c r="I492" s="1" t="s">
        <v>44</v>
      </c>
      <c r="J492" t="str">
        <f t="shared" si="95"/>
        <v>CANADA</v>
      </c>
      <c r="K492" s="14">
        <v>0</v>
      </c>
      <c r="L492" s="1">
        <f t="shared" si="96"/>
        <v>19</v>
      </c>
      <c r="M492" s="1" t="str">
        <f t="shared" si="97"/>
        <v>Student</v>
      </c>
      <c r="N492" s="9">
        <v>44921</v>
      </c>
      <c r="O492" s="1" t="s">
        <v>235</v>
      </c>
      <c r="P492" s="1" t="s">
        <v>147</v>
      </c>
      <c r="Q492" s="4">
        <v>0.08</v>
      </c>
      <c r="R492" s="13">
        <f t="shared" si="98"/>
        <v>8</v>
      </c>
      <c r="S492" s="6">
        <f t="shared" si="92"/>
        <v>0.08</v>
      </c>
      <c r="T492" s="1">
        <v>2</v>
      </c>
      <c r="U492" s="1">
        <f t="shared" si="99"/>
        <v>2</v>
      </c>
      <c r="V492" s="1">
        <f t="shared" si="100"/>
        <v>6.1999999999999993</v>
      </c>
      <c r="W492" s="10" t="str">
        <f t="shared" si="101"/>
        <v>Low</v>
      </c>
      <c r="X492" s="1">
        <v>0</v>
      </c>
      <c r="Y492" s="1" t="str">
        <f t="shared" si="102"/>
        <v>No</v>
      </c>
      <c r="Z492" s="14">
        <v>5</v>
      </c>
      <c r="AA492" s="18">
        <f t="shared" si="103"/>
        <v>5</v>
      </c>
      <c r="AB492" s="18" t="str">
        <f t="shared" si="104"/>
        <v>No</v>
      </c>
      <c r="AC492" s="9" t="s">
        <v>1974</v>
      </c>
      <c r="AD492">
        <f>IF(AC492="",0,LEN(AC492)-LEN(SUBSTITUTE(AC492,",",""))+1)</f>
        <v>2</v>
      </c>
    </row>
    <row r="493" spans="1:30" ht="12.5" x14ac:dyDescent="0.25">
      <c r="A493" s="1" t="s">
        <v>1975</v>
      </c>
      <c r="B493" s="1" t="s">
        <v>1976</v>
      </c>
      <c r="C493" s="1" t="str">
        <v>Leslie Hernandez</v>
      </c>
      <c r="D493" s="1" t="s">
        <v>1977</v>
      </c>
      <c r="E493" s="1" t="str">
        <v>cbaird@quinn-gordon.biz</v>
      </c>
      <c r="F493" t="str">
        <f t="shared" si="93"/>
        <v>Valid</v>
      </c>
      <c r="G493" s="1" t="s">
        <v>109</v>
      </c>
      <c r="H493" s="1" t="str">
        <f t="shared" si="94"/>
        <v>Male</v>
      </c>
      <c r="I493" s="1" t="s">
        <v>156</v>
      </c>
      <c r="J493" t="str">
        <f t="shared" si="95"/>
        <v>IN</v>
      </c>
      <c r="K493" s="14">
        <v>23</v>
      </c>
      <c r="L493" s="1">
        <f t="shared" si="96"/>
        <v>23</v>
      </c>
      <c r="M493" s="1" t="str">
        <f t="shared" si="97"/>
        <v>Early Career</v>
      </c>
      <c r="N493" s="9">
        <v>45042</v>
      </c>
      <c r="O493" s="1" t="s">
        <v>301</v>
      </c>
      <c r="P493" s="1" t="s">
        <v>20</v>
      </c>
      <c r="Q493" s="4">
        <v>7.0000000000000007E-2</v>
      </c>
      <c r="R493" s="13">
        <f t="shared" si="98"/>
        <v>7.0000000000000009</v>
      </c>
      <c r="S493" s="6">
        <f t="shared" si="92"/>
        <v>7.0000000000000007E-2</v>
      </c>
      <c r="T493" s="1">
        <v>2</v>
      </c>
      <c r="U493" s="1">
        <f t="shared" si="99"/>
        <v>2</v>
      </c>
      <c r="V493" s="1">
        <f t="shared" si="100"/>
        <v>5.5</v>
      </c>
      <c r="W493" s="10" t="str">
        <f t="shared" si="101"/>
        <v>Low</v>
      </c>
      <c r="X493" s="1" t="s">
        <v>38</v>
      </c>
      <c r="Y493" s="1" t="str">
        <f t="shared" si="102"/>
        <v>No</v>
      </c>
      <c r="Z493" s="14">
        <v>2</v>
      </c>
      <c r="AA493" s="18">
        <f t="shared" si="103"/>
        <v>2</v>
      </c>
      <c r="AB493" s="18" t="str">
        <f t="shared" si="104"/>
        <v>No</v>
      </c>
      <c r="AC493" s="9" t="s">
        <v>1978</v>
      </c>
      <c r="AD493">
        <f>IF(AC493="",0,LEN(AC493)-LEN(SUBSTITUTE(AC493,",",""))+1)</f>
        <v>1</v>
      </c>
    </row>
    <row r="494" spans="1:30" ht="12.5" x14ac:dyDescent="0.25">
      <c r="A494" s="1" t="s">
        <v>1979</v>
      </c>
      <c r="B494" s="1" t="s">
        <v>1980</v>
      </c>
      <c r="C494" s="1" t="str">
        <v>Annette Simpson</v>
      </c>
      <c r="D494" s="1" t="s">
        <v>1981</v>
      </c>
      <c r="E494" s="1" t="str">
        <v>steelerichard@anderson.com</v>
      </c>
      <c r="F494" t="str">
        <f t="shared" si="93"/>
        <v>Valid</v>
      </c>
      <c r="G494" s="1" t="s">
        <v>17</v>
      </c>
      <c r="H494" s="1" t="str">
        <f t="shared" si="94"/>
        <v>Female</v>
      </c>
      <c r="I494" s="1" t="s">
        <v>51</v>
      </c>
      <c r="J494" t="str">
        <f t="shared" si="95"/>
        <v>UK</v>
      </c>
      <c r="L494" s="1">
        <f t="shared" si="96"/>
        <v>19</v>
      </c>
      <c r="M494" s="1" t="str">
        <f t="shared" si="97"/>
        <v>Student</v>
      </c>
      <c r="N494" s="2">
        <v>45572</v>
      </c>
      <c r="O494" s="1" t="s">
        <v>36</v>
      </c>
      <c r="P494" s="1" t="s">
        <v>37</v>
      </c>
      <c r="Q494" s="4">
        <v>0.09</v>
      </c>
      <c r="R494" s="13">
        <f t="shared" si="98"/>
        <v>9</v>
      </c>
      <c r="S494" s="6">
        <f t="shared" si="92"/>
        <v>0.09</v>
      </c>
      <c r="T494" s="1">
        <v>2</v>
      </c>
      <c r="U494" s="1">
        <f t="shared" si="99"/>
        <v>2</v>
      </c>
      <c r="V494" s="1">
        <f t="shared" si="100"/>
        <v>6.8999999999999995</v>
      </c>
      <c r="W494" s="10" t="str">
        <f t="shared" si="101"/>
        <v>Low</v>
      </c>
      <c r="X494" s="1">
        <v>0</v>
      </c>
      <c r="Y494" s="1" t="str">
        <f t="shared" si="102"/>
        <v>No</v>
      </c>
      <c r="Z494" s="14">
        <v>5</v>
      </c>
      <c r="AA494" s="18">
        <f t="shared" si="103"/>
        <v>5</v>
      </c>
      <c r="AB494" s="18" t="str">
        <f t="shared" si="104"/>
        <v>No</v>
      </c>
      <c r="AC494" s="9" t="s">
        <v>1982</v>
      </c>
      <c r="AD494">
        <f>IF(AC494="",0,LEN(AC494)-LEN(SUBSTITUTE(AC494,",",""))+1)</f>
        <v>5</v>
      </c>
    </row>
    <row r="495" spans="1:30" ht="12.5" x14ac:dyDescent="0.25">
      <c r="A495" s="1" t="s">
        <v>1983</v>
      </c>
      <c r="B495" s="1" t="s">
        <v>1984</v>
      </c>
      <c r="C495" s="1" t="str">
        <v>Candice Stevens</v>
      </c>
      <c r="D495" s="1" t="s">
        <v>1985</v>
      </c>
      <c r="E495" s="1" t="str">
        <v>iford@sullivan.info</v>
      </c>
      <c r="F495" t="str">
        <f t="shared" si="93"/>
        <v>Valid</v>
      </c>
      <c r="G495" s="1" t="s">
        <v>27</v>
      </c>
      <c r="H495" s="1" t="str">
        <f t="shared" si="94"/>
        <v>Male</v>
      </c>
      <c r="I495" s="1" t="s">
        <v>156</v>
      </c>
      <c r="J495" t="str">
        <f t="shared" si="95"/>
        <v>IN</v>
      </c>
      <c r="L495" s="1">
        <f t="shared" si="96"/>
        <v>19</v>
      </c>
      <c r="M495" s="1" t="str">
        <f t="shared" si="97"/>
        <v>Student</v>
      </c>
      <c r="N495" s="2">
        <v>45839</v>
      </c>
      <c r="O495" s="1" t="s">
        <v>52</v>
      </c>
      <c r="P495" s="1" t="s">
        <v>37</v>
      </c>
      <c r="Q495" s="4">
        <v>0.45</v>
      </c>
      <c r="R495" s="13">
        <f t="shared" si="98"/>
        <v>45</v>
      </c>
      <c r="S495" s="6">
        <f t="shared" si="92"/>
        <v>0.45</v>
      </c>
      <c r="T495" s="1">
        <v>1.5</v>
      </c>
      <c r="U495" s="1">
        <f t="shared" si="99"/>
        <v>1.5</v>
      </c>
      <c r="V495" s="1">
        <f t="shared" si="100"/>
        <v>31.949999999999996</v>
      </c>
      <c r="W495" s="10" t="str">
        <f t="shared" si="101"/>
        <v>Low</v>
      </c>
      <c r="X495" s="1" t="s">
        <v>22</v>
      </c>
      <c r="Y495" s="1" t="str">
        <f t="shared" si="102"/>
        <v>No</v>
      </c>
      <c r="Z495" s="14">
        <v>6</v>
      </c>
      <c r="AA495" s="18">
        <f t="shared" si="103"/>
        <v>6</v>
      </c>
      <c r="AB495" s="18" t="str">
        <f t="shared" si="104"/>
        <v>No</v>
      </c>
      <c r="AC495" s="9" t="s">
        <v>1986</v>
      </c>
      <c r="AD495">
        <f>IF(AC495="",0,LEN(AC495)-LEN(SUBSTITUTE(AC495,",",""))+1)</f>
        <v>6</v>
      </c>
    </row>
    <row r="496" spans="1:30" ht="12.5" x14ac:dyDescent="0.25">
      <c r="A496" s="1" t="s">
        <v>1987</v>
      </c>
      <c r="B496" s="1" t="s">
        <v>1988</v>
      </c>
      <c r="C496" s="1" t="str">
        <v>Steven Cook</v>
      </c>
      <c r="D496" s="1" t="s">
        <v>1989</v>
      </c>
      <c r="E496" s="1" t="str">
        <v>ronald49@johnston.org</v>
      </c>
      <c r="F496" t="str">
        <f t="shared" si="93"/>
        <v>Valid</v>
      </c>
      <c r="G496" s="1" t="s">
        <v>17</v>
      </c>
      <c r="H496" s="1" t="str">
        <f t="shared" si="94"/>
        <v>Female</v>
      </c>
      <c r="I496" s="1" t="s">
        <v>18</v>
      </c>
      <c r="J496" t="str">
        <f t="shared" si="95"/>
        <v>US</v>
      </c>
      <c r="K496" s="14">
        <v>32</v>
      </c>
      <c r="L496" s="1">
        <f t="shared" si="96"/>
        <v>32</v>
      </c>
      <c r="M496" s="1" t="str">
        <f t="shared" si="97"/>
        <v>Mid Career</v>
      </c>
      <c r="N496" s="2">
        <v>45751</v>
      </c>
      <c r="O496" s="1" t="s">
        <v>19</v>
      </c>
      <c r="P496" s="1" t="s">
        <v>20</v>
      </c>
      <c r="Q496" s="4">
        <v>0.24</v>
      </c>
      <c r="R496" s="13">
        <f t="shared" si="98"/>
        <v>24</v>
      </c>
      <c r="S496" s="6">
        <f t="shared" si="92"/>
        <v>0.24</v>
      </c>
      <c r="T496" s="1">
        <v>45</v>
      </c>
      <c r="U496" s="1">
        <f t="shared" si="99"/>
        <v>45</v>
      </c>
      <c r="V496" s="1">
        <f t="shared" si="100"/>
        <v>30.299999999999997</v>
      </c>
      <c r="W496" s="10" t="str">
        <f t="shared" si="101"/>
        <v>Low</v>
      </c>
      <c r="X496" s="1" t="s">
        <v>22</v>
      </c>
      <c r="Y496" s="1" t="str">
        <f t="shared" si="102"/>
        <v>No</v>
      </c>
      <c r="Z496" s="14">
        <v>6</v>
      </c>
      <c r="AA496" s="18">
        <f t="shared" si="103"/>
        <v>6</v>
      </c>
      <c r="AB496" s="18" t="str">
        <f t="shared" si="104"/>
        <v>No</v>
      </c>
      <c r="AC496" s="9" t="s">
        <v>1990</v>
      </c>
      <c r="AD496">
        <f>IF(AC496="",0,LEN(AC496)-LEN(SUBSTITUTE(AC496,",",""))+1)</f>
        <v>3</v>
      </c>
    </row>
    <row r="497" spans="1:30" ht="12.5" x14ac:dyDescent="0.25">
      <c r="A497" s="1" t="s">
        <v>1991</v>
      </c>
      <c r="B497" s="1" t="s">
        <v>1992</v>
      </c>
      <c r="C497" s="1" t="str">
        <v>Megan Barron</v>
      </c>
      <c r="D497" s="1" t="s">
        <v>1993</v>
      </c>
      <c r="E497" s="1" t="str">
        <v>ndiaz@diaz.net</v>
      </c>
      <c r="F497" t="str">
        <f t="shared" si="93"/>
        <v>Valid</v>
      </c>
      <c r="G497" s="1" t="s">
        <v>57</v>
      </c>
      <c r="H497" s="1" t="str">
        <f t="shared" si="94"/>
        <v>Female</v>
      </c>
      <c r="I497" s="1" t="s">
        <v>51</v>
      </c>
      <c r="J497" t="str">
        <f t="shared" si="95"/>
        <v>UK</v>
      </c>
      <c r="L497" s="1">
        <f t="shared" si="96"/>
        <v>19</v>
      </c>
      <c r="M497" s="1" t="str">
        <f t="shared" si="97"/>
        <v>Student</v>
      </c>
      <c r="N497" s="2">
        <v>45208</v>
      </c>
      <c r="O497" s="1" t="s">
        <v>301</v>
      </c>
      <c r="P497" s="1" t="s">
        <v>20</v>
      </c>
      <c r="Q497" s="4">
        <v>0.17</v>
      </c>
      <c r="R497" s="13">
        <f t="shared" si="98"/>
        <v>17</v>
      </c>
      <c r="S497" s="6">
        <f t="shared" si="92"/>
        <v>0.17</v>
      </c>
      <c r="T497" s="1">
        <v>2</v>
      </c>
      <c r="U497" s="1">
        <f t="shared" si="99"/>
        <v>2</v>
      </c>
      <c r="V497" s="1">
        <f t="shared" si="100"/>
        <v>12.499999999999998</v>
      </c>
      <c r="W497" s="10" t="str">
        <f t="shared" si="101"/>
        <v>Low</v>
      </c>
      <c r="X497" s="1" t="s">
        <v>76</v>
      </c>
      <c r="Y497" s="1" t="str">
        <f t="shared" si="102"/>
        <v>Yes</v>
      </c>
      <c r="Z497" s="14">
        <v>6</v>
      </c>
      <c r="AA497" s="18">
        <f t="shared" si="103"/>
        <v>6</v>
      </c>
      <c r="AB497" s="18" t="str">
        <f t="shared" si="104"/>
        <v>High Performer</v>
      </c>
      <c r="AC497" s="9" t="s">
        <v>1994</v>
      </c>
      <c r="AD497">
        <f>IF(AC497="",0,LEN(AC497)-LEN(SUBSTITUTE(AC497,",",""))+1)</f>
        <v>6</v>
      </c>
    </row>
    <row r="498" spans="1:30" ht="12.5" x14ac:dyDescent="0.25">
      <c r="A498" s="1" t="s">
        <v>1995</v>
      </c>
      <c r="B498" s="1" t="s">
        <v>1996</v>
      </c>
      <c r="C498" s="1" t="str">
        <v>William Allen</v>
      </c>
      <c r="D498" s="1" t="s">
        <v>1997</v>
      </c>
      <c r="E498" s="1" t="str">
        <v>wmclaughlin@pitts.com</v>
      </c>
      <c r="F498" t="str">
        <f t="shared" si="93"/>
        <v>Valid</v>
      </c>
      <c r="G498" s="1" t="s">
        <v>17</v>
      </c>
      <c r="H498" s="1" t="str">
        <f t="shared" si="94"/>
        <v>Female</v>
      </c>
      <c r="I498" s="1" t="s">
        <v>74</v>
      </c>
      <c r="J498" t="str">
        <f t="shared" si="95"/>
        <v>USA</v>
      </c>
      <c r="L498" s="1">
        <f t="shared" si="96"/>
        <v>19</v>
      </c>
      <c r="M498" s="1" t="str">
        <f t="shared" si="97"/>
        <v>Student</v>
      </c>
      <c r="N498" s="2">
        <v>45781</v>
      </c>
      <c r="O498" s="1" t="s">
        <v>235</v>
      </c>
      <c r="P498" s="1" t="s">
        <v>147</v>
      </c>
      <c r="Q498" s="4">
        <v>0.16</v>
      </c>
      <c r="R498" s="13">
        <f t="shared" si="98"/>
        <v>16</v>
      </c>
      <c r="S498" s="6">
        <f t="shared" si="92"/>
        <v>0.16</v>
      </c>
      <c r="T498" s="1" t="s">
        <v>46</v>
      </c>
      <c r="U498" s="1">
        <f t="shared" si="99"/>
        <v>1</v>
      </c>
      <c r="V498" s="1">
        <f t="shared" si="100"/>
        <v>11.5</v>
      </c>
      <c r="W498" s="10" t="str">
        <f t="shared" si="101"/>
        <v>Low</v>
      </c>
      <c r="X498" s="1" t="s">
        <v>76</v>
      </c>
      <c r="Y498" s="1" t="str">
        <f t="shared" si="102"/>
        <v>Yes</v>
      </c>
      <c r="Z498" s="14">
        <v>2</v>
      </c>
      <c r="AA498" s="18">
        <f t="shared" si="103"/>
        <v>2</v>
      </c>
      <c r="AB498" s="18" t="str">
        <f t="shared" si="104"/>
        <v>No</v>
      </c>
      <c r="AC498" s="9" t="s">
        <v>1998</v>
      </c>
      <c r="AD498">
        <f>IF(AC498="",0,LEN(AC498)-LEN(SUBSTITUTE(AC498,",",""))+1)</f>
        <v>3</v>
      </c>
    </row>
    <row r="499" spans="1:30" ht="12.5" x14ac:dyDescent="0.25">
      <c r="A499" s="1" t="s">
        <v>1999</v>
      </c>
      <c r="B499" s="1" t="s">
        <v>2000</v>
      </c>
      <c r="C499" s="1" t="str">
        <v>Destiny Brown</v>
      </c>
      <c r="D499" s="1" t="s">
        <v>2001</v>
      </c>
      <c r="E499" s="1" t="str">
        <v>htucker@gmail.com</v>
      </c>
      <c r="F499" t="str">
        <f t="shared" si="93"/>
        <v>Valid</v>
      </c>
      <c r="G499" s="1" t="s">
        <v>17</v>
      </c>
      <c r="H499" s="1" t="str">
        <f t="shared" si="94"/>
        <v>Female</v>
      </c>
      <c r="I499" s="1" t="s">
        <v>44</v>
      </c>
      <c r="J499" t="str">
        <f t="shared" si="95"/>
        <v>CANADA</v>
      </c>
      <c r="K499" s="14">
        <v>39</v>
      </c>
      <c r="L499" s="1">
        <f t="shared" si="96"/>
        <v>39</v>
      </c>
      <c r="M499" s="1" t="str">
        <f t="shared" si="97"/>
        <v>Mid Career</v>
      </c>
      <c r="N499" s="9">
        <v>45155</v>
      </c>
      <c r="O499" s="1" t="s">
        <v>235</v>
      </c>
      <c r="P499" s="1" t="s">
        <v>147</v>
      </c>
      <c r="Q499" s="4">
        <v>7.0000000000000007E-2</v>
      </c>
      <c r="R499" s="13">
        <f t="shared" si="98"/>
        <v>7.0000000000000009</v>
      </c>
      <c r="S499" s="6">
        <f t="shared" si="92"/>
        <v>7.0000000000000007E-2</v>
      </c>
      <c r="T499" s="1" t="s">
        <v>46</v>
      </c>
      <c r="U499" s="1">
        <f t="shared" si="99"/>
        <v>1</v>
      </c>
      <c r="V499" s="1">
        <f t="shared" si="100"/>
        <v>5.2</v>
      </c>
      <c r="W499" s="10" t="str">
        <f t="shared" si="101"/>
        <v>Low</v>
      </c>
      <c r="X499" s="1" t="s">
        <v>76</v>
      </c>
      <c r="Y499" s="1" t="str">
        <f t="shared" si="102"/>
        <v>Yes</v>
      </c>
      <c r="Z499" s="14">
        <v>4</v>
      </c>
      <c r="AA499" s="18">
        <f t="shared" si="103"/>
        <v>4</v>
      </c>
      <c r="AB499" s="18" t="str">
        <f t="shared" si="104"/>
        <v>High Performer</v>
      </c>
      <c r="AC499" s="9" t="s">
        <v>989</v>
      </c>
      <c r="AD499">
        <f>IF(AC499="",0,LEN(AC499)-LEN(SUBSTITUTE(AC499,",",""))+1)</f>
        <v>1</v>
      </c>
    </row>
    <row r="500" spans="1:30" ht="12.5" x14ac:dyDescent="0.25">
      <c r="A500" s="1" t="s">
        <v>2002</v>
      </c>
      <c r="B500" s="1" t="s">
        <v>2003</v>
      </c>
      <c r="C500" s="1" t="str">
        <v>Ebony Oliver</v>
      </c>
      <c r="D500" s="1" t="s">
        <v>2004</v>
      </c>
      <c r="E500" s="1" t="str">
        <v>patriciaellis@myers.com</v>
      </c>
      <c r="F500" t="str">
        <f t="shared" si="93"/>
        <v>Valid</v>
      </c>
      <c r="G500" s="1" t="s">
        <v>27</v>
      </c>
      <c r="H500" s="1" t="str">
        <f t="shared" si="94"/>
        <v>Male</v>
      </c>
      <c r="I500" s="1" t="s">
        <v>156</v>
      </c>
      <c r="J500" t="str">
        <f t="shared" si="95"/>
        <v>IN</v>
      </c>
      <c r="K500" s="14">
        <v>29</v>
      </c>
      <c r="L500" s="1">
        <f t="shared" si="96"/>
        <v>29</v>
      </c>
      <c r="M500" s="1" t="str">
        <f t="shared" si="97"/>
        <v>Early Career</v>
      </c>
      <c r="N500" s="2">
        <v>45447</v>
      </c>
      <c r="O500" s="1" t="s">
        <v>90</v>
      </c>
      <c r="P500" s="1" t="s">
        <v>31</v>
      </c>
      <c r="Q500" s="4">
        <v>0.03</v>
      </c>
      <c r="R500" s="13">
        <f t="shared" si="98"/>
        <v>3</v>
      </c>
      <c r="S500" s="6">
        <f t="shared" si="92"/>
        <v>0.03</v>
      </c>
      <c r="T500" s="1" t="s">
        <v>21</v>
      </c>
      <c r="U500" s="1">
        <f t="shared" si="99"/>
        <v>1.5</v>
      </c>
      <c r="V500" s="1">
        <f t="shared" si="100"/>
        <v>2.5499999999999998</v>
      </c>
      <c r="W500" s="10" t="str">
        <f t="shared" si="101"/>
        <v>Low</v>
      </c>
      <c r="X500" s="1">
        <v>0</v>
      </c>
      <c r="Y500" s="1" t="str">
        <f t="shared" si="102"/>
        <v>No</v>
      </c>
      <c r="Z500" s="14">
        <v>1</v>
      </c>
      <c r="AA500" s="18">
        <f t="shared" si="103"/>
        <v>1</v>
      </c>
      <c r="AB500" s="18" t="str">
        <f t="shared" si="104"/>
        <v>No</v>
      </c>
      <c r="AC500" s="9" t="s">
        <v>2005</v>
      </c>
      <c r="AD500">
        <f>IF(AC500="",0,LEN(AC500)-LEN(SUBSTITUTE(AC500,",",""))+1)</f>
        <v>4</v>
      </c>
    </row>
    <row r="501" spans="1:30" ht="12.5" x14ac:dyDescent="0.25">
      <c r="A501" s="1" t="s">
        <v>2006</v>
      </c>
      <c r="B501" s="1" t="s">
        <v>2007</v>
      </c>
      <c r="C501" s="1" t="str">
        <v>Kathleen Golden</v>
      </c>
      <c r="D501" s="1" t="s">
        <v>2008</v>
      </c>
      <c r="E501" s="1" t="str">
        <v>robert82@reed-wallace.com</v>
      </c>
      <c r="F501" t="str">
        <f t="shared" si="93"/>
        <v>Valid</v>
      </c>
      <c r="G501" s="1" t="s">
        <v>27</v>
      </c>
      <c r="H501" s="1" t="str">
        <f t="shared" si="94"/>
        <v>Male</v>
      </c>
      <c r="I501" s="1" t="s">
        <v>51</v>
      </c>
      <c r="J501" t="str">
        <f t="shared" si="95"/>
        <v>UK</v>
      </c>
      <c r="K501" s="14">
        <v>0</v>
      </c>
      <c r="L501" s="1">
        <f t="shared" si="96"/>
        <v>19</v>
      </c>
      <c r="M501" s="1" t="str">
        <f t="shared" si="97"/>
        <v>Student</v>
      </c>
      <c r="N501" s="2">
        <v>44659</v>
      </c>
      <c r="O501" s="1" t="s">
        <v>90</v>
      </c>
      <c r="P501" s="1" t="s">
        <v>31</v>
      </c>
      <c r="Q501" s="4">
        <v>97</v>
      </c>
      <c r="R501" s="13">
        <f t="shared" si="98"/>
        <v>97</v>
      </c>
      <c r="S501" s="6">
        <f t="shared" si="92"/>
        <v>0.97</v>
      </c>
      <c r="T501" s="1">
        <v>1.5</v>
      </c>
      <c r="U501" s="1">
        <f t="shared" si="99"/>
        <v>1.5</v>
      </c>
      <c r="V501" s="1">
        <f t="shared" si="100"/>
        <v>68.349999999999994</v>
      </c>
      <c r="W501" s="10" t="str">
        <f t="shared" si="101"/>
        <v>Medium</v>
      </c>
      <c r="X501" s="1">
        <v>0</v>
      </c>
      <c r="Y501" s="1" t="str">
        <f t="shared" si="102"/>
        <v>No</v>
      </c>
      <c r="Z501" s="14">
        <v>1</v>
      </c>
      <c r="AA501" s="18">
        <f t="shared" si="103"/>
        <v>1</v>
      </c>
      <c r="AB501" s="18" t="str">
        <f t="shared" si="104"/>
        <v>No</v>
      </c>
      <c r="AC501" s="9" t="s">
        <v>2009</v>
      </c>
      <c r="AD501">
        <f>IF(AC501="",0,LEN(AC501)-LEN(SUBSTITUTE(AC501,",",""))+1)</f>
        <v>2</v>
      </c>
    </row>
    <row r="502" spans="1:30" ht="12.5" x14ac:dyDescent="0.25">
      <c r="A502" s="1" t="s">
        <v>2010</v>
      </c>
      <c r="B502" s="1" t="s">
        <v>2011</v>
      </c>
      <c r="C502" s="1" t="str">
        <v>Sandy Stone</v>
      </c>
      <c r="D502" s="1" t="s">
        <v>2012</v>
      </c>
      <c r="E502" s="1" t="str">
        <v>plane@hotmail.com</v>
      </c>
      <c r="F502" t="str">
        <f t="shared" si="93"/>
        <v>Valid</v>
      </c>
      <c r="G502" s="1" t="s">
        <v>57</v>
      </c>
      <c r="H502" s="1" t="str">
        <f t="shared" si="94"/>
        <v>Female</v>
      </c>
      <c r="I502" s="1" t="s">
        <v>18</v>
      </c>
      <c r="J502" t="str">
        <f t="shared" si="95"/>
        <v>US</v>
      </c>
      <c r="K502" s="14">
        <v>31</v>
      </c>
      <c r="L502" s="1">
        <f t="shared" si="96"/>
        <v>31</v>
      </c>
      <c r="M502" s="1" t="str">
        <f t="shared" si="97"/>
        <v>Mid Career</v>
      </c>
      <c r="N502" s="2">
        <v>44992</v>
      </c>
      <c r="O502" s="1" t="s">
        <v>19</v>
      </c>
      <c r="P502" s="1" t="s">
        <v>20</v>
      </c>
      <c r="Q502" s="4">
        <v>0.23</v>
      </c>
      <c r="R502" s="13">
        <f t="shared" si="98"/>
        <v>23</v>
      </c>
      <c r="S502" s="6">
        <f t="shared" si="92"/>
        <v>0.23</v>
      </c>
      <c r="T502" s="1">
        <v>2</v>
      </c>
      <c r="U502" s="1">
        <f t="shared" si="99"/>
        <v>2</v>
      </c>
      <c r="V502" s="1">
        <f t="shared" si="100"/>
        <v>16.7</v>
      </c>
      <c r="W502" s="10" t="str">
        <f t="shared" si="101"/>
        <v>Low</v>
      </c>
      <c r="X502" s="1" t="s">
        <v>38</v>
      </c>
      <c r="Y502" s="1" t="str">
        <f t="shared" si="102"/>
        <v>No</v>
      </c>
      <c r="Z502" s="14">
        <v>4</v>
      </c>
      <c r="AA502" s="18">
        <f t="shared" si="103"/>
        <v>4</v>
      </c>
      <c r="AB502" s="18" t="str">
        <f t="shared" si="104"/>
        <v>No</v>
      </c>
      <c r="AC502" s="9" t="s">
        <v>2013</v>
      </c>
      <c r="AD502">
        <f>IF(AC502="",0,LEN(AC502)-LEN(SUBSTITUTE(AC502,",",""))+1)</f>
        <v>8</v>
      </c>
    </row>
    <row r="503" spans="1:30" ht="12.5" x14ac:dyDescent="0.25">
      <c r="A503" s="1" t="s">
        <v>2014</v>
      </c>
      <c r="B503" s="1" t="s">
        <v>2015</v>
      </c>
      <c r="C503" s="1" t="str">
        <v>Kimberly Ellis</v>
      </c>
      <c r="D503" s="1" t="s">
        <v>2016</v>
      </c>
      <c r="E503" s="1" t="str">
        <v>george43@watson-roberts.com</v>
      </c>
      <c r="F503" t="str">
        <f t="shared" si="93"/>
        <v>Valid</v>
      </c>
      <c r="G503" s="1" t="s">
        <v>95</v>
      </c>
      <c r="H503" s="1" t="str">
        <f t="shared" si="94"/>
        <v>Male</v>
      </c>
      <c r="I503" s="1" t="s">
        <v>74</v>
      </c>
      <c r="J503" t="str">
        <f t="shared" si="95"/>
        <v>USA</v>
      </c>
      <c r="L503" s="1">
        <f t="shared" si="96"/>
        <v>19</v>
      </c>
      <c r="M503" s="1" t="str">
        <f t="shared" si="97"/>
        <v>Student</v>
      </c>
      <c r="N503" s="9">
        <v>45164</v>
      </c>
      <c r="O503" s="1" t="s">
        <v>301</v>
      </c>
      <c r="P503" s="1" t="s">
        <v>20</v>
      </c>
      <c r="Q503" s="4">
        <v>0.17</v>
      </c>
      <c r="R503" s="13">
        <f t="shared" si="98"/>
        <v>17</v>
      </c>
      <c r="S503" s="6">
        <f t="shared" si="92"/>
        <v>0.17</v>
      </c>
      <c r="T503" s="1" t="s">
        <v>64</v>
      </c>
      <c r="U503" s="1">
        <f t="shared" si="99"/>
        <v>2</v>
      </c>
      <c r="V503" s="1">
        <f t="shared" si="100"/>
        <v>12.499999999999998</v>
      </c>
      <c r="W503" s="10" t="str">
        <f t="shared" si="101"/>
        <v>Low</v>
      </c>
      <c r="X503" s="1" t="s">
        <v>32</v>
      </c>
      <c r="Y503" s="1" t="str">
        <f t="shared" si="102"/>
        <v>Yes</v>
      </c>
      <c r="Z503" s="14">
        <v>4</v>
      </c>
      <c r="AA503" s="18">
        <f t="shared" si="103"/>
        <v>4</v>
      </c>
      <c r="AB503" s="18" t="str">
        <f t="shared" si="104"/>
        <v>High Performer</v>
      </c>
      <c r="AC503" s="9" t="s">
        <v>846</v>
      </c>
      <c r="AD503">
        <f>IF(AC503="",0,LEN(AC503)-LEN(SUBSTITUTE(AC503,",",""))+1)</f>
        <v>2</v>
      </c>
    </row>
    <row r="504" spans="1:30" ht="12.5" x14ac:dyDescent="0.25">
      <c r="A504" s="1" t="s">
        <v>2017</v>
      </c>
      <c r="B504" s="1" t="s">
        <v>2018</v>
      </c>
      <c r="C504" s="1" t="str">
        <v>Thomas Joseph</v>
      </c>
      <c r="D504" s="1" t="s">
        <v>2019</v>
      </c>
      <c r="E504" s="1" t="str">
        <v>teresafranco@hotmail.com</v>
      </c>
      <c r="F504" t="str">
        <f t="shared" si="93"/>
        <v>Valid</v>
      </c>
      <c r="G504" s="1" t="s">
        <v>88</v>
      </c>
      <c r="H504" s="1" t="str">
        <f t="shared" si="94"/>
        <v>Male</v>
      </c>
      <c r="I504" s="1" t="s">
        <v>89</v>
      </c>
      <c r="J504" t="str">
        <f t="shared" si="95"/>
        <v>GERMANY</v>
      </c>
      <c r="K504" s="14">
        <v>45</v>
      </c>
      <c r="L504" s="1">
        <f t="shared" si="96"/>
        <v>45</v>
      </c>
      <c r="M504" s="1" t="str">
        <f t="shared" si="97"/>
        <v>Senior</v>
      </c>
      <c r="N504" s="9">
        <v>44888</v>
      </c>
      <c r="O504" s="1" t="s">
        <v>114</v>
      </c>
      <c r="P504" s="1" t="s">
        <v>59</v>
      </c>
      <c r="Q504" s="4">
        <v>56</v>
      </c>
      <c r="R504" s="13">
        <f t="shared" si="98"/>
        <v>56</v>
      </c>
      <c r="S504" s="6">
        <f t="shared" si="92"/>
        <v>0.56000000000000005</v>
      </c>
      <c r="T504" s="1" t="s">
        <v>46</v>
      </c>
      <c r="U504" s="1">
        <f t="shared" si="99"/>
        <v>1</v>
      </c>
      <c r="V504" s="1">
        <f t="shared" si="100"/>
        <v>39.499999999999993</v>
      </c>
      <c r="W504" s="10" t="str">
        <f t="shared" si="101"/>
        <v>Low</v>
      </c>
      <c r="X504" s="1" t="s">
        <v>38</v>
      </c>
      <c r="Y504" s="1" t="str">
        <f t="shared" si="102"/>
        <v>No</v>
      </c>
      <c r="Z504" s="14">
        <v>2</v>
      </c>
      <c r="AA504" s="18">
        <f t="shared" si="103"/>
        <v>2</v>
      </c>
      <c r="AB504" s="18" t="str">
        <f t="shared" si="104"/>
        <v>No</v>
      </c>
      <c r="AC504" s="9" t="s">
        <v>2020</v>
      </c>
      <c r="AD504">
        <f>IF(AC504="",0,LEN(AC504)-LEN(SUBSTITUTE(AC504,",",""))+1)</f>
        <v>5</v>
      </c>
    </row>
    <row r="505" spans="1:30" ht="12.5" x14ac:dyDescent="0.25">
      <c r="A505" s="1" t="s">
        <v>2021</v>
      </c>
      <c r="B505" s="1" t="s">
        <v>2022</v>
      </c>
      <c r="C505" s="1" t="str">
        <v>Xavier Andrews</v>
      </c>
      <c r="D505" s="1" t="s">
        <v>2023</v>
      </c>
      <c r="E505" s="1" t="str">
        <v>mike38@hotmail.com</v>
      </c>
      <c r="F505" t="str">
        <f t="shared" si="93"/>
        <v>Valid</v>
      </c>
      <c r="G505" s="1" t="s">
        <v>17</v>
      </c>
      <c r="H505" s="1" t="str">
        <f t="shared" si="94"/>
        <v>Female</v>
      </c>
      <c r="I505" s="1" t="s">
        <v>74</v>
      </c>
      <c r="J505" t="str">
        <f t="shared" si="95"/>
        <v>USA</v>
      </c>
      <c r="L505" s="1">
        <f t="shared" si="96"/>
        <v>19</v>
      </c>
      <c r="M505" s="1" t="str">
        <f t="shared" si="97"/>
        <v>Student</v>
      </c>
      <c r="N505" s="2">
        <v>45779</v>
      </c>
      <c r="O505" s="1" t="s">
        <v>36</v>
      </c>
      <c r="P505" s="1" t="s">
        <v>37</v>
      </c>
      <c r="Q505" s="4">
        <v>0.13</v>
      </c>
      <c r="R505" s="13">
        <f t="shared" si="98"/>
        <v>13</v>
      </c>
      <c r="S505" s="6">
        <f t="shared" si="92"/>
        <v>0.13</v>
      </c>
      <c r="T505" s="1" t="s">
        <v>46</v>
      </c>
      <c r="U505" s="1">
        <f t="shared" si="99"/>
        <v>1</v>
      </c>
      <c r="V505" s="1">
        <f t="shared" si="100"/>
        <v>9.4</v>
      </c>
      <c r="W505" s="10" t="str">
        <f t="shared" si="101"/>
        <v>Low</v>
      </c>
      <c r="X505" s="1">
        <v>1</v>
      </c>
      <c r="Y505" s="1" t="str">
        <f t="shared" si="102"/>
        <v>Yes</v>
      </c>
      <c r="Z505" s="14">
        <v>4</v>
      </c>
      <c r="AA505" s="18">
        <f t="shared" si="103"/>
        <v>4</v>
      </c>
      <c r="AB505" s="18" t="str">
        <f t="shared" si="104"/>
        <v>High Performer</v>
      </c>
      <c r="AC505" s="9">
        <v>45779</v>
      </c>
      <c r="AD505">
        <f>IF(AC505="",0,LEN(AC505)-LEN(SUBSTITUTE(AC505,",",""))+1)</f>
        <v>1</v>
      </c>
    </row>
    <row r="506" spans="1:30" ht="12.5" x14ac:dyDescent="0.25">
      <c r="A506" s="1" t="s">
        <v>2024</v>
      </c>
      <c r="B506" s="1" t="s">
        <v>2025</v>
      </c>
      <c r="C506" s="1" t="str">
        <v>Jerry Cantrell</v>
      </c>
      <c r="D506" s="1" t="s">
        <v>2026</v>
      </c>
      <c r="E506" s="1" t="str">
        <v>knapprichard@yahoo.com</v>
      </c>
      <c r="F506" t="str">
        <f t="shared" si="93"/>
        <v>Valid</v>
      </c>
      <c r="G506" s="1" t="s">
        <v>88</v>
      </c>
      <c r="H506" s="1" t="str">
        <f t="shared" si="94"/>
        <v>Male</v>
      </c>
      <c r="I506" s="1" t="s">
        <v>74</v>
      </c>
      <c r="J506" t="str">
        <f t="shared" si="95"/>
        <v>USA</v>
      </c>
      <c r="L506" s="1">
        <f t="shared" si="96"/>
        <v>19</v>
      </c>
      <c r="M506" s="1" t="str">
        <f t="shared" si="97"/>
        <v>Student</v>
      </c>
      <c r="N506" s="9">
        <v>44711</v>
      </c>
      <c r="O506" s="1" t="s">
        <v>45</v>
      </c>
      <c r="P506" s="1" t="s">
        <v>20</v>
      </c>
      <c r="Q506" s="4">
        <v>0.25</v>
      </c>
      <c r="R506" s="13">
        <f t="shared" si="98"/>
        <v>25</v>
      </c>
      <c r="S506" s="6">
        <f t="shared" si="92"/>
        <v>0.25</v>
      </c>
      <c r="T506" s="1">
        <v>1.5</v>
      </c>
      <c r="U506" s="1">
        <f t="shared" si="99"/>
        <v>1.5</v>
      </c>
      <c r="V506" s="1">
        <f t="shared" si="100"/>
        <v>17.95</v>
      </c>
      <c r="W506" s="10" t="str">
        <f t="shared" si="101"/>
        <v>Low</v>
      </c>
      <c r="X506" s="1" t="s">
        <v>32</v>
      </c>
      <c r="Y506" s="1" t="str">
        <f t="shared" si="102"/>
        <v>Yes</v>
      </c>
      <c r="Z506" s="14">
        <v>3</v>
      </c>
      <c r="AA506" s="18">
        <f t="shared" si="103"/>
        <v>3</v>
      </c>
      <c r="AB506" s="18" t="str">
        <f t="shared" si="104"/>
        <v>No</v>
      </c>
      <c r="AC506" s="9" t="s">
        <v>2027</v>
      </c>
      <c r="AD506">
        <f>IF(AC506="",0,LEN(AC506)-LEN(SUBSTITUTE(AC506,",",""))+1)</f>
        <v>3</v>
      </c>
    </row>
    <row r="507" spans="1:30" ht="12.5" x14ac:dyDescent="0.25">
      <c r="A507" s="1" t="s">
        <v>2028</v>
      </c>
      <c r="B507" s="1" t="s">
        <v>2029</v>
      </c>
      <c r="C507" s="1" t="str">
        <v>Wayne Payne</v>
      </c>
      <c r="D507" s="1" t="s">
        <v>2030</v>
      </c>
      <c r="E507" s="1" t="str">
        <v>thomas49@hotmail.com</v>
      </c>
      <c r="F507" t="str">
        <f t="shared" si="93"/>
        <v>Valid</v>
      </c>
      <c r="G507" s="1" t="s">
        <v>119</v>
      </c>
      <c r="H507" s="1" t="str">
        <f t="shared" si="94"/>
        <v>Female</v>
      </c>
      <c r="I507" s="1" t="s">
        <v>96</v>
      </c>
      <c r="J507" t="str">
        <f t="shared" si="95"/>
        <v>INDIA</v>
      </c>
      <c r="K507" s="14">
        <v>26</v>
      </c>
      <c r="L507" s="1">
        <f t="shared" si="96"/>
        <v>26</v>
      </c>
      <c r="M507" s="1" t="str">
        <f t="shared" si="97"/>
        <v>Early Career</v>
      </c>
      <c r="N507" s="9">
        <v>44883</v>
      </c>
      <c r="O507" s="1" t="s">
        <v>30</v>
      </c>
      <c r="P507" s="1" t="s">
        <v>31</v>
      </c>
      <c r="Q507" s="4">
        <v>45</v>
      </c>
      <c r="R507" s="13">
        <f t="shared" si="98"/>
        <v>45</v>
      </c>
      <c r="S507" s="6">
        <f t="shared" si="92"/>
        <v>0.45</v>
      </c>
      <c r="T507" s="1" t="s">
        <v>46</v>
      </c>
      <c r="U507" s="1">
        <f t="shared" si="99"/>
        <v>1</v>
      </c>
      <c r="V507" s="1">
        <f t="shared" si="100"/>
        <v>31.799999999999997</v>
      </c>
      <c r="W507" s="10" t="str">
        <f t="shared" si="101"/>
        <v>Low</v>
      </c>
      <c r="X507" s="1" t="s">
        <v>76</v>
      </c>
      <c r="Y507" s="1" t="str">
        <f t="shared" si="102"/>
        <v>Yes</v>
      </c>
      <c r="Z507" s="14">
        <v>4</v>
      </c>
      <c r="AA507" s="18">
        <f t="shared" si="103"/>
        <v>4</v>
      </c>
      <c r="AB507" s="18" t="str">
        <f t="shared" si="104"/>
        <v>High Performer</v>
      </c>
      <c r="AC507" s="9" t="s">
        <v>2031</v>
      </c>
      <c r="AD507">
        <f>IF(AC507="",0,LEN(AC507)-LEN(SUBSTITUTE(AC507,",",""))+1)</f>
        <v>5</v>
      </c>
    </row>
    <row r="508" spans="1:30" ht="12.5" x14ac:dyDescent="0.25">
      <c r="A508" s="1" t="s">
        <v>2032</v>
      </c>
      <c r="B508" s="1" t="s">
        <v>2033</v>
      </c>
      <c r="C508" s="1" t="str">
        <v>Gina Rodriguez</v>
      </c>
      <c r="D508" s="1" t="s">
        <v>2034</v>
      </c>
      <c r="E508" s="1" t="str">
        <v>taylorandrea@yahoo.com</v>
      </c>
      <c r="F508" t="str">
        <f t="shared" si="93"/>
        <v>Valid</v>
      </c>
      <c r="G508" s="1" t="s">
        <v>17</v>
      </c>
      <c r="H508" s="1" t="str">
        <f t="shared" si="94"/>
        <v>Female</v>
      </c>
      <c r="I508" s="1" t="s">
        <v>136</v>
      </c>
      <c r="J508" t="str">
        <f t="shared" si="95"/>
        <v>UK</v>
      </c>
      <c r="K508" s="14">
        <v>39</v>
      </c>
      <c r="L508" s="1">
        <f t="shared" si="96"/>
        <v>39</v>
      </c>
      <c r="M508" s="1" t="str">
        <f t="shared" si="97"/>
        <v>Mid Career</v>
      </c>
      <c r="N508" s="9">
        <v>44886</v>
      </c>
      <c r="O508" s="1" t="s">
        <v>301</v>
      </c>
      <c r="P508" s="1" t="s">
        <v>20</v>
      </c>
      <c r="Q508" s="4">
        <v>0.17</v>
      </c>
      <c r="R508" s="13">
        <f t="shared" si="98"/>
        <v>17</v>
      </c>
      <c r="S508" s="6">
        <f t="shared" si="92"/>
        <v>0.17</v>
      </c>
      <c r="T508" s="1" t="s">
        <v>64</v>
      </c>
      <c r="U508" s="1">
        <f t="shared" si="99"/>
        <v>2</v>
      </c>
      <c r="V508" s="1">
        <f t="shared" si="100"/>
        <v>12.499999999999998</v>
      </c>
      <c r="W508" s="10" t="str">
        <f t="shared" si="101"/>
        <v>Low</v>
      </c>
      <c r="X508" s="1" t="s">
        <v>38</v>
      </c>
      <c r="Y508" s="1" t="str">
        <f t="shared" si="102"/>
        <v>No</v>
      </c>
      <c r="Z508" s="14">
        <v>1</v>
      </c>
      <c r="AA508" s="18">
        <f t="shared" si="103"/>
        <v>1</v>
      </c>
      <c r="AB508" s="18" t="str">
        <f t="shared" si="104"/>
        <v>No</v>
      </c>
      <c r="AC508" s="9" t="s">
        <v>2035</v>
      </c>
      <c r="AD508">
        <f>IF(AC508="",0,LEN(AC508)-LEN(SUBSTITUTE(AC508,",",""))+1)</f>
        <v>8</v>
      </c>
    </row>
    <row r="509" spans="1:30" ht="12.5" x14ac:dyDescent="0.25">
      <c r="A509" s="1" t="s">
        <v>2036</v>
      </c>
      <c r="B509" s="1" t="s">
        <v>2037</v>
      </c>
      <c r="C509" s="1" t="str">
        <v>Brandon Brown</v>
      </c>
      <c r="D509" s="1" t="s">
        <v>2038</v>
      </c>
      <c r="E509" s="1" t="str">
        <v>kimberlywang@johnson.info</v>
      </c>
      <c r="F509" t="str">
        <f t="shared" si="93"/>
        <v>Valid</v>
      </c>
      <c r="G509" s="1" t="s">
        <v>119</v>
      </c>
      <c r="H509" s="1" t="str">
        <f t="shared" si="94"/>
        <v>Female</v>
      </c>
      <c r="I509" s="1" t="s">
        <v>136</v>
      </c>
      <c r="J509" t="str">
        <f t="shared" si="95"/>
        <v>UK</v>
      </c>
      <c r="L509" s="1">
        <f t="shared" si="96"/>
        <v>19</v>
      </c>
      <c r="M509" s="1" t="str">
        <f t="shared" si="97"/>
        <v>Student</v>
      </c>
      <c r="N509" s="9">
        <v>44696</v>
      </c>
      <c r="O509" s="1" t="s">
        <v>30</v>
      </c>
      <c r="P509" s="1" t="s">
        <v>31</v>
      </c>
      <c r="Q509" s="4">
        <v>0.79</v>
      </c>
      <c r="R509" s="13">
        <f t="shared" si="98"/>
        <v>79</v>
      </c>
      <c r="S509" s="6">
        <f t="shared" si="92"/>
        <v>0.79</v>
      </c>
      <c r="T509" s="1" t="s">
        <v>21</v>
      </c>
      <c r="U509" s="1">
        <f t="shared" si="99"/>
        <v>1.5</v>
      </c>
      <c r="V509" s="1">
        <f t="shared" si="100"/>
        <v>55.75</v>
      </c>
      <c r="W509" s="10" t="str">
        <f t="shared" si="101"/>
        <v>Medium</v>
      </c>
      <c r="X509" s="1" t="s">
        <v>38</v>
      </c>
      <c r="Y509" s="1" t="str">
        <f t="shared" si="102"/>
        <v>No</v>
      </c>
      <c r="Z509" s="14">
        <v>1</v>
      </c>
      <c r="AA509" s="18">
        <f t="shared" si="103"/>
        <v>1</v>
      </c>
      <c r="AB509" s="18" t="str">
        <f t="shared" si="104"/>
        <v>No</v>
      </c>
      <c r="AC509" s="9" t="s">
        <v>2039</v>
      </c>
      <c r="AD509">
        <f>IF(AC509="",0,LEN(AC509)-LEN(SUBSTITUTE(AC509,",",""))+1)</f>
        <v>6</v>
      </c>
    </row>
    <row r="510" spans="1:30" ht="12.5" x14ac:dyDescent="0.25">
      <c r="A510" s="1" t="s">
        <v>2040</v>
      </c>
      <c r="B510" s="1" t="s">
        <v>2041</v>
      </c>
      <c r="C510" s="1" t="str">
        <v>Cheyenne Stewart</v>
      </c>
      <c r="D510" s="1" t="s">
        <v>2042</v>
      </c>
      <c r="E510" s="1" t="str">
        <v>raymond65@watson-mitchell.com</v>
      </c>
      <c r="F510" t="str">
        <f t="shared" si="93"/>
        <v>Valid</v>
      </c>
      <c r="G510" s="1" t="s">
        <v>17</v>
      </c>
      <c r="H510" s="1" t="str">
        <f t="shared" si="94"/>
        <v>Female</v>
      </c>
      <c r="I510" s="1" t="s">
        <v>18</v>
      </c>
      <c r="J510" t="str">
        <f t="shared" si="95"/>
        <v>US</v>
      </c>
      <c r="L510" s="1">
        <f t="shared" si="96"/>
        <v>19</v>
      </c>
      <c r="M510" s="1" t="str">
        <f t="shared" si="97"/>
        <v>Student</v>
      </c>
      <c r="N510" s="9">
        <v>45709</v>
      </c>
      <c r="O510" s="1" t="s">
        <v>69</v>
      </c>
      <c r="P510" s="1" t="s">
        <v>31</v>
      </c>
      <c r="Q510" s="4">
        <v>0.97</v>
      </c>
      <c r="R510" s="13">
        <f t="shared" si="98"/>
        <v>97</v>
      </c>
      <c r="S510" s="6">
        <f t="shared" si="92"/>
        <v>0.97</v>
      </c>
      <c r="T510" s="1">
        <v>45</v>
      </c>
      <c r="U510" s="1">
        <f t="shared" si="99"/>
        <v>45</v>
      </c>
      <c r="V510" s="1">
        <f t="shared" si="100"/>
        <v>81.399999999999991</v>
      </c>
      <c r="W510" s="10" t="str">
        <f t="shared" si="101"/>
        <v>High</v>
      </c>
      <c r="X510" s="1" t="s">
        <v>38</v>
      </c>
      <c r="Y510" s="1" t="str">
        <f t="shared" si="102"/>
        <v>No</v>
      </c>
      <c r="Z510" s="14">
        <v>1</v>
      </c>
      <c r="AA510" s="18">
        <f t="shared" si="103"/>
        <v>1</v>
      </c>
      <c r="AB510" s="18" t="str">
        <f t="shared" si="104"/>
        <v>No</v>
      </c>
      <c r="AC510" s="9" t="s">
        <v>2043</v>
      </c>
      <c r="AD510">
        <f>IF(AC510="",0,LEN(AC510)-LEN(SUBSTITUTE(AC510,",",""))+1)</f>
        <v>6</v>
      </c>
    </row>
    <row r="511" spans="1:30" ht="12.5" x14ac:dyDescent="0.25">
      <c r="A511" s="1" t="s">
        <v>2044</v>
      </c>
      <c r="B511" s="1" t="s">
        <v>2045</v>
      </c>
      <c r="C511" s="1" t="str">
        <v>Nicholas Wallace</v>
      </c>
      <c r="D511" s="1" t="s">
        <v>2046</v>
      </c>
      <c r="E511" s="1" t="str">
        <v>zroberts@hotmail.com</v>
      </c>
      <c r="F511" t="str">
        <f t="shared" si="93"/>
        <v>Valid</v>
      </c>
      <c r="G511" s="1" t="s">
        <v>88</v>
      </c>
      <c r="H511" s="1" t="str">
        <f t="shared" si="94"/>
        <v>Male</v>
      </c>
      <c r="I511" s="1" t="s">
        <v>51</v>
      </c>
      <c r="J511" t="str">
        <f t="shared" si="95"/>
        <v>UK</v>
      </c>
      <c r="K511" s="14">
        <v>0</v>
      </c>
      <c r="L511" s="1">
        <f t="shared" si="96"/>
        <v>19</v>
      </c>
      <c r="M511" s="1" t="str">
        <f t="shared" si="97"/>
        <v>Student</v>
      </c>
      <c r="N511" s="9">
        <v>45136</v>
      </c>
      <c r="O511" s="1" t="s">
        <v>158</v>
      </c>
      <c r="P511" s="1" t="s">
        <v>59</v>
      </c>
      <c r="Q511" s="4">
        <v>0.99</v>
      </c>
      <c r="R511" s="13">
        <f t="shared" si="98"/>
        <v>99</v>
      </c>
      <c r="S511" s="6">
        <f t="shared" si="92"/>
        <v>0.99</v>
      </c>
      <c r="T511" s="1" t="s">
        <v>21</v>
      </c>
      <c r="U511" s="1">
        <f t="shared" si="99"/>
        <v>1.5</v>
      </c>
      <c r="V511" s="1">
        <f t="shared" si="100"/>
        <v>69.75</v>
      </c>
      <c r="W511" s="10" t="str">
        <f t="shared" si="101"/>
        <v>Medium</v>
      </c>
      <c r="X511" s="1" t="s">
        <v>76</v>
      </c>
      <c r="Y511" s="1" t="str">
        <f t="shared" si="102"/>
        <v>Yes</v>
      </c>
      <c r="Z511" s="14">
        <v>3</v>
      </c>
      <c r="AA511" s="18">
        <f t="shared" si="103"/>
        <v>3</v>
      </c>
      <c r="AB511" s="18" t="str">
        <f t="shared" si="104"/>
        <v>No</v>
      </c>
      <c r="AC511" s="9" t="s">
        <v>2047</v>
      </c>
      <c r="AD511">
        <f>IF(AC511="",0,LEN(AC511)-LEN(SUBSTITUTE(AC511,",",""))+1)</f>
        <v>1</v>
      </c>
    </row>
    <row r="512" spans="1:30" ht="12.5" x14ac:dyDescent="0.25">
      <c r="A512" s="1" t="s">
        <v>2048</v>
      </c>
      <c r="B512" s="1" t="s">
        <v>2049</v>
      </c>
      <c r="C512" s="1" t="str">
        <v>Linda Thomas</v>
      </c>
      <c r="D512" s="1" t="s">
        <v>2050</v>
      </c>
      <c r="E512" s="1" t="str">
        <v>hmcneil@yahoo.com</v>
      </c>
      <c r="F512" t="str">
        <f t="shared" si="93"/>
        <v>Valid</v>
      </c>
      <c r="G512" s="1" t="s">
        <v>109</v>
      </c>
      <c r="H512" s="1" t="str">
        <f t="shared" si="94"/>
        <v>Male</v>
      </c>
      <c r="I512" s="1" t="s">
        <v>96</v>
      </c>
      <c r="J512" t="str">
        <f t="shared" si="95"/>
        <v>INDIA</v>
      </c>
      <c r="L512" s="1">
        <f t="shared" si="96"/>
        <v>19</v>
      </c>
      <c r="M512" s="1" t="str">
        <f t="shared" si="97"/>
        <v>Student</v>
      </c>
      <c r="N512" s="9">
        <v>45316</v>
      </c>
      <c r="O512" s="1" t="s">
        <v>30</v>
      </c>
      <c r="P512" s="1" t="s">
        <v>31</v>
      </c>
      <c r="Q512" s="4">
        <v>0.69</v>
      </c>
      <c r="R512" s="13">
        <f t="shared" si="98"/>
        <v>69</v>
      </c>
      <c r="S512" s="6">
        <f t="shared" si="92"/>
        <v>0.69</v>
      </c>
      <c r="T512" s="1" t="s">
        <v>46</v>
      </c>
      <c r="U512" s="1">
        <f t="shared" si="99"/>
        <v>1</v>
      </c>
      <c r="V512" s="1">
        <f t="shared" si="100"/>
        <v>48.599999999999994</v>
      </c>
      <c r="W512" s="10" t="str">
        <f t="shared" si="101"/>
        <v>Medium</v>
      </c>
      <c r="X512" s="1">
        <v>1</v>
      </c>
      <c r="Y512" s="1" t="str">
        <f t="shared" si="102"/>
        <v>Yes</v>
      </c>
      <c r="Z512" s="14">
        <v>5</v>
      </c>
      <c r="AA512" s="18">
        <f t="shared" si="103"/>
        <v>5</v>
      </c>
      <c r="AB512" s="18" t="str">
        <f t="shared" si="104"/>
        <v>High Performer</v>
      </c>
      <c r="AC512" s="9" t="s">
        <v>2051</v>
      </c>
      <c r="AD512">
        <f>IF(AC512="",0,LEN(AC512)-LEN(SUBSTITUTE(AC512,",",""))+1)</f>
        <v>8</v>
      </c>
    </row>
    <row r="513" spans="1:30" ht="12.5" x14ac:dyDescent="0.25">
      <c r="A513" s="1" t="s">
        <v>2052</v>
      </c>
      <c r="B513" s="1" t="s">
        <v>2053</v>
      </c>
      <c r="C513" s="1" t="str">
        <v>Aaron Fowler</v>
      </c>
      <c r="D513" s="1" t="s">
        <v>2054</v>
      </c>
      <c r="E513" s="1" t="str">
        <v>dthompson@hotmail.com</v>
      </c>
      <c r="F513" t="str">
        <f t="shared" si="93"/>
        <v>Valid</v>
      </c>
      <c r="G513" s="1" t="s">
        <v>57</v>
      </c>
      <c r="H513" s="1" t="str">
        <f t="shared" si="94"/>
        <v>Female</v>
      </c>
      <c r="I513" s="1" t="s">
        <v>28</v>
      </c>
      <c r="J513" t="str">
        <f t="shared" si="95"/>
        <v>INDIA</v>
      </c>
      <c r="K513" s="14">
        <v>0</v>
      </c>
      <c r="L513" s="1">
        <f t="shared" si="96"/>
        <v>19</v>
      </c>
      <c r="M513" s="1" t="str">
        <f t="shared" si="97"/>
        <v>Student</v>
      </c>
      <c r="N513" s="9">
        <v>44760</v>
      </c>
      <c r="O513" s="1" t="s">
        <v>114</v>
      </c>
      <c r="P513" s="1" t="s">
        <v>59</v>
      </c>
      <c r="Q513" s="4">
        <v>0.03</v>
      </c>
      <c r="R513" s="13">
        <f t="shared" si="98"/>
        <v>3</v>
      </c>
      <c r="S513" s="6">
        <f t="shared" si="92"/>
        <v>0.03</v>
      </c>
      <c r="T513" s="1">
        <v>2</v>
      </c>
      <c r="U513" s="1">
        <f t="shared" si="99"/>
        <v>2</v>
      </c>
      <c r="V513" s="1">
        <f t="shared" si="100"/>
        <v>2.6999999999999997</v>
      </c>
      <c r="W513" s="10" t="str">
        <f t="shared" si="101"/>
        <v>Low</v>
      </c>
      <c r="X513" s="1" t="s">
        <v>76</v>
      </c>
      <c r="Y513" s="1" t="str">
        <f t="shared" si="102"/>
        <v>Yes</v>
      </c>
      <c r="Z513" s="14">
        <v>5</v>
      </c>
      <c r="AA513" s="18">
        <f t="shared" si="103"/>
        <v>5</v>
      </c>
      <c r="AB513" s="18" t="str">
        <f t="shared" si="104"/>
        <v>High Performer</v>
      </c>
      <c r="AC513" s="9" t="s">
        <v>2055</v>
      </c>
      <c r="AD513">
        <f>IF(AC513="",0,LEN(AC513)-LEN(SUBSTITUTE(AC513,",",""))+1)</f>
        <v>6</v>
      </c>
    </row>
    <row r="514" spans="1:30" ht="12.5" x14ac:dyDescent="0.25">
      <c r="A514" s="1" t="s">
        <v>2056</v>
      </c>
      <c r="B514" s="1" t="s">
        <v>2057</v>
      </c>
      <c r="C514" s="1" t="str">
        <v>James Spencer</v>
      </c>
      <c r="D514" s="1" t="s">
        <v>2058</v>
      </c>
      <c r="E514" s="1" t="str">
        <v>mary47@singh.com</v>
      </c>
      <c r="F514" t="str">
        <f t="shared" si="93"/>
        <v>Valid</v>
      </c>
      <c r="G514" s="1" t="s">
        <v>17</v>
      </c>
      <c r="H514" s="1" t="str">
        <f t="shared" si="94"/>
        <v>Female</v>
      </c>
      <c r="I514" s="1" t="s">
        <v>74</v>
      </c>
      <c r="J514" t="str">
        <f t="shared" si="95"/>
        <v>USA</v>
      </c>
      <c r="L514" s="1">
        <f t="shared" si="96"/>
        <v>19</v>
      </c>
      <c r="M514" s="1" t="str">
        <f t="shared" si="97"/>
        <v>Student</v>
      </c>
      <c r="N514" s="2">
        <v>45421</v>
      </c>
      <c r="O514" s="1" t="s">
        <v>58</v>
      </c>
      <c r="P514" s="1" t="s">
        <v>59</v>
      </c>
      <c r="Q514" s="4">
        <v>0.84</v>
      </c>
      <c r="R514" s="13">
        <f t="shared" si="98"/>
        <v>84</v>
      </c>
      <c r="S514" s="6">
        <f t="shared" ref="S514:S577" si="105">R514/100</f>
        <v>0.84</v>
      </c>
      <c r="T514" s="1" t="s">
        <v>64</v>
      </c>
      <c r="U514" s="1">
        <f t="shared" si="99"/>
        <v>2</v>
      </c>
      <c r="V514" s="1">
        <f t="shared" si="100"/>
        <v>59.4</v>
      </c>
      <c r="W514" s="10" t="str">
        <f t="shared" si="101"/>
        <v>Medium</v>
      </c>
      <c r="X514" s="1" t="s">
        <v>22</v>
      </c>
      <c r="Y514" s="1" t="str">
        <f t="shared" si="102"/>
        <v>No</v>
      </c>
      <c r="Z514" s="14">
        <v>2</v>
      </c>
      <c r="AA514" s="18">
        <f t="shared" si="103"/>
        <v>2</v>
      </c>
      <c r="AB514" s="18" t="str">
        <f t="shared" si="104"/>
        <v>No</v>
      </c>
      <c r="AC514" s="9" t="s">
        <v>2059</v>
      </c>
      <c r="AD514">
        <f>IF(AC514="",0,LEN(AC514)-LEN(SUBSTITUTE(AC514,",",""))+1)</f>
        <v>6</v>
      </c>
    </row>
    <row r="515" spans="1:30" ht="12.5" x14ac:dyDescent="0.25">
      <c r="A515" s="1" t="s">
        <v>2060</v>
      </c>
      <c r="B515" s="1" t="s">
        <v>2061</v>
      </c>
      <c r="C515" s="1" t="str">
        <v>Becky Wade</v>
      </c>
      <c r="D515" s="1" t="s">
        <v>2062</v>
      </c>
      <c r="E515" s="1" t="str">
        <v>swhite@hotmail.com</v>
      </c>
      <c r="F515" t="str">
        <f t="shared" ref="F515:F578" si="106">IF(ISNUMBER(SEARCH("@", E515)), "Valid", "Invalid")</f>
        <v>Valid</v>
      </c>
      <c r="G515" s="1" t="s">
        <v>95</v>
      </c>
      <c r="H515" s="1" t="str">
        <f t="shared" ref="H515:H578" si="107">IF(OR(LOWER(G515)="m", LOWER(G515)="male"), "Male", IF(OR(LOWER(G515)="f", LOWER(G515)="female"), "Female","Other"))</f>
        <v>Male</v>
      </c>
      <c r="I515" s="1" t="s">
        <v>136</v>
      </c>
      <c r="J515" t="str">
        <f t="shared" ref="J515:J578" si="108">UPPER(TRIM(I515))</f>
        <v>UK</v>
      </c>
      <c r="K515" s="14">
        <v>36</v>
      </c>
      <c r="L515" s="1">
        <f t="shared" ref="L515:L578" si="109">IF(OR(K515=0,K515&lt;10,K515&gt;100), $L$1202, K515)</f>
        <v>36</v>
      </c>
      <c r="M515" s="1" t="str">
        <f t="shared" ref="M515:M578" si="110">IF(K515&lt;22,"Student",
IF(K515&lt;=30,"Early Career",
IF(K515&lt;=40,"Mid Career",
IF(K515&lt;=50,"Senior","Expert"))))</f>
        <v>Mid Career</v>
      </c>
      <c r="N515" s="9">
        <v>45066</v>
      </c>
      <c r="O515" s="1" t="s">
        <v>45</v>
      </c>
      <c r="P515" s="1" t="s">
        <v>20</v>
      </c>
      <c r="Q515" s="4">
        <v>0.54</v>
      </c>
      <c r="R515" s="13">
        <f t="shared" ref="R515:R578" si="111">IF(Q515&lt;=1, Q515*100, Q515)</f>
        <v>54</v>
      </c>
      <c r="S515" s="6">
        <f t="shared" si="105"/>
        <v>0.54</v>
      </c>
      <c r="T515" s="1">
        <v>1.5</v>
      </c>
      <c r="U515" s="1">
        <f t="shared" ref="U515:U578" si="112">IF(ISNUMBER(T515), T515,
IF(ISNUMBER(SEARCH("min", T515)), VALUE(LEFT(T515, FIND(" ", T515)-1))/60,
IF(ISNUMBER(SEARCH("hour", T515)), VALUE(LEFT(T515, FIND(" ", T515)-1)),
"")))</f>
        <v>1.5</v>
      </c>
      <c r="V515" s="1">
        <f t="shared" ref="V515:V578" si="113">MIN( (0.7*R515 + 0.3*(U515)), 100 )</f>
        <v>38.25</v>
      </c>
      <c r="W515" s="10" t="str">
        <f t="shared" ref="W515:W578" si="114">IF(V515&lt;41,"Low",IF(V515&lt;71,"Medium","High"))</f>
        <v>Low</v>
      </c>
      <c r="X515" s="1" t="s">
        <v>38</v>
      </c>
      <c r="Y515" s="1" t="str">
        <f t="shared" ref="Y515:Y578" si="115">IF(OR(X515="Yes", X515="Y", X515=1), "Yes", "No")</f>
        <v>No</v>
      </c>
      <c r="Z515" s="14">
        <v>5</v>
      </c>
      <c r="AA515" s="18">
        <f t="shared" ref="AA515:AA578" si="116">IF(AND(Z515&gt;=1,Z515&lt;=6),Z515,"Invalid")</f>
        <v>5</v>
      </c>
      <c r="AB515" s="18" t="str">
        <f t="shared" ref="AB515:AB578" si="117">IF(AND(Y515="Yes",AA515&gt;=4),"High Performer","No")</f>
        <v>No</v>
      </c>
      <c r="AC515" s="9" t="s">
        <v>2063</v>
      </c>
      <c r="AD515">
        <f>IF(AC515="",0,LEN(AC515)-LEN(SUBSTITUTE(AC515,",",""))+1)</f>
        <v>6</v>
      </c>
    </row>
    <row r="516" spans="1:30" ht="12.5" x14ac:dyDescent="0.25">
      <c r="A516" s="1" t="s">
        <v>2064</v>
      </c>
      <c r="B516" s="1" t="s">
        <v>2065</v>
      </c>
      <c r="C516" s="1" t="str">
        <v>Wesley George Md</v>
      </c>
      <c r="D516" s="1" t="s">
        <v>2066</v>
      </c>
      <c r="E516" s="1" t="str">
        <v>ooneill@hotmail.com</v>
      </c>
      <c r="F516" t="str">
        <f t="shared" si="106"/>
        <v>Valid</v>
      </c>
      <c r="G516" s="1" t="s">
        <v>119</v>
      </c>
      <c r="H516" s="1" t="str">
        <f t="shared" si="107"/>
        <v>Female</v>
      </c>
      <c r="I516" s="1" t="s">
        <v>96</v>
      </c>
      <c r="J516" t="str">
        <f t="shared" si="108"/>
        <v>INDIA</v>
      </c>
      <c r="K516" s="14">
        <v>0</v>
      </c>
      <c r="L516" s="1">
        <f t="shared" si="109"/>
        <v>19</v>
      </c>
      <c r="M516" s="1" t="str">
        <f t="shared" si="110"/>
        <v>Student</v>
      </c>
      <c r="N516" s="9">
        <v>45038</v>
      </c>
      <c r="O516" s="1" t="s">
        <v>69</v>
      </c>
      <c r="P516" s="1" t="s">
        <v>31</v>
      </c>
      <c r="Q516" s="4">
        <v>0.62</v>
      </c>
      <c r="R516" s="13">
        <f t="shared" si="111"/>
        <v>62</v>
      </c>
      <c r="S516" s="6">
        <f t="shared" si="105"/>
        <v>0.62</v>
      </c>
      <c r="T516" s="1">
        <v>45</v>
      </c>
      <c r="U516" s="1">
        <f t="shared" si="112"/>
        <v>45</v>
      </c>
      <c r="V516" s="1">
        <f t="shared" si="113"/>
        <v>56.9</v>
      </c>
      <c r="W516" s="10" t="str">
        <f t="shared" si="114"/>
        <v>Medium</v>
      </c>
      <c r="X516" s="1">
        <v>1</v>
      </c>
      <c r="Y516" s="1" t="str">
        <f t="shared" si="115"/>
        <v>Yes</v>
      </c>
      <c r="Z516" s="14">
        <v>1</v>
      </c>
      <c r="AA516" s="18">
        <f t="shared" si="116"/>
        <v>1</v>
      </c>
      <c r="AB516" s="18" t="str">
        <f t="shared" si="117"/>
        <v>No</v>
      </c>
      <c r="AC516" s="9" t="s">
        <v>2067</v>
      </c>
      <c r="AD516">
        <f>IF(AC516="",0,LEN(AC516)-LEN(SUBSTITUTE(AC516,",",""))+1)</f>
        <v>6</v>
      </c>
    </row>
    <row r="517" spans="1:30" ht="12.5" x14ac:dyDescent="0.25">
      <c r="A517" s="1" t="s">
        <v>2068</v>
      </c>
      <c r="B517" s="1" t="s">
        <v>2069</v>
      </c>
      <c r="C517" s="1" t="str">
        <v>Nicholas Smith</v>
      </c>
      <c r="D517" s="1" t="s">
        <v>2070</v>
      </c>
      <c r="E517" s="1" t="str">
        <v>bonniethomas@yahoo.com</v>
      </c>
      <c r="F517" t="str">
        <f t="shared" si="106"/>
        <v>Valid</v>
      </c>
      <c r="G517" s="1" t="s">
        <v>27</v>
      </c>
      <c r="H517" s="1" t="str">
        <f t="shared" si="107"/>
        <v>Male</v>
      </c>
      <c r="I517" s="1" t="s">
        <v>44</v>
      </c>
      <c r="J517" t="str">
        <f t="shared" si="108"/>
        <v>CANADA</v>
      </c>
      <c r="L517" s="1">
        <f t="shared" si="109"/>
        <v>19</v>
      </c>
      <c r="M517" s="1" t="str">
        <f t="shared" si="110"/>
        <v>Student</v>
      </c>
      <c r="N517" s="9">
        <v>45397</v>
      </c>
      <c r="O517" s="1" t="s">
        <v>52</v>
      </c>
      <c r="P517" s="1" t="s">
        <v>37</v>
      </c>
      <c r="Q517" s="4">
        <v>1</v>
      </c>
      <c r="R517" s="13">
        <f t="shared" si="111"/>
        <v>100</v>
      </c>
      <c r="S517" s="6">
        <f t="shared" si="105"/>
        <v>1</v>
      </c>
      <c r="T517" s="1" t="s">
        <v>21</v>
      </c>
      <c r="U517" s="1">
        <f t="shared" si="112"/>
        <v>1.5</v>
      </c>
      <c r="V517" s="1">
        <f t="shared" si="113"/>
        <v>70.45</v>
      </c>
      <c r="W517" s="10" t="str">
        <f t="shared" si="114"/>
        <v>Medium</v>
      </c>
      <c r="X517" s="1" t="s">
        <v>38</v>
      </c>
      <c r="Y517" s="1" t="str">
        <f t="shared" si="115"/>
        <v>No</v>
      </c>
      <c r="Z517" s="14">
        <v>1</v>
      </c>
      <c r="AA517" s="18">
        <f t="shared" si="116"/>
        <v>1</v>
      </c>
      <c r="AB517" s="18" t="str">
        <f t="shared" si="117"/>
        <v>No</v>
      </c>
      <c r="AC517" s="9" t="s">
        <v>2071</v>
      </c>
      <c r="AD517">
        <f>IF(AC517="",0,LEN(AC517)-LEN(SUBSTITUTE(AC517,",",""))+1)</f>
        <v>7</v>
      </c>
    </row>
    <row r="518" spans="1:30" ht="12.5" x14ac:dyDescent="0.25">
      <c r="A518" s="1" t="s">
        <v>2072</v>
      </c>
      <c r="B518" s="1" t="s">
        <v>2073</v>
      </c>
      <c r="C518" s="1" t="str">
        <v>Jason Barr</v>
      </c>
      <c r="D518" s="1" t="s">
        <v>2074</v>
      </c>
      <c r="E518" s="1" t="str">
        <v>robertsalyssa@gmail.com</v>
      </c>
      <c r="F518" t="str">
        <f t="shared" si="106"/>
        <v>Valid</v>
      </c>
      <c r="G518" s="1" t="s">
        <v>119</v>
      </c>
      <c r="H518" s="1" t="str">
        <f t="shared" si="107"/>
        <v>Female</v>
      </c>
      <c r="I518" s="1" t="s">
        <v>18</v>
      </c>
      <c r="J518" t="str">
        <f t="shared" si="108"/>
        <v>US</v>
      </c>
      <c r="L518" s="1">
        <f t="shared" si="109"/>
        <v>19</v>
      </c>
      <c r="M518" s="1" t="str">
        <f t="shared" si="110"/>
        <v>Student</v>
      </c>
      <c r="N518" s="9">
        <v>45734</v>
      </c>
      <c r="O518" s="1" t="s">
        <v>146</v>
      </c>
      <c r="P518" s="1" t="s">
        <v>147</v>
      </c>
      <c r="Q518" s="4">
        <v>12</v>
      </c>
      <c r="R518" s="13">
        <f t="shared" si="111"/>
        <v>12</v>
      </c>
      <c r="S518" s="6">
        <f t="shared" si="105"/>
        <v>0.12</v>
      </c>
      <c r="T518" s="1" t="s">
        <v>46</v>
      </c>
      <c r="U518" s="1">
        <f t="shared" si="112"/>
        <v>1</v>
      </c>
      <c r="V518" s="1">
        <f t="shared" si="113"/>
        <v>8.6999999999999993</v>
      </c>
      <c r="W518" s="10" t="str">
        <f t="shared" si="114"/>
        <v>Low</v>
      </c>
      <c r="X518" s="1">
        <v>0</v>
      </c>
      <c r="Y518" s="1" t="str">
        <f t="shared" si="115"/>
        <v>No</v>
      </c>
      <c r="Z518" s="14">
        <v>5</v>
      </c>
      <c r="AA518" s="18">
        <f t="shared" si="116"/>
        <v>5</v>
      </c>
      <c r="AB518" s="18" t="str">
        <f t="shared" si="117"/>
        <v>No</v>
      </c>
      <c r="AC518" s="9" t="s">
        <v>2075</v>
      </c>
      <c r="AD518">
        <f>IF(AC518="",0,LEN(AC518)-LEN(SUBSTITUTE(AC518,",",""))+1)</f>
        <v>2</v>
      </c>
    </row>
    <row r="519" spans="1:30" ht="12.5" x14ac:dyDescent="0.25">
      <c r="A519" s="1" t="s">
        <v>2076</v>
      </c>
      <c r="B519" s="1" t="s">
        <v>2077</v>
      </c>
      <c r="C519" s="1" t="str">
        <v>Linda Jackson</v>
      </c>
      <c r="D519" s="1" t="s">
        <v>2078</v>
      </c>
      <c r="E519" s="1" t="str">
        <v>margaret44@hotmail.com</v>
      </c>
      <c r="F519" t="str">
        <f t="shared" si="106"/>
        <v>Valid</v>
      </c>
      <c r="G519" s="1" t="s">
        <v>119</v>
      </c>
      <c r="H519" s="1" t="str">
        <f t="shared" si="107"/>
        <v>Female</v>
      </c>
      <c r="I519" s="1" t="s">
        <v>96</v>
      </c>
      <c r="J519" t="str">
        <f t="shared" si="108"/>
        <v>INDIA</v>
      </c>
      <c r="K519" s="14">
        <v>23</v>
      </c>
      <c r="L519" s="1">
        <f t="shared" si="109"/>
        <v>23</v>
      </c>
      <c r="M519" s="1" t="str">
        <f t="shared" si="110"/>
        <v>Early Career</v>
      </c>
      <c r="N519" s="9">
        <v>45456</v>
      </c>
      <c r="O519" s="1" t="s">
        <v>75</v>
      </c>
      <c r="P519" s="1" t="s">
        <v>37</v>
      </c>
      <c r="Q519" s="4">
        <v>0.4</v>
      </c>
      <c r="R519" s="13">
        <f t="shared" si="111"/>
        <v>40</v>
      </c>
      <c r="S519" s="6">
        <f t="shared" si="105"/>
        <v>0.4</v>
      </c>
      <c r="T519" s="1" t="s">
        <v>64</v>
      </c>
      <c r="U519" s="1">
        <f t="shared" si="112"/>
        <v>2</v>
      </c>
      <c r="V519" s="1">
        <f t="shared" si="113"/>
        <v>28.6</v>
      </c>
      <c r="W519" s="10" t="str">
        <f t="shared" si="114"/>
        <v>Low</v>
      </c>
      <c r="X519" s="1">
        <v>1</v>
      </c>
      <c r="Y519" s="1" t="str">
        <f t="shared" si="115"/>
        <v>Yes</v>
      </c>
      <c r="Z519" s="14">
        <v>2</v>
      </c>
      <c r="AA519" s="18">
        <f t="shared" si="116"/>
        <v>2</v>
      </c>
      <c r="AB519" s="18" t="str">
        <f t="shared" si="117"/>
        <v>No</v>
      </c>
      <c r="AC519" s="9" t="s">
        <v>2079</v>
      </c>
      <c r="AD519">
        <f>IF(AC519="",0,LEN(AC519)-LEN(SUBSTITUTE(AC519,",",""))+1)</f>
        <v>5</v>
      </c>
    </row>
    <row r="520" spans="1:30" ht="12.5" x14ac:dyDescent="0.25">
      <c r="A520" s="1" t="s">
        <v>2080</v>
      </c>
      <c r="B520" s="1" t="s">
        <v>2081</v>
      </c>
      <c r="C520" s="1" t="str">
        <v>Samantha Smith</v>
      </c>
      <c r="D520" s="1" t="s">
        <v>2082</v>
      </c>
      <c r="E520" s="1" t="str">
        <v>kimberly65@gmail.com</v>
      </c>
      <c r="F520" t="str">
        <f t="shared" si="106"/>
        <v>Valid</v>
      </c>
      <c r="G520" s="1" t="s">
        <v>88</v>
      </c>
      <c r="H520" s="1" t="str">
        <f t="shared" si="107"/>
        <v>Male</v>
      </c>
      <c r="I520" s="1" t="s">
        <v>28</v>
      </c>
      <c r="J520" t="str">
        <f t="shared" si="108"/>
        <v>INDIA</v>
      </c>
      <c r="K520" s="14">
        <v>34</v>
      </c>
      <c r="L520" s="1">
        <f t="shared" si="109"/>
        <v>34</v>
      </c>
      <c r="M520" s="1" t="str">
        <f t="shared" si="110"/>
        <v>Mid Career</v>
      </c>
      <c r="N520" s="9">
        <v>45742</v>
      </c>
      <c r="O520" s="1" t="s">
        <v>146</v>
      </c>
      <c r="P520" s="1" t="s">
        <v>147</v>
      </c>
      <c r="Q520" s="4">
        <v>0.95</v>
      </c>
      <c r="R520" s="13">
        <f t="shared" si="111"/>
        <v>95</v>
      </c>
      <c r="S520" s="6">
        <f t="shared" si="105"/>
        <v>0.95</v>
      </c>
      <c r="T520" s="1" t="s">
        <v>21</v>
      </c>
      <c r="U520" s="1">
        <f t="shared" si="112"/>
        <v>1.5</v>
      </c>
      <c r="V520" s="1">
        <f t="shared" si="113"/>
        <v>66.95</v>
      </c>
      <c r="W520" s="10" t="str">
        <f t="shared" si="114"/>
        <v>Medium</v>
      </c>
      <c r="X520" s="1" t="s">
        <v>22</v>
      </c>
      <c r="Y520" s="1" t="str">
        <f t="shared" si="115"/>
        <v>No</v>
      </c>
      <c r="Z520" s="14">
        <v>4</v>
      </c>
      <c r="AA520" s="18">
        <f t="shared" si="116"/>
        <v>4</v>
      </c>
      <c r="AB520" s="18" t="str">
        <f t="shared" si="117"/>
        <v>No</v>
      </c>
      <c r="AC520" s="9" t="s">
        <v>2083</v>
      </c>
      <c r="AD520">
        <f>IF(AC520="",0,LEN(AC520)-LEN(SUBSTITUTE(AC520,",",""))+1)</f>
        <v>8</v>
      </c>
    </row>
    <row r="521" spans="1:30" ht="12.5" x14ac:dyDescent="0.25">
      <c r="A521" s="1" t="s">
        <v>2084</v>
      </c>
      <c r="B521" s="1" t="s">
        <v>2085</v>
      </c>
      <c r="C521" s="1" t="str">
        <v>Rebecca Hansen</v>
      </c>
      <c r="D521" s="1" t="s">
        <v>2086</v>
      </c>
      <c r="E521" s="1" t="str">
        <v>estevens@fuentes.info</v>
      </c>
      <c r="F521" t="str">
        <f t="shared" si="106"/>
        <v>Valid</v>
      </c>
      <c r="G521" s="1" t="s">
        <v>27</v>
      </c>
      <c r="H521" s="1" t="str">
        <f t="shared" si="107"/>
        <v>Male</v>
      </c>
      <c r="I521" s="1" t="s">
        <v>51</v>
      </c>
      <c r="J521" t="str">
        <f t="shared" si="108"/>
        <v>UK</v>
      </c>
      <c r="K521" s="14">
        <v>0</v>
      </c>
      <c r="L521" s="1">
        <f t="shared" si="109"/>
        <v>19</v>
      </c>
      <c r="M521" s="1" t="str">
        <f t="shared" si="110"/>
        <v>Student</v>
      </c>
      <c r="N521" s="9">
        <v>44817</v>
      </c>
      <c r="O521" s="1" t="s">
        <v>235</v>
      </c>
      <c r="P521" s="1" t="s">
        <v>147</v>
      </c>
      <c r="Q521" s="4">
        <v>0.08</v>
      </c>
      <c r="R521" s="13">
        <f t="shared" si="111"/>
        <v>8</v>
      </c>
      <c r="S521" s="6">
        <f t="shared" si="105"/>
        <v>0.08</v>
      </c>
      <c r="T521" s="1" t="s">
        <v>64</v>
      </c>
      <c r="U521" s="1">
        <f t="shared" si="112"/>
        <v>2</v>
      </c>
      <c r="V521" s="1">
        <f t="shared" si="113"/>
        <v>6.1999999999999993</v>
      </c>
      <c r="W521" s="10" t="str">
        <f t="shared" si="114"/>
        <v>Low</v>
      </c>
      <c r="X521" s="1" t="s">
        <v>38</v>
      </c>
      <c r="Y521" s="1" t="str">
        <f t="shared" si="115"/>
        <v>No</v>
      </c>
      <c r="AA521" s="18" t="str">
        <f t="shared" si="116"/>
        <v>Invalid</v>
      </c>
      <c r="AB521" s="18" t="str">
        <f t="shared" si="117"/>
        <v>No</v>
      </c>
      <c r="AC521" s="9" t="s">
        <v>2087</v>
      </c>
      <c r="AD521">
        <f>IF(AC521="",0,LEN(AC521)-LEN(SUBSTITUTE(AC521,",",""))+1)</f>
        <v>5</v>
      </c>
    </row>
    <row r="522" spans="1:30" ht="12.5" x14ac:dyDescent="0.25">
      <c r="A522" s="1" t="s">
        <v>2088</v>
      </c>
      <c r="B522" s="1" t="s">
        <v>2089</v>
      </c>
      <c r="C522" s="1" t="str">
        <v>Stacy Harper</v>
      </c>
      <c r="D522" s="1" t="s">
        <v>2090</v>
      </c>
      <c r="E522" s="1" t="str">
        <v>jenniferjohnson@gmail.com</v>
      </c>
      <c r="F522" t="str">
        <f t="shared" si="106"/>
        <v>Valid</v>
      </c>
      <c r="G522" s="1" t="s">
        <v>88</v>
      </c>
      <c r="H522" s="1" t="str">
        <f t="shared" si="107"/>
        <v>Male</v>
      </c>
      <c r="I522" s="1" t="s">
        <v>28</v>
      </c>
      <c r="J522" t="str">
        <f t="shared" si="108"/>
        <v>INDIA</v>
      </c>
      <c r="K522" s="14">
        <v>24</v>
      </c>
      <c r="L522" s="1">
        <f t="shared" si="109"/>
        <v>24</v>
      </c>
      <c r="M522" s="1" t="str">
        <f t="shared" si="110"/>
        <v>Early Career</v>
      </c>
      <c r="N522" s="9">
        <v>45198</v>
      </c>
      <c r="O522" s="1" t="s">
        <v>235</v>
      </c>
      <c r="P522" s="1" t="s">
        <v>147</v>
      </c>
      <c r="Q522" s="4">
        <v>0.39</v>
      </c>
      <c r="R522" s="13">
        <f t="shared" si="111"/>
        <v>39</v>
      </c>
      <c r="S522" s="6">
        <f t="shared" si="105"/>
        <v>0.39</v>
      </c>
      <c r="T522" s="1" t="s">
        <v>21</v>
      </c>
      <c r="U522" s="1">
        <f t="shared" si="112"/>
        <v>1.5</v>
      </c>
      <c r="V522" s="1">
        <f t="shared" si="113"/>
        <v>27.749999999999996</v>
      </c>
      <c r="W522" s="10" t="str">
        <f t="shared" si="114"/>
        <v>Low</v>
      </c>
      <c r="X522" s="1" t="s">
        <v>76</v>
      </c>
      <c r="Y522" s="1" t="str">
        <f t="shared" si="115"/>
        <v>Yes</v>
      </c>
      <c r="Z522" s="14">
        <v>4</v>
      </c>
      <c r="AA522" s="18">
        <f t="shared" si="116"/>
        <v>4</v>
      </c>
      <c r="AB522" s="18" t="str">
        <f t="shared" si="117"/>
        <v>High Performer</v>
      </c>
      <c r="AC522" s="9" t="s">
        <v>2091</v>
      </c>
      <c r="AD522">
        <f>IF(AC522="",0,LEN(AC522)-LEN(SUBSTITUTE(AC522,",",""))+1)</f>
        <v>3</v>
      </c>
    </row>
    <row r="523" spans="1:30" ht="12.5" x14ac:dyDescent="0.25">
      <c r="A523" s="1" t="s">
        <v>2092</v>
      </c>
      <c r="B523" s="1" t="s">
        <v>2093</v>
      </c>
      <c r="C523" s="1" t="str">
        <v>Elizabeth Clark</v>
      </c>
      <c r="D523" s="1" t="s">
        <v>2094</v>
      </c>
      <c r="E523" s="1" t="str">
        <v>yvazquez@jones.biz</v>
      </c>
      <c r="F523" t="str">
        <f t="shared" si="106"/>
        <v>Valid</v>
      </c>
      <c r="G523" s="1" t="s">
        <v>17</v>
      </c>
      <c r="H523" s="1" t="str">
        <f t="shared" si="107"/>
        <v>Female</v>
      </c>
      <c r="I523" s="1" t="s">
        <v>156</v>
      </c>
      <c r="J523" t="str">
        <f t="shared" si="108"/>
        <v>IN</v>
      </c>
      <c r="L523" s="1">
        <f t="shared" si="109"/>
        <v>19</v>
      </c>
      <c r="M523" s="1" t="str">
        <f t="shared" si="110"/>
        <v>Student</v>
      </c>
      <c r="N523" s="9">
        <v>45003</v>
      </c>
      <c r="O523" s="1" t="s">
        <v>52</v>
      </c>
      <c r="P523" s="1" t="s">
        <v>37</v>
      </c>
      <c r="Q523" s="4">
        <v>92</v>
      </c>
      <c r="R523" s="13">
        <f t="shared" si="111"/>
        <v>92</v>
      </c>
      <c r="S523" s="6">
        <f t="shared" si="105"/>
        <v>0.92</v>
      </c>
      <c r="T523" s="1" t="s">
        <v>46</v>
      </c>
      <c r="U523" s="1">
        <f t="shared" si="112"/>
        <v>1</v>
      </c>
      <c r="V523" s="1">
        <f t="shared" si="113"/>
        <v>64.699999999999989</v>
      </c>
      <c r="W523" s="10" t="str">
        <f t="shared" si="114"/>
        <v>Medium</v>
      </c>
      <c r="X523" s="1" t="s">
        <v>38</v>
      </c>
      <c r="Y523" s="1" t="str">
        <f t="shared" si="115"/>
        <v>No</v>
      </c>
      <c r="Z523" s="14">
        <v>4</v>
      </c>
      <c r="AA523" s="18">
        <f t="shared" si="116"/>
        <v>4</v>
      </c>
      <c r="AB523" s="18" t="str">
        <f t="shared" si="117"/>
        <v>No</v>
      </c>
      <c r="AC523" s="9" t="s">
        <v>2095</v>
      </c>
      <c r="AD523">
        <f>IF(AC523="",0,LEN(AC523)-LEN(SUBSTITUTE(AC523,",",""))+1)</f>
        <v>3</v>
      </c>
    </row>
    <row r="524" spans="1:30" ht="12.5" x14ac:dyDescent="0.25">
      <c r="A524" s="1" t="s">
        <v>2096</v>
      </c>
      <c r="B524" s="1" t="s">
        <v>2097</v>
      </c>
      <c r="C524" s="1" t="str">
        <v>Leslie Harrison</v>
      </c>
      <c r="D524" s="1" t="s">
        <v>2098</v>
      </c>
      <c r="E524" s="1" t="str">
        <v>joneselizabeth@gmail.com</v>
      </c>
      <c r="F524" t="str">
        <f t="shared" si="106"/>
        <v>Valid</v>
      </c>
      <c r="G524" s="1" t="s">
        <v>17</v>
      </c>
      <c r="H524" s="1" t="str">
        <f t="shared" si="107"/>
        <v>Female</v>
      </c>
      <c r="I524" s="1" t="s">
        <v>96</v>
      </c>
      <c r="J524" t="str">
        <f t="shared" si="108"/>
        <v>INDIA</v>
      </c>
      <c r="K524" s="14">
        <v>0</v>
      </c>
      <c r="L524" s="1">
        <f t="shared" si="109"/>
        <v>19</v>
      </c>
      <c r="M524" s="1" t="str">
        <f t="shared" si="110"/>
        <v>Student</v>
      </c>
      <c r="N524" s="2">
        <v>44901</v>
      </c>
      <c r="O524" s="1" t="s">
        <v>75</v>
      </c>
      <c r="P524" s="1" t="s">
        <v>37</v>
      </c>
      <c r="Q524" s="4">
        <v>92</v>
      </c>
      <c r="R524" s="13">
        <f t="shared" si="111"/>
        <v>92</v>
      </c>
      <c r="S524" s="6">
        <f t="shared" si="105"/>
        <v>0.92</v>
      </c>
      <c r="T524" s="1" t="s">
        <v>64</v>
      </c>
      <c r="U524" s="1">
        <f t="shared" si="112"/>
        <v>2</v>
      </c>
      <c r="V524" s="1">
        <f t="shared" si="113"/>
        <v>64.999999999999986</v>
      </c>
      <c r="W524" s="10" t="str">
        <f t="shared" si="114"/>
        <v>Medium</v>
      </c>
      <c r="X524" s="1">
        <v>1</v>
      </c>
      <c r="Y524" s="1" t="str">
        <f t="shared" si="115"/>
        <v>Yes</v>
      </c>
      <c r="Z524" s="14">
        <v>6</v>
      </c>
      <c r="AA524" s="18">
        <f t="shared" si="116"/>
        <v>6</v>
      </c>
      <c r="AB524" s="18" t="str">
        <f t="shared" si="117"/>
        <v>High Performer</v>
      </c>
      <c r="AC524" s="9" t="s">
        <v>2099</v>
      </c>
      <c r="AD524">
        <f>IF(AC524="",0,LEN(AC524)-LEN(SUBSTITUTE(AC524,",",""))+1)</f>
        <v>2</v>
      </c>
    </row>
    <row r="525" spans="1:30" ht="12.5" x14ac:dyDescent="0.25">
      <c r="A525" s="1" t="s">
        <v>2100</v>
      </c>
      <c r="B525" s="1" t="s">
        <v>2101</v>
      </c>
      <c r="C525" s="1" t="str">
        <v>Cathy Bell</v>
      </c>
      <c r="D525" s="1" t="s">
        <v>2102</v>
      </c>
      <c r="E525" s="1" t="str">
        <v>meghanmcmahon@bailey.org</v>
      </c>
      <c r="F525" t="str">
        <f t="shared" si="106"/>
        <v>Valid</v>
      </c>
      <c r="G525" s="1" t="s">
        <v>88</v>
      </c>
      <c r="H525" s="1" t="str">
        <f t="shared" si="107"/>
        <v>Male</v>
      </c>
      <c r="I525" s="1" t="s">
        <v>89</v>
      </c>
      <c r="J525" t="str">
        <f t="shared" si="108"/>
        <v>GERMANY</v>
      </c>
      <c r="K525" s="14">
        <v>31</v>
      </c>
      <c r="L525" s="1">
        <f t="shared" si="109"/>
        <v>31</v>
      </c>
      <c r="M525" s="1" t="str">
        <f t="shared" si="110"/>
        <v>Mid Career</v>
      </c>
      <c r="N525" s="9">
        <v>44850</v>
      </c>
      <c r="O525" s="1" t="s">
        <v>52</v>
      </c>
      <c r="P525" s="1" t="s">
        <v>37</v>
      </c>
      <c r="Q525" s="4">
        <v>0.98</v>
      </c>
      <c r="R525" s="13">
        <f t="shared" si="111"/>
        <v>98</v>
      </c>
      <c r="S525" s="6">
        <f t="shared" si="105"/>
        <v>0.98</v>
      </c>
      <c r="T525" s="1" t="s">
        <v>21</v>
      </c>
      <c r="U525" s="1">
        <f t="shared" si="112"/>
        <v>1.5</v>
      </c>
      <c r="V525" s="1">
        <f t="shared" si="113"/>
        <v>69.05</v>
      </c>
      <c r="W525" s="10" t="str">
        <f t="shared" si="114"/>
        <v>Medium</v>
      </c>
      <c r="X525" s="1" t="s">
        <v>22</v>
      </c>
      <c r="Y525" s="1" t="str">
        <f t="shared" si="115"/>
        <v>No</v>
      </c>
      <c r="Z525" s="14">
        <v>6</v>
      </c>
      <c r="AA525" s="18">
        <f t="shared" si="116"/>
        <v>6</v>
      </c>
      <c r="AB525" s="18" t="str">
        <f t="shared" si="117"/>
        <v>No</v>
      </c>
      <c r="AC525" s="9" t="s">
        <v>2103</v>
      </c>
      <c r="AD525">
        <f>IF(AC525="",0,LEN(AC525)-LEN(SUBSTITUTE(AC525,",",""))+1)</f>
        <v>2</v>
      </c>
    </row>
    <row r="526" spans="1:30" ht="12.5" x14ac:dyDescent="0.25">
      <c r="A526" s="1" t="s">
        <v>2104</v>
      </c>
      <c r="B526" s="1" t="s">
        <v>2105</v>
      </c>
      <c r="C526" s="1" t="str">
        <v>Pamela Rice</v>
      </c>
      <c r="D526" s="1" t="s">
        <v>2106</v>
      </c>
      <c r="E526" s="1" t="str">
        <v>george80@garcia.info</v>
      </c>
      <c r="F526" t="str">
        <f t="shared" si="106"/>
        <v>Valid</v>
      </c>
      <c r="G526" s="1" t="s">
        <v>17</v>
      </c>
      <c r="H526" s="1" t="str">
        <f t="shared" si="107"/>
        <v>Female</v>
      </c>
      <c r="I526" s="1" t="s">
        <v>156</v>
      </c>
      <c r="J526" t="str">
        <f t="shared" si="108"/>
        <v>IN</v>
      </c>
      <c r="L526" s="1">
        <f t="shared" si="109"/>
        <v>19</v>
      </c>
      <c r="M526" s="1" t="str">
        <f t="shared" si="110"/>
        <v>Student</v>
      </c>
      <c r="N526" s="9">
        <v>45033</v>
      </c>
      <c r="O526" s="1" t="s">
        <v>170</v>
      </c>
      <c r="P526" s="1" t="s">
        <v>147</v>
      </c>
      <c r="Q526" s="4">
        <v>0.75</v>
      </c>
      <c r="R526" s="13">
        <f t="shared" si="111"/>
        <v>75</v>
      </c>
      <c r="S526" s="6">
        <f t="shared" si="105"/>
        <v>0.75</v>
      </c>
      <c r="T526" s="1" t="s">
        <v>64</v>
      </c>
      <c r="U526" s="1">
        <f t="shared" si="112"/>
        <v>2</v>
      </c>
      <c r="V526" s="1">
        <f t="shared" si="113"/>
        <v>53.1</v>
      </c>
      <c r="W526" s="10" t="str">
        <f t="shared" si="114"/>
        <v>Medium</v>
      </c>
      <c r="X526" s="1" t="s">
        <v>22</v>
      </c>
      <c r="Y526" s="1" t="str">
        <f t="shared" si="115"/>
        <v>No</v>
      </c>
      <c r="Z526" s="14">
        <v>1</v>
      </c>
      <c r="AA526" s="18">
        <f t="shared" si="116"/>
        <v>1</v>
      </c>
      <c r="AB526" s="18" t="str">
        <f t="shared" si="117"/>
        <v>No</v>
      </c>
      <c r="AC526" s="9" t="s">
        <v>2107</v>
      </c>
      <c r="AD526">
        <f>IF(AC526="",0,LEN(AC526)-LEN(SUBSTITUTE(AC526,",",""))+1)</f>
        <v>8</v>
      </c>
    </row>
    <row r="527" spans="1:30" ht="12.5" x14ac:dyDescent="0.25">
      <c r="A527" s="1" t="s">
        <v>2108</v>
      </c>
      <c r="B527" s="1" t="s">
        <v>2109</v>
      </c>
      <c r="C527" s="1" t="str">
        <v>Ashley Davenport</v>
      </c>
      <c r="D527" s="1" t="s">
        <v>2110</v>
      </c>
      <c r="E527" s="1" t="str">
        <v>olewis@yahoo.com</v>
      </c>
      <c r="F527" t="str">
        <f t="shared" si="106"/>
        <v>Valid</v>
      </c>
      <c r="G527" s="1" t="s">
        <v>95</v>
      </c>
      <c r="H527" s="1" t="str">
        <f t="shared" si="107"/>
        <v>Male</v>
      </c>
      <c r="I527" s="1" t="s">
        <v>28</v>
      </c>
      <c r="J527" t="str">
        <f t="shared" si="108"/>
        <v>INDIA</v>
      </c>
      <c r="K527" s="14">
        <v>0</v>
      </c>
      <c r="L527" s="1">
        <f t="shared" si="109"/>
        <v>19</v>
      </c>
      <c r="M527" s="1" t="str">
        <f t="shared" si="110"/>
        <v>Student</v>
      </c>
      <c r="N527" s="9">
        <v>45227</v>
      </c>
      <c r="O527" s="1" t="s">
        <v>36</v>
      </c>
      <c r="P527" s="1" t="s">
        <v>37</v>
      </c>
      <c r="Q527" s="4">
        <v>39</v>
      </c>
      <c r="R527" s="13">
        <f t="shared" si="111"/>
        <v>39</v>
      </c>
      <c r="S527" s="6">
        <f t="shared" si="105"/>
        <v>0.39</v>
      </c>
      <c r="T527" s="1" t="s">
        <v>64</v>
      </c>
      <c r="U527" s="1">
        <f t="shared" si="112"/>
        <v>2</v>
      </c>
      <c r="V527" s="1">
        <f t="shared" si="113"/>
        <v>27.9</v>
      </c>
      <c r="W527" s="10" t="str">
        <f t="shared" si="114"/>
        <v>Low</v>
      </c>
      <c r="X527" s="1">
        <v>1</v>
      </c>
      <c r="Y527" s="1" t="str">
        <f t="shared" si="115"/>
        <v>Yes</v>
      </c>
      <c r="Z527" s="14">
        <v>1</v>
      </c>
      <c r="AA527" s="18">
        <f t="shared" si="116"/>
        <v>1</v>
      </c>
      <c r="AB527" s="18" t="str">
        <f t="shared" si="117"/>
        <v>No</v>
      </c>
      <c r="AC527" s="9" t="s">
        <v>2111</v>
      </c>
      <c r="AD527">
        <f>IF(AC527="",0,LEN(AC527)-LEN(SUBSTITUTE(AC527,",",""))+1)</f>
        <v>6</v>
      </c>
    </row>
    <row r="528" spans="1:30" ht="12.5" x14ac:dyDescent="0.25">
      <c r="A528" s="1" t="s">
        <v>2112</v>
      </c>
      <c r="B528" s="1" t="s">
        <v>2113</v>
      </c>
      <c r="C528" s="1" t="str">
        <v>Joseph Simpson</v>
      </c>
      <c r="D528" s="1" t="s">
        <v>127</v>
      </c>
      <c r="E528" s="1" t="str">
        <v>invalid-email</v>
      </c>
      <c r="F528" t="str">
        <f t="shared" si="106"/>
        <v>Invalid</v>
      </c>
      <c r="G528" s="1" t="s">
        <v>88</v>
      </c>
      <c r="H528" s="1" t="str">
        <f t="shared" si="107"/>
        <v>Male</v>
      </c>
      <c r="I528" s="1" t="s">
        <v>44</v>
      </c>
      <c r="J528" t="str">
        <f t="shared" si="108"/>
        <v>CANADA</v>
      </c>
      <c r="K528" s="14">
        <v>27</v>
      </c>
      <c r="L528" s="1">
        <f t="shared" si="109"/>
        <v>27</v>
      </c>
      <c r="M528" s="1" t="str">
        <f t="shared" si="110"/>
        <v>Early Career</v>
      </c>
      <c r="N528" s="9">
        <v>44833</v>
      </c>
      <c r="O528" s="1" t="s">
        <v>58</v>
      </c>
      <c r="P528" s="1" t="s">
        <v>59</v>
      </c>
      <c r="Q528" s="4">
        <v>0.3</v>
      </c>
      <c r="R528" s="13">
        <f t="shared" si="111"/>
        <v>30</v>
      </c>
      <c r="S528" s="6">
        <f t="shared" si="105"/>
        <v>0.3</v>
      </c>
      <c r="T528" s="1" t="s">
        <v>46</v>
      </c>
      <c r="U528" s="1">
        <f t="shared" si="112"/>
        <v>1</v>
      </c>
      <c r="V528" s="1">
        <f t="shared" si="113"/>
        <v>21.3</v>
      </c>
      <c r="W528" s="10" t="str">
        <f t="shared" si="114"/>
        <v>Low</v>
      </c>
      <c r="X528" s="1" t="s">
        <v>22</v>
      </c>
      <c r="Y528" s="1" t="str">
        <f t="shared" si="115"/>
        <v>No</v>
      </c>
      <c r="Z528" s="14">
        <v>6</v>
      </c>
      <c r="AA528" s="18">
        <f t="shared" si="116"/>
        <v>6</v>
      </c>
      <c r="AB528" s="18" t="str">
        <f t="shared" si="117"/>
        <v>No</v>
      </c>
      <c r="AC528" s="9" t="s">
        <v>2114</v>
      </c>
      <c r="AD528">
        <f>IF(AC528="",0,LEN(AC528)-LEN(SUBSTITUTE(AC528,",",""))+1)</f>
        <v>6</v>
      </c>
    </row>
    <row r="529" spans="1:30" ht="12.5" x14ac:dyDescent="0.25">
      <c r="A529" s="1" t="s">
        <v>2115</v>
      </c>
      <c r="B529" s="1" t="s">
        <v>2116</v>
      </c>
      <c r="C529" s="1" t="str">
        <v>Garrett Wilson</v>
      </c>
      <c r="D529" s="1" t="s">
        <v>127</v>
      </c>
      <c r="E529" s="1" t="str">
        <v>invalid-email</v>
      </c>
      <c r="F529" t="str">
        <f t="shared" si="106"/>
        <v>Invalid</v>
      </c>
      <c r="G529" s="1" t="s">
        <v>17</v>
      </c>
      <c r="H529" s="1" t="str">
        <f t="shared" si="107"/>
        <v>Female</v>
      </c>
      <c r="I529" s="1" t="s">
        <v>136</v>
      </c>
      <c r="J529" t="str">
        <f t="shared" si="108"/>
        <v>UK</v>
      </c>
      <c r="K529" s="14">
        <v>0</v>
      </c>
      <c r="L529" s="1">
        <f t="shared" si="109"/>
        <v>19</v>
      </c>
      <c r="M529" s="1" t="str">
        <f t="shared" si="110"/>
        <v>Student</v>
      </c>
      <c r="N529" s="9">
        <v>45219</v>
      </c>
      <c r="O529" s="1" t="s">
        <v>36</v>
      </c>
      <c r="P529" s="1" t="s">
        <v>37</v>
      </c>
      <c r="Q529" s="4">
        <v>0.98</v>
      </c>
      <c r="R529" s="13">
        <f t="shared" si="111"/>
        <v>98</v>
      </c>
      <c r="S529" s="6">
        <f t="shared" si="105"/>
        <v>0.98</v>
      </c>
      <c r="T529" s="1" t="s">
        <v>64</v>
      </c>
      <c r="U529" s="1">
        <f t="shared" si="112"/>
        <v>2</v>
      </c>
      <c r="V529" s="1">
        <f t="shared" si="113"/>
        <v>69.199999999999989</v>
      </c>
      <c r="W529" s="10" t="str">
        <f t="shared" si="114"/>
        <v>Medium</v>
      </c>
      <c r="X529" s="1" t="s">
        <v>32</v>
      </c>
      <c r="Y529" s="1" t="str">
        <f t="shared" si="115"/>
        <v>Yes</v>
      </c>
      <c r="AA529" s="18" t="str">
        <f t="shared" si="116"/>
        <v>Invalid</v>
      </c>
      <c r="AB529" s="18" t="str">
        <f t="shared" si="117"/>
        <v>High Performer</v>
      </c>
      <c r="AC529" s="9" t="s">
        <v>2117</v>
      </c>
      <c r="AD529">
        <f>IF(AC529="",0,LEN(AC529)-LEN(SUBSTITUTE(AC529,",",""))+1)</f>
        <v>3</v>
      </c>
    </row>
    <row r="530" spans="1:30" ht="12.5" x14ac:dyDescent="0.25">
      <c r="A530" s="1" t="s">
        <v>2118</v>
      </c>
      <c r="B530" s="1" t="s">
        <v>2119</v>
      </c>
      <c r="C530" s="1" t="str">
        <v>Sarah Perez</v>
      </c>
      <c r="D530" s="1" t="s">
        <v>2120</v>
      </c>
      <c r="E530" s="1" t="str">
        <v>traci63@gmail.com</v>
      </c>
      <c r="F530" t="str">
        <f t="shared" si="106"/>
        <v>Valid</v>
      </c>
      <c r="G530" s="1" t="s">
        <v>57</v>
      </c>
      <c r="H530" s="1" t="str">
        <f t="shared" si="107"/>
        <v>Female</v>
      </c>
      <c r="I530" s="1" t="s">
        <v>136</v>
      </c>
      <c r="J530" t="str">
        <f t="shared" si="108"/>
        <v>UK</v>
      </c>
      <c r="K530" s="14">
        <v>40</v>
      </c>
      <c r="L530" s="1">
        <f t="shared" si="109"/>
        <v>40</v>
      </c>
      <c r="M530" s="1" t="str">
        <f t="shared" si="110"/>
        <v>Mid Career</v>
      </c>
      <c r="N530" s="9">
        <v>45098</v>
      </c>
      <c r="O530" s="1" t="s">
        <v>158</v>
      </c>
      <c r="P530" s="1" t="s">
        <v>59</v>
      </c>
      <c r="Q530" s="4">
        <v>0.08</v>
      </c>
      <c r="R530" s="13">
        <f t="shared" si="111"/>
        <v>8</v>
      </c>
      <c r="S530" s="6">
        <f t="shared" si="105"/>
        <v>0.08</v>
      </c>
      <c r="T530" s="1" t="s">
        <v>46</v>
      </c>
      <c r="U530" s="1">
        <f t="shared" si="112"/>
        <v>1</v>
      </c>
      <c r="V530" s="1">
        <f t="shared" si="113"/>
        <v>5.8999999999999995</v>
      </c>
      <c r="W530" s="10" t="str">
        <f t="shared" si="114"/>
        <v>Low</v>
      </c>
      <c r="X530" s="1">
        <v>0</v>
      </c>
      <c r="Y530" s="1" t="str">
        <f t="shared" si="115"/>
        <v>No</v>
      </c>
      <c r="Z530" s="14">
        <v>3</v>
      </c>
      <c r="AA530" s="18">
        <f t="shared" si="116"/>
        <v>3</v>
      </c>
      <c r="AB530" s="18" t="str">
        <f t="shared" si="117"/>
        <v>No</v>
      </c>
      <c r="AC530" s="9" t="s">
        <v>2121</v>
      </c>
      <c r="AD530">
        <f>IF(AC530="",0,LEN(AC530)-LEN(SUBSTITUTE(AC530,",",""))+1)</f>
        <v>3</v>
      </c>
    </row>
    <row r="531" spans="1:30" ht="12.5" x14ac:dyDescent="0.25">
      <c r="A531" s="1" t="s">
        <v>2122</v>
      </c>
      <c r="B531" s="1" t="s">
        <v>2123</v>
      </c>
      <c r="C531" s="1" t="str">
        <v>Michael Powers</v>
      </c>
      <c r="D531" s="1" t="s">
        <v>2124</v>
      </c>
      <c r="E531" s="1" t="str">
        <v>rmills@gmail.com</v>
      </c>
      <c r="F531" t="str">
        <f t="shared" si="106"/>
        <v>Valid</v>
      </c>
      <c r="G531" s="1" t="s">
        <v>17</v>
      </c>
      <c r="H531" s="1" t="str">
        <f t="shared" si="107"/>
        <v>Female</v>
      </c>
      <c r="I531" s="1" t="s">
        <v>74</v>
      </c>
      <c r="J531" t="str">
        <f t="shared" si="108"/>
        <v>USA</v>
      </c>
      <c r="K531" s="14">
        <v>23</v>
      </c>
      <c r="L531" s="1">
        <f t="shared" si="109"/>
        <v>23</v>
      </c>
      <c r="M531" s="1" t="str">
        <f t="shared" si="110"/>
        <v>Early Career</v>
      </c>
      <c r="N531" s="9">
        <v>45396</v>
      </c>
      <c r="O531" s="1" t="s">
        <v>146</v>
      </c>
      <c r="P531" s="1" t="s">
        <v>147</v>
      </c>
      <c r="Q531" s="4">
        <v>0.51</v>
      </c>
      <c r="R531" s="13">
        <f t="shared" si="111"/>
        <v>51</v>
      </c>
      <c r="S531" s="6">
        <f t="shared" si="105"/>
        <v>0.51</v>
      </c>
      <c r="T531" s="1" t="s">
        <v>46</v>
      </c>
      <c r="U531" s="1">
        <f t="shared" si="112"/>
        <v>1</v>
      </c>
      <c r="V531" s="1">
        <f t="shared" si="113"/>
        <v>35.999999999999993</v>
      </c>
      <c r="W531" s="10" t="str">
        <f t="shared" si="114"/>
        <v>Low</v>
      </c>
      <c r="X531" s="1">
        <v>0</v>
      </c>
      <c r="Y531" s="1" t="str">
        <f t="shared" si="115"/>
        <v>No</v>
      </c>
      <c r="Z531" s="14">
        <v>2</v>
      </c>
      <c r="AA531" s="18">
        <f t="shared" si="116"/>
        <v>2</v>
      </c>
      <c r="AB531" s="18" t="str">
        <f t="shared" si="117"/>
        <v>No</v>
      </c>
      <c r="AC531" s="9" t="s">
        <v>2125</v>
      </c>
      <c r="AD531">
        <f>IF(AC531="",0,LEN(AC531)-LEN(SUBSTITUTE(AC531,",",""))+1)</f>
        <v>8</v>
      </c>
    </row>
    <row r="532" spans="1:30" ht="12.5" x14ac:dyDescent="0.25">
      <c r="A532" s="1" t="s">
        <v>2126</v>
      </c>
      <c r="B532" s="1" t="s">
        <v>2127</v>
      </c>
      <c r="C532" s="1" t="str">
        <v>Ashley Schaefer</v>
      </c>
      <c r="D532" s="1" t="s">
        <v>2128</v>
      </c>
      <c r="E532" s="1" t="str">
        <v>coxjames@larson.com</v>
      </c>
      <c r="F532" t="str">
        <f t="shared" si="106"/>
        <v>Valid</v>
      </c>
      <c r="G532" s="1" t="s">
        <v>57</v>
      </c>
      <c r="H532" s="1" t="str">
        <f t="shared" si="107"/>
        <v>Female</v>
      </c>
      <c r="I532" s="1" t="s">
        <v>44</v>
      </c>
      <c r="J532" t="str">
        <f t="shared" si="108"/>
        <v>CANADA</v>
      </c>
      <c r="K532" s="14">
        <v>24</v>
      </c>
      <c r="L532" s="1">
        <f t="shared" si="109"/>
        <v>24</v>
      </c>
      <c r="M532" s="1" t="str">
        <f t="shared" si="110"/>
        <v>Early Career</v>
      </c>
      <c r="N532" s="2">
        <v>44814</v>
      </c>
      <c r="O532" s="1" t="s">
        <v>146</v>
      </c>
      <c r="P532" s="1" t="s">
        <v>147</v>
      </c>
      <c r="Q532" s="4">
        <v>0.94</v>
      </c>
      <c r="R532" s="13">
        <f t="shared" si="111"/>
        <v>94</v>
      </c>
      <c r="S532" s="6">
        <f t="shared" si="105"/>
        <v>0.94</v>
      </c>
      <c r="T532" s="1">
        <v>2</v>
      </c>
      <c r="U532" s="1">
        <f t="shared" si="112"/>
        <v>2</v>
      </c>
      <c r="V532" s="1">
        <f t="shared" si="113"/>
        <v>66.399999999999991</v>
      </c>
      <c r="W532" s="10" t="str">
        <f t="shared" si="114"/>
        <v>Medium</v>
      </c>
      <c r="X532" s="1" t="s">
        <v>22</v>
      </c>
      <c r="Y532" s="1" t="str">
        <f t="shared" si="115"/>
        <v>No</v>
      </c>
      <c r="Z532" s="14">
        <v>2</v>
      </c>
      <c r="AA532" s="18">
        <f t="shared" si="116"/>
        <v>2</v>
      </c>
      <c r="AB532" s="18" t="str">
        <f t="shared" si="117"/>
        <v>No</v>
      </c>
      <c r="AC532" s="9" t="s">
        <v>2129</v>
      </c>
      <c r="AD532">
        <f>IF(AC532="",0,LEN(AC532)-LEN(SUBSTITUTE(AC532,",",""))+1)</f>
        <v>7</v>
      </c>
    </row>
    <row r="533" spans="1:30" ht="12.5" x14ac:dyDescent="0.25">
      <c r="A533" s="1" t="s">
        <v>2130</v>
      </c>
      <c r="B533" s="1" t="s">
        <v>2131</v>
      </c>
      <c r="C533" s="1" t="str">
        <v>Micheal Perkins</v>
      </c>
      <c r="D533" s="1" t="s">
        <v>2132</v>
      </c>
      <c r="E533" s="1" t="str">
        <v>qkelly@hotmail.com</v>
      </c>
      <c r="F533" t="str">
        <f t="shared" si="106"/>
        <v>Valid</v>
      </c>
      <c r="G533" s="1" t="s">
        <v>17</v>
      </c>
      <c r="H533" s="1" t="str">
        <f t="shared" si="107"/>
        <v>Female</v>
      </c>
      <c r="I533" s="1" t="s">
        <v>136</v>
      </c>
      <c r="J533" t="str">
        <f t="shared" si="108"/>
        <v>UK</v>
      </c>
      <c r="L533" s="1">
        <f t="shared" si="109"/>
        <v>19</v>
      </c>
      <c r="M533" s="1" t="str">
        <f t="shared" si="110"/>
        <v>Student</v>
      </c>
      <c r="N533" s="2">
        <v>44989</v>
      </c>
      <c r="O533" s="1" t="s">
        <v>58</v>
      </c>
      <c r="P533" s="1" t="s">
        <v>59</v>
      </c>
      <c r="Q533" s="4">
        <v>71</v>
      </c>
      <c r="R533" s="13">
        <f t="shared" si="111"/>
        <v>71</v>
      </c>
      <c r="S533" s="6">
        <f t="shared" si="105"/>
        <v>0.71</v>
      </c>
      <c r="T533" s="1">
        <v>1.5</v>
      </c>
      <c r="U533" s="1">
        <f t="shared" si="112"/>
        <v>1.5</v>
      </c>
      <c r="V533" s="1">
        <f t="shared" si="113"/>
        <v>50.15</v>
      </c>
      <c r="W533" s="10" t="str">
        <f t="shared" si="114"/>
        <v>Medium</v>
      </c>
      <c r="X533" s="1" t="s">
        <v>22</v>
      </c>
      <c r="Y533" s="1" t="str">
        <f t="shared" si="115"/>
        <v>No</v>
      </c>
      <c r="AA533" s="18" t="str">
        <f t="shared" si="116"/>
        <v>Invalid</v>
      </c>
      <c r="AB533" s="18" t="str">
        <f t="shared" si="117"/>
        <v>No</v>
      </c>
      <c r="AC533" s="9" t="s">
        <v>1620</v>
      </c>
      <c r="AD533">
        <f>IF(AC533="",0,LEN(AC533)-LEN(SUBSTITUTE(AC533,",",""))+1)</f>
        <v>4</v>
      </c>
    </row>
    <row r="534" spans="1:30" ht="12.5" x14ac:dyDescent="0.25">
      <c r="A534" s="1" t="s">
        <v>2133</v>
      </c>
      <c r="B534" s="1" t="s">
        <v>2134</v>
      </c>
      <c r="C534" s="1" t="str">
        <v>Jesse Martinez</v>
      </c>
      <c r="D534" s="1" t="s">
        <v>2135</v>
      </c>
      <c r="E534" s="1" t="str">
        <v>ihall@gmail.com</v>
      </c>
      <c r="F534" t="str">
        <f t="shared" si="106"/>
        <v>Valid</v>
      </c>
      <c r="G534" s="1" t="s">
        <v>95</v>
      </c>
      <c r="H534" s="1" t="str">
        <f t="shared" si="107"/>
        <v>Male</v>
      </c>
      <c r="I534" s="1" t="s">
        <v>96</v>
      </c>
      <c r="J534" t="str">
        <f t="shared" si="108"/>
        <v>INDIA</v>
      </c>
      <c r="L534" s="1">
        <f t="shared" si="109"/>
        <v>19</v>
      </c>
      <c r="M534" s="1" t="str">
        <f t="shared" si="110"/>
        <v>Student</v>
      </c>
      <c r="N534" s="9">
        <v>45286</v>
      </c>
      <c r="O534" s="1" t="s">
        <v>301</v>
      </c>
      <c r="P534" s="1" t="s">
        <v>20</v>
      </c>
      <c r="Q534" s="4">
        <v>0.11</v>
      </c>
      <c r="R534" s="13">
        <f t="shared" si="111"/>
        <v>11</v>
      </c>
      <c r="S534" s="6">
        <f t="shared" si="105"/>
        <v>0.11</v>
      </c>
      <c r="T534" s="1">
        <v>45</v>
      </c>
      <c r="U534" s="1">
        <f t="shared" si="112"/>
        <v>45</v>
      </c>
      <c r="V534" s="1">
        <f t="shared" si="113"/>
        <v>21.2</v>
      </c>
      <c r="W534" s="10" t="str">
        <f t="shared" si="114"/>
        <v>Low</v>
      </c>
      <c r="X534" s="1" t="s">
        <v>38</v>
      </c>
      <c r="Y534" s="1" t="str">
        <f t="shared" si="115"/>
        <v>No</v>
      </c>
      <c r="Z534" s="14">
        <v>3</v>
      </c>
      <c r="AA534" s="18">
        <f t="shared" si="116"/>
        <v>3</v>
      </c>
      <c r="AB534" s="18" t="str">
        <f t="shared" si="117"/>
        <v>No</v>
      </c>
      <c r="AC534" s="9" t="s">
        <v>2136</v>
      </c>
      <c r="AD534">
        <f>IF(AC534="",0,LEN(AC534)-LEN(SUBSTITUTE(AC534,",",""))+1)</f>
        <v>7</v>
      </c>
    </row>
    <row r="535" spans="1:30" ht="12.5" x14ac:dyDescent="0.25">
      <c r="A535" s="1" t="s">
        <v>2137</v>
      </c>
      <c r="B535" s="1" t="s">
        <v>2138</v>
      </c>
      <c r="C535" s="1" t="str">
        <v>Mr. Christopher Jacobs Md</v>
      </c>
      <c r="D535" s="1" t="s">
        <v>2139</v>
      </c>
      <c r="E535" s="1" t="str">
        <v>wolfdonna@hotmail.com</v>
      </c>
      <c r="F535" t="str">
        <f t="shared" si="106"/>
        <v>Valid</v>
      </c>
      <c r="G535" s="1" t="s">
        <v>109</v>
      </c>
      <c r="H535" s="1" t="str">
        <f t="shared" si="107"/>
        <v>Male</v>
      </c>
      <c r="I535" s="1" t="s">
        <v>18</v>
      </c>
      <c r="J535" t="str">
        <f t="shared" si="108"/>
        <v>US</v>
      </c>
      <c r="K535" s="14">
        <v>45</v>
      </c>
      <c r="L535" s="1">
        <f t="shared" si="109"/>
        <v>45</v>
      </c>
      <c r="M535" s="1" t="str">
        <f t="shared" si="110"/>
        <v>Senior</v>
      </c>
      <c r="N535" s="2">
        <v>44782</v>
      </c>
      <c r="O535" s="1" t="s">
        <v>19</v>
      </c>
      <c r="P535" s="1" t="s">
        <v>20</v>
      </c>
      <c r="Q535" s="4">
        <v>100</v>
      </c>
      <c r="R535" s="13">
        <f t="shared" si="111"/>
        <v>100</v>
      </c>
      <c r="S535" s="6">
        <f t="shared" si="105"/>
        <v>1</v>
      </c>
      <c r="T535" s="1" t="s">
        <v>21</v>
      </c>
      <c r="U535" s="1">
        <f t="shared" si="112"/>
        <v>1.5</v>
      </c>
      <c r="V535" s="1">
        <f t="shared" si="113"/>
        <v>70.45</v>
      </c>
      <c r="W535" s="10" t="str">
        <f t="shared" si="114"/>
        <v>Medium</v>
      </c>
      <c r="X535" s="1" t="s">
        <v>32</v>
      </c>
      <c r="Y535" s="1" t="str">
        <f t="shared" si="115"/>
        <v>Yes</v>
      </c>
      <c r="Z535" s="14">
        <v>3</v>
      </c>
      <c r="AA535" s="18">
        <f t="shared" si="116"/>
        <v>3</v>
      </c>
      <c r="AB535" s="18" t="str">
        <f t="shared" si="117"/>
        <v>No</v>
      </c>
      <c r="AC535" s="9" t="s">
        <v>2140</v>
      </c>
      <c r="AD535">
        <f>IF(AC535="",0,LEN(AC535)-LEN(SUBSTITUTE(AC535,",",""))+1)</f>
        <v>4</v>
      </c>
    </row>
    <row r="536" spans="1:30" ht="12.5" x14ac:dyDescent="0.25">
      <c r="A536" s="1" t="s">
        <v>2141</v>
      </c>
      <c r="B536" s="1" t="s">
        <v>2142</v>
      </c>
      <c r="C536" s="1" t="str">
        <v>Katherine Green</v>
      </c>
      <c r="D536" s="1" t="s">
        <v>2143</v>
      </c>
      <c r="E536" s="1" t="str">
        <v>cisnerosanthony@yahoo.com</v>
      </c>
      <c r="F536" t="str">
        <f t="shared" si="106"/>
        <v>Valid</v>
      </c>
      <c r="G536" s="1" t="s">
        <v>119</v>
      </c>
      <c r="H536" s="1" t="str">
        <f t="shared" si="107"/>
        <v>Female</v>
      </c>
      <c r="I536" s="1" t="s">
        <v>89</v>
      </c>
      <c r="J536" t="str">
        <f t="shared" si="108"/>
        <v>GERMANY</v>
      </c>
      <c r="K536" s="14">
        <v>0</v>
      </c>
      <c r="L536" s="1">
        <f t="shared" si="109"/>
        <v>19</v>
      </c>
      <c r="M536" s="1" t="str">
        <f t="shared" si="110"/>
        <v>Student</v>
      </c>
      <c r="N536" s="2">
        <v>45570</v>
      </c>
      <c r="O536" s="1" t="s">
        <v>170</v>
      </c>
      <c r="P536" s="1" t="s">
        <v>147</v>
      </c>
      <c r="Q536" s="4">
        <v>3</v>
      </c>
      <c r="R536" s="13">
        <f t="shared" si="111"/>
        <v>3</v>
      </c>
      <c r="S536" s="6">
        <f t="shared" si="105"/>
        <v>0.03</v>
      </c>
      <c r="T536" s="1" t="s">
        <v>64</v>
      </c>
      <c r="U536" s="1">
        <f t="shared" si="112"/>
        <v>2</v>
      </c>
      <c r="V536" s="1">
        <f t="shared" si="113"/>
        <v>2.6999999999999997</v>
      </c>
      <c r="W536" s="10" t="str">
        <f t="shared" si="114"/>
        <v>Low</v>
      </c>
      <c r="X536" s="1" t="s">
        <v>38</v>
      </c>
      <c r="Y536" s="1" t="str">
        <f t="shared" si="115"/>
        <v>No</v>
      </c>
      <c r="Z536" s="14">
        <v>3</v>
      </c>
      <c r="AA536" s="18">
        <f t="shared" si="116"/>
        <v>3</v>
      </c>
      <c r="AB536" s="18" t="str">
        <f t="shared" si="117"/>
        <v>No</v>
      </c>
      <c r="AC536" s="9" t="s">
        <v>2144</v>
      </c>
      <c r="AD536">
        <f>IF(AC536="",0,LEN(AC536)-LEN(SUBSTITUTE(AC536,",",""))+1)</f>
        <v>3</v>
      </c>
    </row>
    <row r="537" spans="1:30" ht="12.5" x14ac:dyDescent="0.25">
      <c r="A537" s="1" t="s">
        <v>2145</v>
      </c>
      <c r="B537" s="1" t="s">
        <v>2146</v>
      </c>
      <c r="C537" s="1" t="str">
        <v>Joe Johnson</v>
      </c>
      <c r="D537" s="1" t="s">
        <v>2147</v>
      </c>
      <c r="E537" s="1" t="str">
        <v>travistaylor@hotmail.com</v>
      </c>
      <c r="F537" t="str">
        <f t="shared" si="106"/>
        <v>Valid</v>
      </c>
      <c r="G537" s="1" t="s">
        <v>88</v>
      </c>
      <c r="H537" s="1" t="str">
        <f t="shared" si="107"/>
        <v>Male</v>
      </c>
      <c r="I537" s="1" t="s">
        <v>44</v>
      </c>
      <c r="J537" t="str">
        <f t="shared" si="108"/>
        <v>CANADA</v>
      </c>
      <c r="K537" s="14">
        <v>20</v>
      </c>
      <c r="L537" s="1">
        <f t="shared" si="109"/>
        <v>20</v>
      </c>
      <c r="M537" s="1" t="str">
        <f t="shared" si="110"/>
        <v>Student</v>
      </c>
      <c r="N537" s="2">
        <v>44814</v>
      </c>
      <c r="O537" s="1" t="s">
        <v>19</v>
      </c>
      <c r="P537" s="1" t="s">
        <v>20</v>
      </c>
      <c r="Q537" s="4">
        <v>88</v>
      </c>
      <c r="R537" s="13">
        <f t="shared" si="111"/>
        <v>88</v>
      </c>
      <c r="S537" s="6">
        <f t="shared" si="105"/>
        <v>0.88</v>
      </c>
      <c r="T537" s="1" t="s">
        <v>21</v>
      </c>
      <c r="U537" s="1">
        <f t="shared" si="112"/>
        <v>1.5</v>
      </c>
      <c r="V537" s="1">
        <f t="shared" si="113"/>
        <v>62.05</v>
      </c>
      <c r="W537" s="10" t="str">
        <f t="shared" si="114"/>
        <v>Medium</v>
      </c>
      <c r="X537" s="1" t="s">
        <v>76</v>
      </c>
      <c r="Y537" s="1" t="str">
        <f t="shared" si="115"/>
        <v>Yes</v>
      </c>
      <c r="Z537" s="14">
        <v>4</v>
      </c>
      <c r="AA537" s="18">
        <f t="shared" si="116"/>
        <v>4</v>
      </c>
      <c r="AB537" s="18" t="str">
        <f t="shared" si="117"/>
        <v>High Performer</v>
      </c>
      <c r="AC537" s="9" t="s">
        <v>2148</v>
      </c>
      <c r="AD537">
        <f>IF(AC537="",0,LEN(AC537)-LEN(SUBSTITUTE(AC537,",",""))+1)</f>
        <v>8</v>
      </c>
    </row>
    <row r="538" spans="1:30" ht="12.5" x14ac:dyDescent="0.25">
      <c r="A538" s="1" t="s">
        <v>2149</v>
      </c>
      <c r="B538" s="1" t="s">
        <v>2150</v>
      </c>
      <c r="C538" s="1" t="str">
        <v>Mary Jennings</v>
      </c>
      <c r="D538" s="1" t="s">
        <v>2151</v>
      </c>
      <c r="E538" s="1" t="str">
        <v>khart@hotmail.com</v>
      </c>
      <c r="F538" t="str">
        <f t="shared" si="106"/>
        <v>Valid</v>
      </c>
      <c r="G538" s="1" t="s">
        <v>95</v>
      </c>
      <c r="H538" s="1" t="str">
        <f t="shared" si="107"/>
        <v>Male</v>
      </c>
      <c r="I538" s="1" t="s">
        <v>28</v>
      </c>
      <c r="J538" t="str">
        <f t="shared" si="108"/>
        <v>INDIA</v>
      </c>
      <c r="K538" s="14">
        <v>0</v>
      </c>
      <c r="L538" s="1">
        <f t="shared" si="109"/>
        <v>19</v>
      </c>
      <c r="M538" s="1" t="str">
        <f t="shared" si="110"/>
        <v>Student</v>
      </c>
      <c r="N538" s="2">
        <v>44969</v>
      </c>
      <c r="O538" s="1" t="s">
        <v>36</v>
      </c>
      <c r="P538" s="1" t="s">
        <v>37</v>
      </c>
      <c r="Q538" s="4">
        <v>85</v>
      </c>
      <c r="R538" s="13">
        <f t="shared" si="111"/>
        <v>85</v>
      </c>
      <c r="S538" s="6">
        <f t="shared" si="105"/>
        <v>0.85</v>
      </c>
      <c r="T538" s="1">
        <v>2</v>
      </c>
      <c r="U538" s="1">
        <f t="shared" si="112"/>
        <v>2</v>
      </c>
      <c r="V538" s="1">
        <f t="shared" si="113"/>
        <v>60.099999999999994</v>
      </c>
      <c r="W538" s="10" t="str">
        <f t="shared" si="114"/>
        <v>Medium</v>
      </c>
      <c r="X538" s="1" t="s">
        <v>32</v>
      </c>
      <c r="Y538" s="1" t="str">
        <f t="shared" si="115"/>
        <v>Yes</v>
      </c>
      <c r="Z538" s="14">
        <v>6</v>
      </c>
      <c r="AA538" s="18">
        <f t="shared" si="116"/>
        <v>6</v>
      </c>
      <c r="AB538" s="18" t="str">
        <f t="shared" si="117"/>
        <v>High Performer</v>
      </c>
      <c r="AC538" s="9" t="s">
        <v>2152</v>
      </c>
      <c r="AD538">
        <f>IF(AC538="",0,LEN(AC538)-LEN(SUBSTITUTE(AC538,",",""))+1)</f>
        <v>8</v>
      </c>
    </row>
    <row r="539" spans="1:30" ht="12.5" x14ac:dyDescent="0.25">
      <c r="A539" s="1" t="s">
        <v>2153</v>
      </c>
      <c r="B539" s="1" t="s">
        <v>2154</v>
      </c>
      <c r="C539" s="1" t="str">
        <v>Lisa Gomez</v>
      </c>
      <c r="D539" s="1" t="s">
        <v>2155</v>
      </c>
      <c r="E539" s="1" t="str">
        <v>bryan90@gmail.com</v>
      </c>
      <c r="F539" t="str">
        <f t="shared" si="106"/>
        <v>Valid</v>
      </c>
      <c r="G539" s="1" t="s">
        <v>119</v>
      </c>
      <c r="H539" s="1" t="str">
        <f t="shared" si="107"/>
        <v>Female</v>
      </c>
      <c r="I539" s="1" t="s">
        <v>156</v>
      </c>
      <c r="J539" t="str">
        <f t="shared" si="108"/>
        <v>IN</v>
      </c>
      <c r="K539" s="14">
        <v>32</v>
      </c>
      <c r="L539" s="1">
        <f t="shared" si="109"/>
        <v>32</v>
      </c>
      <c r="M539" s="1" t="str">
        <f t="shared" si="110"/>
        <v>Mid Career</v>
      </c>
      <c r="N539" s="2">
        <v>44599</v>
      </c>
      <c r="O539" s="1" t="s">
        <v>114</v>
      </c>
      <c r="P539" s="1" t="s">
        <v>59</v>
      </c>
      <c r="Q539" s="4">
        <v>71</v>
      </c>
      <c r="R539" s="13">
        <f t="shared" si="111"/>
        <v>71</v>
      </c>
      <c r="S539" s="6">
        <f t="shared" si="105"/>
        <v>0.71</v>
      </c>
      <c r="T539" s="1" t="s">
        <v>21</v>
      </c>
      <c r="U539" s="1">
        <f t="shared" si="112"/>
        <v>1.5</v>
      </c>
      <c r="V539" s="1">
        <f t="shared" si="113"/>
        <v>50.15</v>
      </c>
      <c r="W539" s="10" t="str">
        <f t="shared" si="114"/>
        <v>Medium</v>
      </c>
      <c r="X539" s="1">
        <v>0</v>
      </c>
      <c r="Y539" s="1" t="str">
        <f t="shared" si="115"/>
        <v>No</v>
      </c>
      <c r="Z539" s="14">
        <v>1</v>
      </c>
      <c r="AA539" s="18">
        <f t="shared" si="116"/>
        <v>1</v>
      </c>
      <c r="AB539" s="18" t="str">
        <f t="shared" si="117"/>
        <v>No</v>
      </c>
      <c r="AC539" s="9" t="s">
        <v>2156</v>
      </c>
      <c r="AD539">
        <f>IF(AC539="",0,LEN(AC539)-LEN(SUBSTITUTE(AC539,",",""))+1)</f>
        <v>6</v>
      </c>
    </row>
    <row r="540" spans="1:30" ht="12.5" x14ac:dyDescent="0.25">
      <c r="A540" s="1" t="s">
        <v>2157</v>
      </c>
      <c r="B540" s="1" t="s">
        <v>2158</v>
      </c>
      <c r="C540" s="1" t="str">
        <v>Steven Peterson</v>
      </c>
      <c r="D540" s="1" t="s">
        <v>2159</v>
      </c>
      <c r="E540" s="1" t="str">
        <v>wreed@bell-stanley.com</v>
      </c>
      <c r="F540" t="str">
        <f t="shared" si="106"/>
        <v>Valid</v>
      </c>
      <c r="G540" s="1" t="s">
        <v>27</v>
      </c>
      <c r="H540" s="1" t="str">
        <f t="shared" si="107"/>
        <v>Male</v>
      </c>
      <c r="I540" s="1" t="s">
        <v>156</v>
      </c>
      <c r="J540" t="str">
        <f t="shared" si="108"/>
        <v>IN</v>
      </c>
      <c r="L540" s="1">
        <f t="shared" si="109"/>
        <v>19</v>
      </c>
      <c r="M540" s="1" t="str">
        <f t="shared" si="110"/>
        <v>Student</v>
      </c>
      <c r="N540" s="9">
        <v>45227</v>
      </c>
      <c r="O540" s="1" t="s">
        <v>69</v>
      </c>
      <c r="P540" s="1" t="s">
        <v>31</v>
      </c>
      <c r="Q540" s="4">
        <v>0.05</v>
      </c>
      <c r="R540" s="13">
        <f t="shared" si="111"/>
        <v>5</v>
      </c>
      <c r="S540" s="6">
        <f t="shared" si="105"/>
        <v>0.05</v>
      </c>
      <c r="T540" s="1">
        <v>2</v>
      </c>
      <c r="U540" s="1">
        <f t="shared" si="112"/>
        <v>2</v>
      </c>
      <c r="V540" s="1">
        <f t="shared" si="113"/>
        <v>4.0999999999999996</v>
      </c>
      <c r="W540" s="10" t="str">
        <f t="shared" si="114"/>
        <v>Low</v>
      </c>
      <c r="X540" s="1" t="s">
        <v>32</v>
      </c>
      <c r="Y540" s="1" t="str">
        <f t="shared" si="115"/>
        <v>Yes</v>
      </c>
      <c r="Z540" s="14">
        <v>2</v>
      </c>
      <c r="AA540" s="18">
        <f t="shared" si="116"/>
        <v>2</v>
      </c>
      <c r="AB540" s="18" t="str">
        <f t="shared" si="117"/>
        <v>No</v>
      </c>
      <c r="AC540" s="9" t="s">
        <v>2160</v>
      </c>
      <c r="AD540">
        <f>IF(AC540="",0,LEN(AC540)-LEN(SUBSTITUTE(AC540,",",""))+1)</f>
        <v>3</v>
      </c>
    </row>
    <row r="541" spans="1:30" ht="12.5" x14ac:dyDescent="0.25">
      <c r="A541" s="1" t="s">
        <v>2161</v>
      </c>
      <c r="B541" s="1" t="s">
        <v>2162</v>
      </c>
      <c r="C541" s="1" t="str">
        <v>Ana Torres</v>
      </c>
      <c r="D541" s="1" t="s">
        <v>2163</v>
      </c>
      <c r="E541" s="1" t="str">
        <v>andrewnguyen@yahoo.com</v>
      </c>
      <c r="F541" t="str">
        <f t="shared" si="106"/>
        <v>Valid</v>
      </c>
      <c r="G541" s="1" t="s">
        <v>109</v>
      </c>
      <c r="H541" s="1" t="str">
        <f t="shared" si="107"/>
        <v>Male</v>
      </c>
      <c r="I541" s="1" t="s">
        <v>96</v>
      </c>
      <c r="J541" t="str">
        <f t="shared" si="108"/>
        <v>INDIA</v>
      </c>
      <c r="K541" s="14">
        <v>0</v>
      </c>
      <c r="L541" s="1">
        <f t="shared" si="109"/>
        <v>19</v>
      </c>
      <c r="M541" s="1" t="str">
        <f t="shared" si="110"/>
        <v>Student</v>
      </c>
      <c r="N541" s="2">
        <v>45081</v>
      </c>
      <c r="O541" s="1" t="s">
        <v>69</v>
      </c>
      <c r="P541" s="1" t="s">
        <v>31</v>
      </c>
      <c r="Q541" s="4">
        <v>40</v>
      </c>
      <c r="R541" s="13">
        <f t="shared" si="111"/>
        <v>40</v>
      </c>
      <c r="S541" s="6">
        <f t="shared" si="105"/>
        <v>0.4</v>
      </c>
      <c r="T541" s="1" t="s">
        <v>64</v>
      </c>
      <c r="U541" s="1">
        <f t="shared" si="112"/>
        <v>2</v>
      </c>
      <c r="V541" s="1">
        <f t="shared" si="113"/>
        <v>28.6</v>
      </c>
      <c r="W541" s="10" t="str">
        <f t="shared" si="114"/>
        <v>Low</v>
      </c>
      <c r="X541" s="1" t="s">
        <v>38</v>
      </c>
      <c r="Y541" s="1" t="str">
        <f t="shared" si="115"/>
        <v>No</v>
      </c>
      <c r="AA541" s="18" t="str">
        <f t="shared" si="116"/>
        <v>Invalid</v>
      </c>
      <c r="AB541" s="18" t="str">
        <f t="shared" si="117"/>
        <v>No</v>
      </c>
      <c r="AC541" s="9" t="s">
        <v>2164</v>
      </c>
      <c r="AD541">
        <f>IF(AC541="",0,LEN(AC541)-LEN(SUBSTITUTE(AC541,",",""))+1)</f>
        <v>6</v>
      </c>
    </row>
    <row r="542" spans="1:30" ht="12.5" x14ac:dyDescent="0.25">
      <c r="A542" s="1" t="s">
        <v>2165</v>
      </c>
      <c r="B542" s="1" t="s">
        <v>2166</v>
      </c>
      <c r="C542" s="1" t="str">
        <v>Deborah Dominguez</v>
      </c>
      <c r="D542" s="1" t="s">
        <v>2167</v>
      </c>
      <c r="E542" s="1" t="str">
        <v>nicholas65@davis.com</v>
      </c>
      <c r="F542" t="str">
        <f t="shared" si="106"/>
        <v>Valid</v>
      </c>
      <c r="G542" s="1" t="s">
        <v>88</v>
      </c>
      <c r="H542" s="1" t="str">
        <f t="shared" si="107"/>
        <v>Male</v>
      </c>
      <c r="I542" s="1" t="s">
        <v>74</v>
      </c>
      <c r="J542" t="str">
        <f t="shared" si="108"/>
        <v>USA</v>
      </c>
      <c r="K542" s="14">
        <v>33</v>
      </c>
      <c r="L542" s="1">
        <f t="shared" si="109"/>
        <v>33</v>
      </c>
      <c r="M542" s="1" t="str">
        <f t="shared" si="110"/>
        <v>Mid Career</v>
      </c>
      <c r="N542" s="9">
        <v>45679</v>
      </c>
      <c r="O542" s="1" t="s">
        <v>19</v>
      </c>
      <c r="P542" s="1" t="s">
        <v>20</v>
      </c>
      <c r="Q542" s="4">
        <v>0.04</v>
      </c>
      <c r="R542" s="13">
        <f t="shared" si="111"/>
        <v>4</v>
      </c>
      <c r="S542" s="6">
        <f t="shared" si="105"/>
        <v>0.04</v>
      </c>
      <c r="T542" s="1">
        <v>1.5</v>
      </c>
      <c r="U542" s="1">
        <f t="shared" si="112"/>
        <v>1.5</v>
      </c>
      <c r="V542" s="1">
        <f t="shared" si="113"/>
        <v>3.25</v>
      </c>
      <c r="W542" s="10" t="str">
        <f t="shared" si="114"/>
        <v>Low</v>
      </c>
      <c r="X542" s="1">
        <v>0</v>
      </c>
      <c r="Y542" s="1" t="str">
        <f t="shared" si="115"/>
        <v>No</v>
      </c>
      <c r="Z542" s="14">
        <v>4</v>
      </c>
      <c r="AA542" s="18">
        <f t="shared" si="116"/>
        <v>4</v>
      </c>
      <c r="AB542" s="18" t="str">
        <f t="shared" si="117"/>
        <v>No</v>
      </c>
      <c r="AC542" s="9" t="s">
        <v>2168</v>
      </c>
      <c r="AD542">
        <f>IF(AC542="",0,LEN(AC542)-LEN(SUBSTITUTE(AC542,",",""))+1)</f>
        <v>3</v>
      </c>
    </row>
    <row r="543" spans="1:30" ht="12.5" x14ac:dyDescent="0.25">
      <c r="A543" s="1" t="s">
        <v>2169</v>
      </c>
      <c r="B543" s="1" t="s">
        <v>2170</v>
      </c>
      <c r="C543" s="1" t="str">
        <v>Carol Evans</v>
      </c>
      <c r="D543" s="1" t="s">
        <v>2171</v>
      </c>
      <c r="E543" s="1" t="str">
        <v>tylerboone@gmail.com</v>
      </c>
      <c r="F543" t="str">
        <f t="shared" si="106"/>
        <v>Valid</v>
      </c>
      <c r="G543" s="1" t="s">
        <v>43</v>
      </c>
      <c r="H543" s="1" t="str">
        <f t="shared" si="107"/>
        <v>Female</v>
      </c>
      <c r="I543" s="1" t="s">
        <v>44</v>
      </c>
      <c r="J543" t="str">
        <f t="shared" si="108"/>
        <v>CANADA</v>
      </c>
      <c r="K543" s="14">
        <v>23</v>
      </c>
      <c r="L543" s="1">
        <f t="shared" si="109"/>
        <v>23</v>
      </c>
      <c r="M543" s="1" t="str">
        <f t="shared" si="110"/>
        <v>Early Career</v>
      </c>
      <c r="N543" s="2">
        <v>45208</v>
      </c>
      <c r="O543" s="1" t="s">
        <v>69</v>
      </c>
      <c r="P543" s="1" t="s">
        <v>31</v>
      </c>
      <c r="Q543" s="4">
        <v>0.92</v>
      </c>
      <c r="R543" s="13">
        <f t="shared" si="111"/>
        <v>92</v>
      </c>
      <c r="S543" s="6">
        <f t="shared" si="105"/>
        <v>0.92</v>
      </c>
      <c r="T543" s="1" t="s">
        <v>64</v>
      </c>
      <c r="U543" s="1">
        <f t="shared" si="112"/>
        <v>2</v>
      </c>
      <c r="V543" s="1">
        <f t="shared" si="113"/>
        <v>64.999999999999986</v>
      </c>
      <c r="W543" s="10" t="str">
        <f t="shared" si="114"/>
        <v>Medium</v>
      </c>
      <c r="X543" s="1" t="s">
        <v>32</v>
      </c>
      <c r="Y543" s="1" t="str">
        <f t="shared" si="115"/>
        <v>Yes</v>
      </c>
      <c r="Z543" s="14">
        <v>6</v>
      </c>
      <c r="AA543" s="18">
        <f t="shared" si="116"/>
        <v>6</v>
      </c>
      <c r="AB543" s="18" t="str">
        <f t="shared" si="117"/>
        <v>High Performer</v>
      </c>
      <c r="AC543" s="9" t="s">
        <v>2172</v>
      </c>
      <c r="AD543">
        <f>IF(AC543="",0,LEN(AC543)-LEN(SUBSTITUTE(AC543,",",""))+1)</f>
        <v>8</v>
      </c>
    </row>
    <row r="544" spans="1:30" ht="12.5" x14ac:dyDescent="0.25">
      <c r="A544" s="1" t="s">
        <v>2173</v>
      </c>
      <c r="B544" s="1" t="s">
        <v>2174</v>
      </c>
      <c r="C544" s="1" t="str">
        <v>Kenneth Ballard</v>
      </c>
      <c r="D544" s="1" t="s">
        <v>2175</v>
      </c>
      <c r="E544" s="1" t="str">
        <v>vargasjoshua@solis.com</v>
      </c>
      <c r="F544" t="str">
        <f t="shared" si="106"/>
        <v>Valid</v>
      </c>
      <c r="G544" s="1" t="s">
        <v>17</v>
      </c>
      <c r="H544" s="1" t="str">
        <f t="shared" si="107"/>
        <v>Female</v>
      </c>
      <c r="I544" s="1" t="s">
        <v>89</v>
      </c>
      <c r="J544" t="str">
        <f t="shared" si="108"/>
        <v>GERMANY</v>
      </c>
      <c r="L544" s="1">
        <f t="shared" si="109"/>
        <v>19</v>
      </c>
      <c r="M544" s="1" t="str">
        <f t="shared" si="110"/>
        <v>Student</v>
      </c>
      <c r="N544" s="9">
        <v>45490</v>
      </c>
      <c r="O544" s="1" t="s">
        <v>30</v>
      </c>
      <c r="P544" s="1" t="s">
        <v>31</v>
      </c>
      <c r="Q544" s="4">
        <v>0</v>
      </c>
      <c r="R544" s="13">
        <f t="shared" si="111"/>
        <v>0</v>
      </c>
      <c r="S544" s="6">
        <f t="shared" si="105"/>
        <v>0</v>
      </c>
      <c r="T544" s="1">
        <v>45</v>
      </c>
      <c r="U544" s="1">
        <f t="shared" si="112"/>
        <v>45</v>
      </c>
      <c r="V544" s="1">
        <f t="shared" si="113"/>
        <v>13.5</v>
      </c>
      <c r="W544" s="10" t="str">
        <f t="shared" si="114"/>
        <v>Low</v>
      </c>
      <c r="X544" s="1" t="s">
        <v>32</v>
      </c>
      <c r="Y544" s="1" t="str">
        <f t="shared" si="115"/>
        <v>Yes</v>
      </c>
      <c r="Z544" s="14">
        <v>5</v>
      </c>
      <c r="AA544" s="18">
        <f t="shared" si="116"/>
        <v>5</v>
      </c>
      <c r="AB544" s="18" t="str">
        <f t="shared" si="117"/>
        <v>High Performer</v>
      </c>
      <c r="AC544" s="9" t="s">
        <v>277</v>
      </c>
      <c r="AD544">
        <f>IF(AC544="",0,LEN(AC544)-LEN(SUBSTITUTE(AC544,",",""))+1)</f>
        <v>4</v>
      </c>
    </row>
    <row r="545" spans="1:30" ht="12.5" x14ac:dyDescent="0.25">
      <c r="A545" s="1" t="s">
        <v>2176</v>
      </c>
      <c r="B545" s="1" t="s">
        <v>2177</v>
      </c>
      <c r="C545" s="1" t="str">
        <v>Matthew Edwards</v>
      </c>
      <c r="D545" s="1" t="s">
        <v>127</v>
      </c>
      <c r="E545" s="1" t="str">
        <v>invalid-email</v>
      </c>
      <c r="F545" t="str">
        <f t="shared" si="106"/>
        <v>Invalid</v>
      </c>
      <c r="G545" s="1" t="s">
        <v>119</v>
      </c>
      <c r="H545" s="1" t="str">
        <f t="shared" si="107"/>
        <v>Female</v>
      </c>
      <c r="I545" s="1" t="s">
        <v>136</v>
      </c>
      <c r="J545" t="str">
        <f t="shared" si="108"/>
        <v>UK</v>
      </c>
      <c r="K545" s="14">
        <v>0</v>
      </c>
      <c r="L545" s="1">
        <f t="shared" si="109"/>
        <v>19</v>
      </c>
      <c r="M545" s="1" t="str">
        <f t="shared" si="110"/>
        <v>Student</v>
      </c>
      <c r="N545" s="9">
        <v>45670</v>
      </c>
      <c r="O545" s="1" t="s">
        <v>301</v>
      </c>
      <c r="P545" s="1" t="s">
        <v>20</v>
      </c>
      <c r="Q545" s="4">
        <v>0.13</v>
      </c>
      <c r="R545" s="13">
        <f t="shared" si="111"/>
        <v>13</v>
      </c>
      <c r="S545" s="6">
        <f t="shared" si="105"/>
        <v>0.13</v>
      </c>
      <c r="T545" s="1" t="s">
        <v>64</v>
      </c>
      <c r="U545" s="1">
        <f t="shared" si="112"/>
        <v>2</v>
      </c>
      <c r="V545" s="1">
        <f t="shared" si="113"/>
        <v>9.6999999999999993</v>
      </c>
      <c r="W545" s="10" t="str">
        <f t="shared" si="114"/>
        <v>Low</v>
      </c>
      <c r="X545" s="1">
        <v>1</v>
      </c>
      <c r="Y545" s="1" t="str">
        <f t="shared" si="115"/>
        <v>Yes</v>
      </c>
      <c r="Z545" s="14">
        <v>6</v>
      </c>
      <c r="AA545" s="18">
        <f t="shared" si="116"/>
        <v>6</v>
      </c>
      <c r="AB545" s="18" t="str">
        <f t="shared" si="117"/>
        <v>High Performer</v>
      </c>
      <c r="AC545" s="9" t="s">
        <v>2178</v>
      </c>
      <c r="AD545">
        <f>IF(AC545="",0,LEN(AC545)-LEN(SUBSTITUTE(AC545,",",""))+1)</f>
        <v>2</v>
      </c>
    </row>
    <row r="546" spans="1:30" ht="12.5" x14ac:dyDescent="0.25">
      <c r="A546" s="1" t="s">
        <v>2179</v>
      </c>
      <c r="B546" s="1" t="s">
        <v>2180</v>
      </c>
      <c r="C546" s="1" t="str">
        <v>Phillip White</v>
      </c>
      <c r="D546" s="1" t="s">
        <v>2181</v>
      </c>
      <c r="E546" s="1" t="str">
        <v>barbaralewis@hurley.org</v>
      </c>
      <c r="F546" t="str">
        <f t="shared" si="106"/>
        <v>Valid</v>
      </c>
      <c r="G546" s="1" t="s">
        <v>109</v>
      </c>
      <c r="H546" s="1" t="str">
        <f t="shared" si="107"/>
        <v>Male</v>
      </c>
      <c r="I546" s="1" t="s">
        <v>89</v>
      </c>
      <c r="J546" t="str">
        <f t="shared" si="108"/>
        <v>GERMANY</v>
      </c>
      <c r="K546" s="14">
        <v>45</v>
      </c>
      <c r="L546" s="1">
        <f t="shared" si="109"/>
        <v>45</v>
      </c>
      <c r="M546" s="1" t="str">
        <f t="shared" si="110"/>
        <v>Senior</v>
      </c>
      <c r="N546" s="2">
        <v>45566</v>
      </c>
      <c r="O546" s="1" t="s">
        <v>301</v>
      </c>
      <c r="P546" s="1" t="s">
        <v>20</v>
      </c>
      <c r="Q546" s="4">
        <v>0.56999999999999995</v>
      </c>
      <c r="R546" s="13">
        <f t="shared" si="111"/>
        <v>56.999999999999993</v>
      </c>
      <c r="S546" s="6">
        <f t="shared" si="105"/>
        <v>0.56999999999999995</v>
      </c>
      <c r="T546" s="1" t="s">
        <v>46</v>
      </c>
      <c r="U546" s="1">
        <f t="shared" si="112"/>
        <v>1</v>
      </c>
      <c r="V546" s="1">
        <f t="shared" si="113"/>
        <v>40.199999999999989</v>
      </c>
      <c r="W546" s="10" t="str">
        <f t="shared" si="114"/>
        <v>Low</v>
      </c>
      <c r="X546" s="1" t="s">
        <v>32</v>
      </c>
      <c r="Y546" s="1" t="str">
        <f t="shared" si="115"/>
        <v>Yes</v>
      </c>
      <c r="Z546" s="14">
        <v>3</v>
      </c>
      <c r="AA546" s="18">
        <f t="shared" si="116"/>
        <v>3</v>
      </c>
      <c r="AB546" s="18" t="str">
        <f t="shared" si="117"/>
        <v>No</v>
      </c>
      <c r="AC546" s="9">
        <v>45566</v>
      </c>
      <c r="AD546">
        <f>IF(AC546="",0,LEN(AC546)-LEN(SUBSTITUTE(AC546,",",""))+1)</f>
        <v>1</v>
      </c>
    </row>
    <row r="547" spans="1:30" ht="12.5" x14ac:dyDescent="0.25">
      <c r="A547" s="1" t="s">
        <v>2182</v>
      </c>
      <c r="B547" s="1" t="s">
        <v>2183</v>
      </c>
      <c r="C547" s="1" t="str">
        <v>Curtis Ford</v>
      </c>
      <c r="D547" s="1" t="s">
        <v>2184</v>
      </c>
      <c r="E547" s="1" t="str">
        <v>juliecannon@jenkins-dalton.com</v>
      </c>
      <c r="F547" t="str">
        <f t="shared" si="106"/>
        <v>Valid</v>
      </c>
      <c r="G547" s="1" t="s">
        <v>88</v>
      </c>
      <c r="H547" s="1" t="str">
        <f t="shared" si="107"/>
        <v>Male</v>
      </c>
      <c r="I547" s="1" t="s">
        <v>74</v>
      </c>
      <c r="J547" t="str">
        <f t="shared" si="108"/>
        <v>USA</v>
      </c>
      <c r="K547" s="14">
        <v>18</v>
      </c>
      <c r="L547" s="1">
        <f t="shared" si="109"/>
        <v>18</v>
      </c>
      <c r="M547" s="1" t="str">
        <f t="shared" si="110"/>
        <v>Student</v>
      </c>
      <c r="N547" s="2">
        <v>45537</v>
      </c>
      <c r="O547" s="1" t="s">
        <v>36</v>
      </c>
      <c r="P547" s="1" t="s">
        <v>37</v>
      </c>
      <c r="Q547" s="4">
        <v>48</v>
      </c>
      <c r="R547" s="13">
        <f t="shared" si="111"/>
        <v>48</v>
      </c>
      <c r="S547" s="6">
        <f t="shared" si="105"/>
        <v>0.48</v>
      </c>
      <c r="T547" s="1">
        <v>45</v>
      </c>
      <c r="U547" s="1">
        <f t="shared" si="112"/>
        <v>45</v>
      </c>
      <c r="V547" s="1">
        <f t="shared" si="113"/>
        <v>47.099999999999994</v>
      </c>
      <c r="W547" s="10" t="str">
        <f t="shared" si="114"/>
        <v>Medium</v>
      </c>
      <c r="X547" s="1" t="s">
        <v>38</v>
      </c>
      <c r="Y547" s="1" t="str">
        <f t="shared" si="115"/>
        <v>No</v>
      </c>
      <c r="Z547" s="14">
        <v>1</v>
      </c>
      <c r="AA547" s="18">
        <f t="shared" si="116"/>
        <v>1</v>
      </c>
      <c r="AB547" s="18" t="str">
        <f t="shared" si="117"/>
        <v>No</v>
      </c>
      <c r="AC547" s="9" t="s">
        <v>2185</v>
      </c>
      <c r="AD547">
        <f>IF(AC547="",0,LEN(AC547)-LEN(SUBSTITUTE(AC547,",",""))+1)</f>
        <v>2</v>
      </c>
    </row>
    <row r="548" spans="1:30" ht="12.5" x14ac:dyDescent="0.25">
      <c r="A548" s="1" t="s">
        <v>2186</v>
      </c>
      <c r="B548" s="1" t="s">
        <v>2187</v>
      </c>
      <c r="C548" s="1" t="str">
        <v>Maria Scott</v>
      </c>
      <c r="D548" s="1" t="s">
        <v>2188</v>
      </c>
      <c r="E548" s="1" t="str">
        <v>jallen@johnson.info</v>
      </c>
      <c r="F548" t="str">
        <f t="shared" si="106"/>
        <v>Valid</v>
      </c>
      <c r="G548" s="1" t="s">
        <v>109</v>
      </c>
      <c r="H548" s="1" t="str">
        <f t="shared" si="107"/>
        <v>Male</v>
      </c>
      <c r="I548" s="1" t="s">
        <v>156</v>
      </c>
      <c r="J548" t="str">
        <f t="shared" si="108"/>
        <v>IN</v>
      </c>
      <c r="K548" s="14">
        <v>39</v>
      </c>
      <c r="L548" s="1">
        <f t="shared" si="109"/>
        <v>39</v>
      </c>
      <c r="M548" s="1" t="str">
        <f t="shared" si="110"/>
        <v>Mid Career</v>
      </c>
      <c r="N548" s="9">
        <v>45642</v>
      </c>
      <c r="O548" s="1" t="s">
        <v>75</v>
      </c>
      <c r="P548" s="1" t="s">
        <v>37</v>
      </c>
      <c r="Q548" s="4">
        <v>0.55000000000000004</v>
      </c>
      <c r="R548" s="13">
        <f t="shared" si="111"/>
        <v>55.000000000000007</v>
      </c>
      <c r="S548" s="6">
        <f t="shared" si="105"/>
        <v>0.55000000000000004</v>
      </c>
      <c r="T548" s="1">
        <v>1.5</v>
      </c>
      <c r="U548" s="1">
        <f t="shared" si="112"/>
        <v>1.5</v>
      </c>
      <c r="V548" s="1">
        <f t="shared" si="113"/>
        <v>38.950000000000003</v>
      </c>
      <c r="W548" s="10" t="str">
        <f t="shared" si="114"/>
        <v>Low</v>
      </c>
      <c r="X548" s="1">
        <v>1</v>
      </c>
      <c r="Y548" s="1" t="str">
        <f t="shared" si="115"/>
        <v>Yes</v>
      </c>
      <c r="AA548" s="18" t="str">
        <f t="shared" si="116"/>
        <v>Invalid</v>
      </c>
      <c r="AB548" s="18" t="str">
        <f t="shared" si="117"/>
        <v>High Performer</v>
      </c>
      <c r="AC548" s="9" t="s">
        <v>2189</v>
      </c>
      <c r="AD548">
        <f>IF(AC548="",0,LEN(AC548)-LEN(SUBSTITUTE(AC548,",",""))+1)</f>
        <v>3</v>
      </c>
    </row>
    <row r="549" spans="1:30" ht="12.5" x14ac:dyDescent="0.25">
      <c r="A549" s="1" t="s">
        <v>2190</v>
      </c>
      <c r="B549" s="1" t="s">
        <v>2191</v>
      </c>
      <c r="C549" s="1" t="str">
        <v>Amanda Moore</v>
      </c>
      <c r="D549" s="1" t="s">
        <v>2192</v>
      </c>
      <c r="E549" s="1" t="str">
        <v>greenlinda@pierce.info</v>
      </c>
      <c r="F549" t="str">
        <f t="shared" si="106"/>
        <v>Valid</v>
      </c>
      <c r="G549" s="1" t="s">
        <v>57</v>
      </c>
      <c r="H549" s="1" t="str">
        <f t="shared" si="107"/>
        <v>Female</v>
      </c>
      <c r="I549" s="1" t="s">
        <v>51</v>
      </c>
      <c r="J549" t="str">
        <f t="shared" si="108"/>
        <v>UK</v>
      </c>
      <c r="K549" s="14">
        <v>0</v>
      </c>
      <c r="L549" s="1">
        <f t="shared" si="109"/>
        <v>19</v>
      </c>
      <c r="M549" s="1" t="str">
        <f t="shared" si="110"/>
        <v>Student</v>
      </c>
      <c r="N549" s="9">
        <v>45412</v>
      </c>
      <c r="O549" s="1" t="s">
        <v>170</v>
      </c>
      <c r="P549" s="1" t="s">
        <v>147</v>
      </c>
      <c r="Q549" s="4">
        <v>0.72</v>
      </c>
      <c r="R549" s="13">
        <f t="shared" si="111"/>
        <v>72</v>
      </c>
      <c r="S549" s="6">
        <f t="shared" si="105"/>
        <v>0.72</v>
      </c>
      <c r="T549" s="1" t="s">
        <v>64</v>
      </c>
      <c r="U549" s="1">
        <f t="shared" si="112"/>
        <v>2</v>
      </c>
      <c r="V549" s="1">
        <f t="shared" si="113"/>
        <v>51</v>
      </c>
      <c r="W549" s="10" t="str">
        <f t="shared" si="114"/>
        <v>Medium</v>
      </c>
      <c r="X549" s="1" t="s">
        <v>76</v>
      </c>
      <c r="Y549" s="1" t="str">
        <f t="shared" si="115"/>
        <v>Yes</v>
      </c>
      <c r="Z549" s="14">
        <v>5</v>
      </c>
      <c r="AA549" s="18">
        <f t="shared" si="116"/>
        <v>5</v>
      </c>
      <c r="AB549" s="18" t="str">
        <f t="shared" si="117"/>
        <v>High Performer</v>
      </c>
      <c r="AC549" s="9" t="s">
        <v>1120</v>
      </c>
      <c r="AD549">
        <f>IF(AC549="",0,LEN(AC549)-LEN(SUBSTITUTE(AC549,",",""))+1)</f>
        <v>8</v>
      </c>
    </row>
    <row r="550" spans="1:30" ht="12.5" x14ac:dyDescent="0.25">
      <c r="A550" s="1" t="s">
        <v>2193</v>
      </c>
      <c r="B550" s="1" t="s">
        <v>2194</v>
      </c>
      <c r="C550" s="1" t="str">
        <v>Edward Brown</v>
      </c>
      <c r="D550" s="1" t="s">
        <v>2195</v>
      </c>
      <c r="E550" s="1" t="str">
        <v>emily16@hotmail.com</v>
      </c>
      <c r="F550" t="str">
        <f t="shared" si="106"/>
        <v>Valid</v>
      </c>
      <c r="G550" s="1" t="s">
        <v>17</v>
      </c>
      <c r="H550" s="1" t="str">
        <f t="shared" si="107"/>
        <v>Female</v>
      </c>
      <c r="I550" s="1" t="s">
        <v>44</v>
      </c>
      <c r="J550" t="str">
        <f t="shared" si="108"/>
        <v>CANADA</v>
      </c>
      <c r="L550" s="1">
        <f t="shared" si="109"/>
        <v>19</v>
      </c>
      <c r="M550" s="1" t="str">
        <f t="shared" si="110"/>
        <v>Student</v>
      </c>
      <c r="N550" s="2">
        <v>44747</v>
      </c>
      <c r="O550" s="1" t="s">
        <v>69</v>
      </c>
      <c r="P550" s="1" t="s">
        <v>31</v>
      </c>
      <c r="Q550" s="4">
        <v>0.87</v>
      </c>
      <c r="R550" s="13">
        <f t="shared" si="111"/>
        <v>87</v>
      </c>
      <c r="S550" s="6">
        <f t="shared" si="105"/>
        <v>0.87</v>
      </c>
      <c r="T550" s="1" t="s">
        <v>46</v>
      </c>
      <c r="U550" s="1">
        <f t="shared" si="112"/>
        <v>1</v>
      </c>
      <c r="V550" s="1">
        <f t="shared" si="113"/>
        <v>61.199999999999996</v>
      </c>
      <c r="W550" s="10" t="str">
        <f t="shared" si="114"/>
        <v>Medium</v>
      </c>
      <c r="X550" s="1" t="s">
        <v>38</v>
      </c>
      <c r="Y550" s="1" t="str">
        <f t="shared" si="115"/>
        <v>No</v>
      </c>
      <c r="AA550" s="18" t="str">
        <f t="shared" si="116"/>
        <v>Invalid</v>
      </c>
      <c r="AB550" s="18" t="str">
        <f t="shared" si="117"/>
        <v>No</v>
      </c>
      <c r="AC550" s="9" t="s">
        <v>2196</v>
      </c>
      <c r="AD550">
        <f>IF(AC550="",0,LEN(AC550)-LEN(SUBSTITUTE(AC550,",",""))+1)</f>
        <v>8</v>
      </c>
    </row>
    <row r="551" spans="1:30" ht="12.5" x14ac:dyDescent="0.25">
      <c r="A551" s="1" t="s">
        <v>2197</v>
      </c>
      <c r="B551" s="1" t="s">
        <v>2198</v>
      </c>
      <c r="C551" s="1" t="str">
        <v>Barbara Beck</v>
      </c>
      <c r="D551" s="1" t="s">
        <v>2199</v>
      </c>
      <c r="E551" s="1" t="str">
        <v>pwilkerson@hotmail.com</v>
      </c>
      <c r="F551" t="str">
        <f t="shared" si="106"/>
        <v>Valid</v>
      </c>
      <c r="G551" s="1" t="s">
        <v>17</v>
      </c>
      <c r="H551" s="1" t="str">
        <f t="shared" si="107"/>
        <v>Female</v>
      </c>
      <c r="I551" s="1" t="s">
        <v>28</v>
      </c>
      <c r="J551" t="str">
        <f t="shared" si="108"/>
        <v>INDIA</v>
      </c>
      <c r="K551" s="14">
        <v>34</v>
      </c>
      <c r="L551" s="1">
        <f t="shared" si="109"/>
        <v>34</v>
      </c>
      <c r="M551" s="1" t="str">
        <f t="shared" si="110"/>
        <v>Mid Career</v>
      </c>
      <c r="N551" s="3">
        <v>44876</v>
      </c>
      <c r="O551" s="1" t="s">
        <v>36</v>
      </c>
      <c r="P551" s="1" t="s">
        <v>37</v>
      </c>
      <c r="Q551" s="4">
        <v>31</v>
      </c>
      <c r="R551" s="13">
        <f t="shared" si="111"/>
        <v>31</v>
      </c>
      <c r="S551" s="6">
        <f t="shared" si="105"/>
        <v>0.31</v>
      </c>
      <c r="T551" s="1" t="s">
        <v>46</v>
      </c>
      <c r="U551" s="1">
        <f t="shared" si="112"/>
        <v>1</v>
      </c>
      <c r="V551" s="1">
        <f t="shared" si="113"/>
        <v>22</v>
      </c>
      <c r="W551" s="10" t="str">
        <f t="shared" si="114"/>
        <v>Low</v>
      </c>
      <c r="X551" s="1" t="s">
        <v>38</v>
      </c>
      <c r="Y551" s="1" t="str">
        <f t="shared" si="115"/>
        <v>No</v>
      </c>
      <c r="Z551" s="14">
        <v>5</v>
      </c>
      <c r="AA551" s="18">
        <f t="shared" si="116"/>
        <v>5</v>
      </c>
      <c r="AB551" s="18" t="str">
        <f t="shared" si="117"/>
        <v>No</v>
      </c>
      <c r="AC551" s="9" t="s">
        <v>2200</v>
      </c>
      <c r="AD551">
        <f>IF(AC551="",0,LEN(AC551)-LEN(SUBSTITUTE(AC551,",",""))+1)</f>
        <v>3</v>
      </c>
    </row>
    <row r="552" spans="1:30" ht="12.5" x14ac:dyDescent="0.25">
      <c r="A552" s="1" t="s">
        <v>2201</v>
      </c>
      <c r="B552" s="1" t="s">
        <v>2202</v>
      </c>
      <c r="C552" s="1" t="str">
        <v>Nancy Shaffer</v>
      </c>
      <c r="D552" s="1" t="s">
        <v>2203</v>
      </c>
      <c r="E552" s="1" t="str">
        <v>grobinson@lewis.info</v>
      </c>
      <c r="F552" t="str">
        <f t="shared" si="106"/>
        <v>Valid</v>
      </c>
      <c r="G552" s="1" t="s">
        <v>119</v>
      </c>
      <c r="H552" s="1" t="str">
        <f t="shared" si="107"/>
        <v>Female</v>
      </c>
      <c r="I552" s="1" t="s">
        <v>51</v>
      </c>
      <c r="J552" t="str">
        <f t="shared" si="108"/>
        <v>UK</v>
      </c>
      <c r="K552" s="14">
        <v>43</v>
      </c>
      <c r="L552" s="1">
        <f t="shared" si="109"/>
        <v>43</v>
      </c>
      <c r="M552" s="1" t="str">
        <f t="shared" si="110"/>
        <v>Senior</v>
      </c>
      <c r="N552" s="9">
        <v>44847</v>
      </c>
      <c r="O552" s="1" t="s">
        <v>301</v>
      </c>
      <c r="P552" s="1" t="s">
        <v>20</v>
      </c>
      <c r="Q552" s="4">
        <v>0.1</v>
      </c>
      <c r="R552" s="13">
        <f t="shared" si="111"/>
        <v>10</v>
      </c>
      <c r="S552" s="6">
        <f t="shared" si="105"/>
        <v>0.1</v>
      </c>
      <c r="T552" s="1">
        <v>2</v>
      </c>
      <c r="U552" s="1">
        <f t="shared" si="112"/>
        <v>2</v>
      </c>
      <c r="V552" s="1">
        <f t="shared" si="113"/>
        <v>7.6</v>
      </c>
      <c r="W552" s="10" t="str">
        <f t="shared" si="114"/>
        <v>Low</v>
      </c>
      <c r="X552" s="1" t="s">
        <v>76</v>
      </c>
      <c r="Y552" s="1" t="str">
        <f t="shared" si="115"/>
        <v>Yes</v>
      </c>
      <c r="Z552" s="14">
        <v>6</v>
      </c>
      <c r="AA552" s="18">
        <f t="shared" si="116"/>
        <v>6</v>
      </c>
      <c r="AB552" s="18" t="str">
        <f t="shared" si="117"/>
        <v>High Performer</v>
      </c>
      <c r="AC552" s="9" t="s">
        <v>679</v>
      </c>
      <c r="AD552">
        <f>IF(AC552="",0,LEN(AC552)-LEN(SUBSTITUTE(AC552,",",""))+1)</f>
        <v>5</v>
      </c>
    </row>
    <row r="553" spans="1:30" ht="12.5" x14ac:dyDescent="0.25">
      <c r="A553" s="1" t="s">
        <v>2204</v>
      </c>
      <c r="B553" s="1" t="s">
        <v>2205</v>
      </c>
      <c r="C553" s="1" t="str">
        <v>James Fry Md</v>
      </c>
      <c r="D553" s="1" t="s">
        <v>2206</v>
      </c>
      <c r="E553" s="1" t="str">
        <v>rvega@gmail.com</v>
      </c>
      <c r="F553" t="str">
        <f t="shared" si="106"/>
        <v>Valid</v>
      </c>
      <c r="G553" s="1" t="s">
        <v>27</v>
      </c>
      <c r="H553" s="1" t="str">
        <f t="shared" si="107"/>
        <v>Male</v>
      </c>
      <c r="I553" s="1" t="s">
        <v>156</v>
      </c>
      <c r="J553" t="str">
        <f t="shared" si="108"/>
        <v>IN</v>
      </c>
      <c r="K553" s="14">
        <v>45</v>
      </c>
      <c r="L553" s="1">
        <f t="shared" si="109"/>
        <v>45</v>
      </c>
      <c r="M553" s="1" t="str">
        <f t="shared" si="110"/>
        <v>Senior</v>
      </c>
      <c r="N553" s="2">
        <v>45292</v>
      </c>
      <c r="O553" s="1" t="s">
        <v>301</v>
      </c>
      <c r="P553" s="1" t="s">
        <v>20</v>
      </c>
      <c r="Q553" s="4">
        <v>0.57999999999999996</v>
      </c>
      <c r="R553" s="13">
        <f t="shared" si="111"/>
        <v>57.999999999999993</v>
      </c>
      <c r="S553" s="6">
        <f t="shared" si="105"/>
        <v>0.57999999999999996</v>
      </c>
      <c r="T553" s="1">
        <v>2</v>
      </c>
      <c r="U553" s="1">
        <f t="shared" si="112"/>
        <v>2</v>
      </c>
      <c r="V553" s="1">
        <f t="shared" si="113"/>
        <v>41.199999999999996</v>
      </c>
      <c r="W553" s="10" t="str">
        <f t="shared" si="114"/>
        <v>Medium</v>
      </c>
      <c r="X553" s="1" t="s">
        <v>76</v>
      </c>
      <c r="Y553" s="1" t="str">
        <f t="shared" si="115"/>
        <v>Yes</v>
      </c>
      <c r="Z553" s="14">
        <v>6</v>
      </c>
      <c r="AA553" s="18">
        <f t="shared" si="116"/>
        <v>6</v>
      </c>
      <c r="AB553" s="18" t="str">
        <f t="shared" si="117"/>
        <v>High Performer</v>
      </c>
      <c r="AC553" s="9" t="s">
        <v>2207</v>
      </c>
      <c r="AD553">
        <f>IF(AC553="",0,LEN(AC553)-LEN(SUBSTITUTE(AC553,",",""))+1)</f>
        <v>5</v>
      </c>
    </row>
    <row r="554" spans="1:30" ht="12.5" x14ac:dyDescent="0.25">
      <c r="A554" s="1" t="s">
        <v>2208</v>
      </c>
      <c r="B554" s="1" t="s">
        <v>2209</v>
      </c>
      <c r="C554" s="1" t="str">
        <v>Matthew Stein</v>
      </c>
      <c r="D554" s="1" t="s">
        <v>2210</v>
      </c>
      <c r="E554" s="1" t="str">
        <v>vazquezkristina@king.com</v>
      </c>
      <c r="F554" t="str">
        <f t="shared" si="106"/>
        <v>Valid</v>
      </c>
      <c r="G554" s="1" t="s">
        <v>119</v>
      </c>
      <c r="H554" s="1" t="str">
        <f t="shared" si="107"/>
        <v>Female</v>
      </c>
      <c r="I554" s="1" t="s">
        <v>136</v>
      </c>
      <c r="J554" t="str">
        <f t="shared" si="108"/>
        <v>UK</v>
      </c>
      <c r="L554" s="1">
        <f t="shared" si="109"/>
        <v>19</v>
      </c>
      <c r="M554" s="1" t="str">
        <f t="shared" si="110"/>
        <v>Student</v>
      </c>
      <c r="N554" s="9">
        <v>45221</v>
      </c>
      <c r="O554" s="1" t="s">
        <v>69</v>
      </c>
      <c r="P554" s="1" t="s">
        <v>31</v>
      </c>
      <c r="Q554" s="4">
        <v>0</v>
      </c>
      <c r="R554" s="13">
        <f t="shared" si="111"/>
        <v>0</v>
      </c>
      <c r="S554" s="6">
        <f t="shared" si="105"/>
        <v>0</v>
      </c>
      <c r="T554" s="1" t="s">
        <v>64</v>
      </c>
      <c r="U554" s="1">
        <f t="shared" si="112"/>
        <v>2</v>
      </c>
      <c r="V554" s="1">
        <f t="shared" si="113"/>
        <v>0.6</v>
      </c>
      <c r="W554" s="10" t="str">
        <f t="shared" si="114"/>
        <v>Low</v>
      </c>
      <c r="X554" s="1">
        <v>0</v>
      </c>
      <c r="Y554" s="1" t="str">
        <f t="shared" si="115"/>
        <v>No</v>
      </c>
      <c r="Z554" s="14">
        <v>4</v>
      </c>
      <c r="AA554" s="18">
        <f t="shared" si="116"/>
        <v>4</v>
      </c>
      <c r="AB554" s="18" t="str">
        <f t="shared" si="117"/>
        <v>No</v>
      </c>
      <c r="AC554" s="9" t="s">
        <v>2211</v>
      </c>
      <c r="AD554">
        <f>IF(AC554="",0,LEN(AC554)-LEN(SUBSTITUTE(AC554,",",""))+1)</f>
        <v>2</v>
      </c>
    </row>
    <row r="555" spans="1:30" ht="12.5" x14ac:dyDescent="0.25">
      <c r="A555" s="1" t="s">
        <v>2212</v>
      </c>
      <c r="B555" s="1" t="s">
        <v>2213</v>
      </c>
      <c r="C555" s="1" t="str">
        <v>Barbara Camacho</v>
      </c>
      <c r="D555" s="1" t="s">
        <v>2214</v>
      </c>
      <c r="E555" s="1" t="str">
        <v>zsmith@yahoo.com</v>
      </c>
      <c r="F555" t="str">
        <f t="shared" si="106"/>
        <v>Valid</v>
      </c>
      <c r="G555" s="1" t="s">
        <v>88</v>
      </c>
      <c r="H555" s="1" t="str">
        <f t="shared" si="107"/>
        <v>Male</v>
      </c>
      <c r="I555" s="1" t="s">
        <v>44</v>
      </c>
      <c r="J555" t="str">
        <f t="shared" si="108"/>
        <v>CANADA</v>
      </c>
      <c r="K555" s="14">
        <v>20</v>
      </c>
      <c r="L555" s="1">
        <f t="shared" si="109"/>
        <v>20</v>
      </c>
      <c r="M555" s="1" t="str">
        <f t="shared" si="110"/>
        <v>Student</v>
      </c>
      <c r="N555" s="9">
        <v>45650</v>
      </c>
      <c r="O555" s="1" t="s">
        <v>30</v>
      </c>
      <c r="P555" s="1" t="s">
        <v>31</v>
      </c>
      <c r="Q555" s="4">
        <v>0.78</v>
      </c>
      <c r="R555" s="13">
        <f t="shared" si="111"/>
        <v>78</v>
      </c>
      <c r="S555" s="6">
        <f t="shared" si="105"/>
        <v>0.78</v>
      </c>
      <c r="T555" s="1">
        <v>2</v>
      </c>
      <c r="U555" s="1">
        <f t="shared" si="112"/>
        <v>2</v>
      </c>
      <c r="V555" s="1">
        <f t="shared" si="113"/>
        <v>55.199999999999996</v>
      </c>
      <c r="W555" s="10" t="str">
        <f t="shared" si="114"/>
        <v>Medium</v>
      </c>
      <c r="X555" s="1" t="s">
        <v>22</v>
      </c>
      <c r="Y555" s="1" t="str">
        <f t="shared" si="115"/>
        <v>No</v>
      </c>
      <c r="Z555" s="14">
        <v>3</v>
      </c>
      <c r="AA555" s="18">
        <f t="shared" si="116"/>
        <v>3</v>
      </c>
      <c r="AB555" s="18" t="str">
        <f t="shared" si="117"/>
        <v>No</v>
      </c>
      <c r="AC555" s="9" t="s">
        <v>2215</v>
      </c>
      <c r="AD555">
        <f>IF(AC555="",0,LEN(AC555)-LEN(SUBSTITUTE(AC555,",",""))+1)</f>
        <v>8</v>
      </c>
    </row>
    <row r="556" spans="1:30" ht="12.5" x14ac:dyDescent="0.25">
      <c r="A556" s="1" t="s">
        <v>2216</v>
      </c>
      <c r="B556" s="1" t="s">
        <v>2217</v>
      </c>
      <c r="C556" s="1" t="str">
        <v>Daniel Zamora</v>
      </c>
      <c r="D556" s="1" t="s">
        <v>2218</v>
      </c>
      <c r="E556" s="1" t="str">
        <v>natasha60@yahoo.com</v>
      </c>
      <c r="F556" t="str">
        <f t="shared" si="106"/>
        <v>Valid</v>
      </c>
      <c r="G556" s="1" t="s">
        <v>43</v>
      </c>
      <c r="H556" s="1" t="str">
        <f t="shared" si="107"/>
        <v>Female</v>
      </c>
      <c r="I556" s="1" t="s">
        <v>74</v>
      </c>
      <c r="J556" t="str">
        <f t="shared" si="108"/>
        <v>USA</v>
      </c>
      <c r="L556" s="1">
        <f t="shared" si="109"/>
        <v>19</v>
      </c>
      <c r="M556" s="1" t="str">
        <f t="shared" si="110"/>
        <v>Student</v>
      </c>
      <c r="N556" s="9">
        <v>45125</v>
      </c>
      <c r="O556" s="1" t="s">
        <v>19</v>
      </c>
      <c r="P556" s="1" t="s">
        <v>20</v>
      </c>
      <c r="Q556" s="4">
        <v>0.83</v>
      </c>
      <c r="R556" s="13">
        <f t="shared" si="111"/>
        <v>83</v>
      </c>
      <c r="S556" s="6">
        <f t="shared" si="105"/>
        <v>0.83</v>
      </c>
      <c r="T556" s="1">
        <v>1.5</v>
      </c>
      <c r="U556" s="1">
        <f t="shared" si="112"/>
        <v>1.5</v>
      </c>
      <c r="V556" s="1">
        <f t="shared" si="113"/>
        <v>58.55</v>
      </c>
      <c r="W556" s="10" t="str">
        <f t="shared" si="114"/>
        <v>Medium</v>
      </c>
      <c r="X556" s="1" t="s">
        <v>38</v>
      </c>
      <c r="Y556" s="1" t="str">
        <f t="shared" si="115"/>
        <v>No</v>
      </c>
      <c r="Z556" s="14">
        <v>2</v>
      </c>
      <c r="AA556" s="18">
        <f t="shared" si="116"/>
        <v>2</v>
      </c>
      <c r="AB556" s="18" t="str">
        <f t="shared" si="117"/>
        <v>No</v>
      </c>
      <c r="AC556" s="9" t="s">
        <v>2219</v>
      </c>
      <c r="AD556">
        <f>IF(AC556="",0,LEN(AC556)-LEN(SUBSTITUTE(AC556,",",""))+1)</f>
        <v>4</v>
      </c>
    </row>
    <row r="557" spans="1:30" ht="12.5" x14ac:dyDescent="0.25">
      <c r="A557" s="1" t="s">
        <v>2220</v>
      </c>
      <c r="B557" s="1" t="s">
        <v>2221</v>
      </c>
      <c r="C557" s="1" t="str">
        <v>Jason Randall</v>
      </c>
      <c r="D557" s="1" t="s">
        <v>2222</v>
      </c>
      <c r="E557" s="1" t="str">
        <v>hollowayholly@hotmail.com</v>
      </c>
      <c r="F557" t="str">
        <f t="shared" si="106"/>
        <v>Valid</v>
      </c>
      <c r="G557" s="1" t="s">
        <v>43</v>
      </c>
      <c r="H557" s="1" t="str">
        <f t="shared" si="107"/>
        <v>Female</v>
      </c>
      <c r="I557" s="1" t="s">
        <v>89</v>
      </c>
      <c r="J557" t="str">
        <f t="shared" si="108"/>
        <v>GERMANY</v>
      </c>
      <c r="K557" s="14">
        <v>0</v>
      </c>
      <c r="L557" s="1">
        <f t="shared" si="109"/>
        <v>19</v>
      </c>
      <c r="M557" s="1" t="str">
        <f t="shared" si="110"/>
        <v>Student</v>
      </c>
      <c r="N557" s="2">
        <v>44812</v>
      </c>
      <c r="O557" s="1" t="s">
        <v>19</v>
      </c>
      <c r="P557" s="1" t="s">
        <v>20</v>
      </c>
      <c r="Q557" s="4">
        <v>56</v>
      </c>
      <c r="R557" s="13">
        <f t="shared" si="111"/>
        <v>56</v>
      </c>
      <c r="S557" s="6">
        <f t="shared" si="105"/>
        <v>0.56000000000000005</v>
      </c>
      <c r="T557" s="1" t="s">
        <v>21</v>
      </c>
      <c r="U557" s="1">
        <f t="shared" si="112"/>
        <v>1.5</v>
      </c>
      <c r="V557" s="1">
        <f t="shared" si="113"/>
        <v>39.65</v>
      </c>
      <c r="W557" s="10" t="str">
        <f t="shared" si="114"/>
        <v>Low</v>
      </c>
      <c r="X557" s="1" t="s">
        <v>38</v>
      </c>
      <c r="Y557" s="1" t="str">
        <f t="shared" si="115"/>
        <v>No</v>
      </c>
      <c r="Z557" s="14">
        <v>4</v>
      </c>
      <c r="AA557" s="18">
        <f t="shared" si="116"/>
        <v>4</v>
      </c>
      <c r="AB557" s="18" t="str">
        <f t="shared" si="117"/>
        <v>No</v>
      </c>
      <c r="AC557" s="9" t="s">
        <v>2223</v>
      </c>
      <c r="AD557">
        <f>IF(AC557="",0,LEN(AC557)-LEN(SUBSTITUTE(AC557,",",""))+1)</f>
        <v>3</v>
      </c>
    </row>
    <row r="558" spans="1:30" ht="12.5" x14ac:dyDescent="0.25">
      <c r="A558" s="1" t="s">
        <v>2224</v>
      </c>
      <c r="B558" s="1" t="s">
        <v>2225</v>
      </c>
      <c r="C558" s="1" t="str">
        <v>Nancy Chavez</v>
      </c>
      <c r="D558" s="1" t="s">
        <v>2226</v>
      </c>
      <c r="E558" s="1" t="str">
        <v>davidsonisaiah@gibbs-taylor.biz</v>
      </c>
      <c r="F558" t="str">
        <f t="shared" si="106"/>
        <v>Valid</v>
      </c>
      <c r="G558" s="1" t="s">
        <v>27</v>
      </c>
      <c r="H558" s="1" t="str">
        <f t="shared" si="107"/>
        <v>Male</v>
      </c>
      <c r="I558" s="1" t="s">
        <v>28</v>
      </c>
      <c r="J558" t="str">
        <f t="shared" si="108"/>
        <v>INDIA</v>
      </c>
      <c r="L558" s="1">
        <f t="shared" si="109"/>
        <v>19</v>
      </c>
      <c r="M558" s="1" t="str">
        <f t="shared" si="110"/>
        <v>Student</v>
      </c>
      <c r="N558" s="9">
        <v>44761</v>
      </c>
      <c r="O558" s="1" t="s">
        <v>301</v>
      </c>
      <c r="P558" s="1" t="s">
        <v>20</v>
      </c>
      <c r="Q558" s="4">
        <v>0.91</v>
      </c>
      <c r="R558" s="13">
        <f t="shared" si="111"/>
        <v>91</v>
      </c>
      <c r="S558" s="6">
        <f t="shared" si="105"/>
        <v>0.91</v>
      </c>
      <c r="T558" s="1">
        <v>1.5</v>
      </c>
      <c r="U558" s="1">
        <f t="shared" si="112"/>
        <v>1.5</v>
      </c>
      <c r="V558" s="1">
        <f t="shared" si="113"/>
        <v>64.149999999999991</v>
      </c>
      <c r="W558" s="10" t="str">
        <f t="shared" si="114"/>
        <v>Medium</v>
      </c>
      <c r="X558" s="1">
        <v>1</v>
      </c>
      <c r="Y558" s="1" t="str">
        <f t="shared" si="115"/>
        <v>Yes</v>
      </c>
      <c r="Z558" s="14">
        <v>4</v>
      </c>
      <c r="AA558" s="18">
        <f t="shared" si="116"/>
        <v>4</v>
      </c>
      <c r="AB558" s="18" t="str">
        <f t="shared" si="117"/>
        <v>High Performer</v>
      </c>
      <c r="AC558" s="9" t="s">
        <v>2227</v>
      </c>
      <c r="AD558">
        <f>IF(AC558="",0,LEN(AC558)-LEN(SUBSTITUTE(AC558,",",""))+1)</f>
        <v>1</v>
      </c>
    </row>
    <row r="559" spans="1:30" ht="12.5" x14ac:dyDescent="0.25">
      <c r="A559" s="1" t="s">
        <v>2228</v>
      </c>
      <c r="B559" s="1" t="s">
        <v>2229</v>
      </c>
      <c r="C559" s="1" t="str">
        <v>Christopher Black</v>
      </c>
      <c r="D559" s="1" t="s">
        <v>2230</v>
      </c>
      <c r="E559" s="1" t="str">
        <v>usparks@mendoza-moss.com</v>
      </c>
      <c r="F559" t="str">
        <f t="shared" si="106"/>
        <v>Valid</v>
      </c>
      <c r="G559" s="1" t="s">
        <v>17</v>
      </c>
      <c r="H559" s="1" t="str">
        <f t="shared" si="107"/>
        <v>Female</v>
      </c>
      <c r="I559" s="1" t="s">
        <v>44</v>
      </c>
      <c r="J559" t="str">
        <f t="shared" si="108"/>
        <v>CANADA</v>
      </c>
      <c r="L559" s="1">
        <f t="shared" si="109"/>
        <v>19</v>
      </c>
      <c r="M559" s="1" t="str">
        <f t="shared" si="110"/>
        <v>Student</v>
      </c>
      <c r="N559" s="2">
        <v>45232</v>
      </c>
      <c r="O559" s="1" t="s">
        <v>30</v>
      </c>
      <c r="P559" s="1" t="s">
        <v>31</v>
      </c>
      <c r="Q559" s="4">
        <v>67</v>
      </c>
      <c r="R559" s="13">
        <f t="shared" si="111"/>
        <v>67</v>
      </c>
      <c r="S559" s="6">
        <f t="shared" si="105"/>
        <v>0.67</v>
      </c>
      <c r="T559" s="1" t="s">
        <v>21</v>
      </c>
      <c r="U559" s="1">
        <f t="shared" si="112"/>
        <v>1.5</v>
      </c>
      <c r="V559" s="1">
        <f t="shared" si="113"/>
        <v>47.35</v>
      </c>
      <c r="W559" s="10" t="str">
        <f t="shared" si="114"/>
        <v>Medium</v>
      </c>
      <c r="X559" s="1" t="s">
        <v>76</v>
      </c>
      <c r="Y559" s="1" t="str">
        <f t="shared" si="115"/>
        <v>Yes</v>
      </c>
      <c r="Z559" s="14">
        <v>1</v>
      </c>
      <c r="AA559" s="18">
        <f t="shared" si="116"/>
        <v>1</v>
      </c>
      <c r="AB559" s="18" t="str">
        <f t="shared" si="117"/>
        <v>No</v>
      </c>
      <c r="AC559" s="9" t="s">
        <v>2231</v>
      </c>
      <c r="AD559">
        <f>IF(AC559="",0,LEN(AC559)-LEN(SUBSTITUTE(AC559,",",""))+1)</f>
        <v>8</v>
      </c>
    </row>
    <row r="560" spans="1:30" ht="12.5" x14ac:dyDescent="0.25">
      <c r="A560" s="1" t="s">
        <v>2232</v>
      </c>
      <c r="B560" s="1" t="s">
        <v>2233</v>
      </c>
      <c r="C560" s="1" t="str">
        <v>Christina Perry</v>
      </c>
      <c r="D560" s="1" t="s">
        <v>2234</v>
      </c>
      <c r="E560" s="1" t="str">
        <v>kwalter@smith.net</v>
      </c>
      <c r="F560" t="str">
        <f t="shared" si="106"/>
        <v>Valid</v>
      </c>
      <c r="G560" s="1" t="s">
        <v>57</v>
      </c>
      <c r="H560" s="1" t="str">
        <f t="shared" si="107"/>
        <v>Female</v>
      </c>
      <c r="I560" s="1" t="s">
        <v>136</v>
      </c>
      <c r="J560" t="str">
        <f t="shared" si="108"/>
        <v>UK</v>
      </c>
      <c r="K560" s="14">
        <v>0</v>
      </c>
      <c r="L560" s="1">
        <f t="shared" si="109"/>
        <v>19</v>
      </c>
      <c r="M560" s="1" t="str">
        <f t="shared" si="110"/>
        <v>Student</v>
      </c>
      <c r="N560" s="2">
        <v>44927</v>
      </c>
      <c r="O560" s="1" t="s">
        <v>114</v>
      </c>
      <c r="P560" s="1" t="s">
        <v>59</v>
      </c>
      <c r="Q560" s="4">
        <v>0.02</v>
      </c>
      <c r="R560" s="13">
        <f t="shared" si="111"/>
        <v>2</v>
      </c>
      <c r="S560" s="6">
        <f t="shared" si="105"/>
        <v>0.02</v>
      </c>
      <c r="T560" s="1" t="s">
        <v>64</v>
      </c>
      <c r="U560" s="1">
        <f t="shared" si="112"/>
        <v>2</v>
      </c>
      <c r="V560" s="1">
        <f t="shared" si="113"/>
        <v>2</v>
      </c>
      <c r="W560" s="10" t="str">
        <f t="shared" si="114"/>
        <v>Low</v>
      </c>
      <c r="X560" s="1">
        <v>0</v>
      </c>
      <c r="Y560" s="1" t="str">
        <f t="shared" si="115"/>
        <v>No</v>
      </c>
      <c r="Z560" s="14">
        <v>2</v>
      </c>
      <c r="AA560" s="18">
        <f t="shared" si="116"/>
        <v>2</v>
      </c>
      <c r="AB560" s="18" t="str">
        <f t="shared" si="117"/>
        <v>No</v>
      </c>
      <c r="AC560" s="9" t="s">
        <v>2235</v>
      </c>
      <c r="AD560">
        <f>IF(AC560="",0,LEN(AC560)-LEN(SUBSTITUTE(AC560,",",""))+1)</f>
        <v>6</v>
      </c>
    </row>
    <row r="561" spans="1:30" ht="12.5" x14ac:dyDescent="0.25">
      <c r="A561" s="1" t="s">
        <v>2236</v>
      </c>
      <c r="B561" s="1" t="s">
        <v>2237</v>
      </c>
      <c r="C561" s="1" t="str">
        <v>Joel Green</v>
      </c>
      <c r="D561" s="1" t="s">
        <v>2238</v>
      </c>
      <c r="E561" s="1" t="str">
        <v>moralesroy@hernandez-rubio.com</v>
      </c>
      <c r="F561" t="str">
        <f t="shared" si="106"/>
        <v>Valid</v>
      </c>
      <c r="G561" s="1" t="s">
        <v>57</v>
      </c>
      <c r="H561" s="1" t="str">
        <f t="shared" si="107"/>
        <v>Female</v>
      </c>
      <c r="I561" s="1" t="s">
        <v>136</v>
      </c>
      <c r="J561" t="str">
        <f t="shared" si="108"/>
        <v>UK</v>
      </c>
      <c r="K561" s="14">
        <v>43</v>
      </c>
      <c r="L561" s="1">
        <f t="shared" si="109"/>
        <v>43</v>
      </c>
      <c r="M561" s="1" t="str">
        <f t="shared" si="110"/>
        <v>Senior</v>
      </c>
      <c r="N561" s="2">
        <v>45809</v>
      </c>
      <c r="O561" s="1" t="s">
        <v>75</v>
      </c>
      <c r="P561" s="1" t="s">
        <v>37</v>
      </c>
      <c r="Q561" s="4">
        <v>92</v>
      </c>
      <c r="R561" s="13">
        <f t="shared" si="111"/>
        <v>92</v>
      </c>
      <c r="S561" s="6">
        <f t="shared" si="105"/>
        <v>0.92</v>
      </c>
      <c r="T561" s="1" t="s">
        <v>21</v>
      </c>
      <c r="U561" s="1">
        <f t="shared" si="112"/>
        <v>1.5</v>
      </c>
      <c r="V561" s="1">
        <f t="shared" si="113"/>
        <v>64.849999999999994</v>
      </c>
      <c r="W561" s="10" t="str">
        <f t="shared" si="114"/>
        <v>Medium</v>
      </c>
      <c r="X561" s="1" t="s">
        <v>32</v>
      </c>
      <c r="Y561" s="1" t="str">
        <f t="shared" si="115"/>
        <v>Yes</v>
      </c>
      <c r="AA561" s="18" t="str">
        <f t="shared" si="116"/>
        <v>Invalid</v>
      </c>
      <c r="AB561" s="18" t="str">
        <f t="shared" si="117"/>
        <v>High Performer</v>
      </c>
      <c r="AC561" s="9" t="s">
        <v>2239</v>
      </c>
      <c r="AD561">
        <f>IF(AC561="",0,LEN(AC561)-LEN(SUBSTITUTE(AC561,",",""))+1)</f>
        <v>8</v>
      </c>
    </row>
    <row r="562" spans="1:30" ht="12.5" x14ac:dyDescent="0.25">
      <c r="A562" s="1" t="s">
        <v>2240</v>
      </c>
      <c r="B562" s="1" t="s">
        <v>2241</v>
      </c>
      <c r="C562" s="1" t="str">
        <v>Thomas Chavez</v>
      </c>
      <c r="D562" s="1" t="s">
        <v>2242</v>
      </c>
      <c r="E562" s="1" t="str">
        <v>walkerjames@yahoo.com</v>
      </c>
      <c r="F562" t="str">
        <f t="shared" si="106"/>
        <v>Valid</v>
      </c>
      <c r="G562" s="1" t="s">
        <v>119</v>
      </c>
      <c r="H562" s="1" t="str">
        <f t="shared" si="107"/>
        <v>Female</v>
      </c>
      <c r="I562" s="1" t="s">
        <v>44</v>
      </c>
      <c r="J562" t="str">
        <f t="shared" si="108"/>
        <v>CANADA</v>
      </c>
      <c r="K562" s="14">
        <v>25</v>
      </c>
      <c r="L562" s="1">
        <f t="shared" si="109"/>
        <v>25</v>
      </c>
      <c r="M562" s="1" t="str">
        <f t="shared" si="110"/>
        <v>Early Career</v>
      </c>
      <c r="N562" s="2">
        <v>45391</v>
      </c>
      <c r="O562" s="1" t="s">
        <v>45</v>
      </c>
      <c r="P562" s="1" t="s">
        <v>20</v>
      </c>
      <c r="Q562" s="4">
        <v>0.2</v>
      </c>
      <c r="R562" s="13">
        <f t="shared" si="111"/>
        <v>20</v>
      </c>
      <c r="S562" s="6">
        <f t="shared" si="105"/>
        <v>0.2</v>
      </c>
      <c r="T562" s="1" t="s">
        <v>21</v>
      </c>
      <c r="U562" s="1">
        <f t="shared" si="112"/>
        <v>1.5</v>
      </c>
      <c r="V562" s="1">
        <f t="shared" si="113"/>
        <v>14.45</v>
      </c>
      <c r="W562" s="10" t="str">
        <f t="shared" si="114"/>
        <v>Low</v>
      </c>
      <c r="X562" s="1" t="s">
        <v>76</v>
      </c>
      <c r="Y562" s="1" t="str">
        <f t="shared" si="115"/>
        <v>Yes</v>
      </c>
      <c r="Z562" s="14">
        <v>5</v>
      </c>
      <c r="AA562" s="18">
        <f t="shared" si="116"/>
        <v>5</v>
      </c>
      <c r="AB562" s="18" t="str">
        <f t="shared" si="117"/>
        <v>High Performer</v>
      </c>
      <c r="AC562" s="9" t="s">
        <v>2243</v>
      </c>
      <c r="AD562">
        <f>IF(AC562="",0,LEN(AC562)-LEN(SUBSTITUTE(AC562,",",""))+1)</f>
        <v>8</v>
      </c>
    </row>
    <row r="563" spans="1:30" ht="12.5" x14ac:dyDescent="0.25">
      <c r="A563" s="1" t="s">
        <v>2244</v>
      </c>
      <c r="B563" s="1" t="s">
        <v>2245</v>
      </c>
      <c r="C563" s="1" t="str">
        <v>Daniel Lewis</v>
      </c>
      <c r="D563" s="1" t="s">
        <v>2246</v>
      </c>
      <c r="E563" s="1" t="str">
        <v>robertortiz@gmail.com</v>
      </c>
      <c r="F563" t="str">
        <f t="shared" si="106"/>
        <v>Valid</v>
      </c>
      <c r="G563" s="1" t="s">
        <v>17</v>
      </c>
      <c r="H563" s="1" t="str">
        <f t="shared" si="107"/>
        <v>Female</v>
      </c>
      <c r="I563" s="1" t="s">
        <v>89</v>
      </c>
      <c r="J563" t="str">
        <f t="shared" si="108"/>
        <v>GERMANY</v>
      </c>
      <c r="K563" s="14">
        <v>0</v>
      </c>
      <c r="L563" s="1">
        <f t="shared" si="109"/>
        <v>19</v>
      </c>
      <c r="M563" s="1" t="str">
        <f t="shared" si="110"/>
        <v>Student</v>
      </c>
      <c r="N563" s="9">
        <v>45105</v>
      </c>
      <c r="O563" s="1" t="s">
        <v>52</v>
      </c>
      <c r="P563" s="1" t="s">
        <v>37</v>
      </c>
      <c r="Q563" s="4">
        <v>0.64</v>
      </c>
      <c r="R563" s="13">
        <f t="shared" si="111"/>
        <v>64</v>
      </c>
      <c r="S563" s="6">
        <f t="shared" si="105"/>
        <v>0.64</v>
      </c>
      <c r="T563" s="1" t="s">
        <v>46</v>
      </c>
      <c r="U563" s="1">
        <f t="shared" si="112"/>
        <v>1</v>
      </c>
      <c r="V563" s="1">
        <f t="shared" si="113"/>
        <v>45.099999999999994</v>
      </c>
      <c r="W563" s="10" t="str">
        <f t="shared" si="114"/>
        <v>Medium</v>
      </c>
      <c r="X563" s="1" t="s">
        <v>32</v>
      </c>
      <c r="Y563" s="1" t="str">
        <f t="shared" si="115"/>
        <v>Yes</v>
      </c>
      <c r="Z563" s="14">
        <v>1</v>
      </c>
      <c r="AA563" s="18">
        <f t="shared" si="116"/>
        <v>1</v>
      </c>
      <c r="AB563" s="18" t="str">
        <f t="shared" si="117"/>
        <v>No</v>
      </c>
      <c r="AC563" s="9" t="s">
        <v>2247</v>
      </c>
      <c r="AD563">
        <f>IF(AC563="",0,LEN(AC563)-LEN(SUBSTITUTE(AC563,",",""))+1)</f>
        <v>6</v>
      </c>
    </row>
    <row r="564" spans="1:30" ht="12.5" x14ac:dyDescent="0.25">
      <c r="A564" s="1" t="s">
        <v>2248</v>
      </c>
      <c r="B564" s="1" t="s">
        <v>2249</v>
      </c>
      <c r="C564" s="1" t="str">
        <v>Susan Wood</v>
      </c>
      <c r="D564" s="1" t="s">
        <v>2250</v>
      </c>
      <c r="E564" s="1" t="str">
        <v>smithdean@yahoo.com</v>
      </c>
      <c r="F564" t="str">
        <f t="shared" si="106"/>
        <v>Valid</v>
      </c>
      <c r="G564" s="1" t="s">
        <v>17</v>
      </c>
      <c r="H564" s="1" t="str">
        <f t="shared" si="107"/>
        <v>Female</v>
      </c>
      <c r="I564" s="1" t="s">
        <v>28</v>
      </c>
      <c r="J564" t="str">
        <f t="shared" si="108"/>
        <v>INDIA</v>
      </c>
      <c r="L564" s="1">
        <f t="shared" si="109"/>
        <v>19</v>
      </c>
      <c r="M564" s="1" t="str">
        <f t="shared" si="110"/>
        <v>Student</v>
      </c>
      <c r="N564" s="9">
        <v>44702</v>
      </c>
      <c r="O564" s="1" t="s">
        <v>52</v>
      </c>
      <c r="P564" s="1" t="s">
        <v>37</v>
      </c>
      <c r="Q564" s="4">
        <v>0.19</v>
      </c>
      <c r="R564" s="13">
        <f t="shared" si="111"/>
        <v>19</v>
      </c>
      <c r="S564" s="6">
        <f t="shared" si="105"/>
        <v>0.19</v>
      </c>
      <c r="T564" s="1">
        <v>45</v>
      </c>
      <c r="U564" s="1">
        <f t="shared" si="112"/>
        <v>45</v>
      </c>
      <c r="V564" s="1">
        <f t="shared" si="113"/>
        <v>26.799999999999997</v>
      </c>
      <c r="W564" s="10" t="str">
        <f t="shared" si="114"/>
        <v>Low</v>
      </c>
      <c r="X564" s="1" t="s">
        <v>76</v>
      </c>
      <c r="Y564" s="1" t="str">
        <f t="shared" si="115"/>
        <v>Yes</v>
      </c>
      <c r="Z564" s="14">
        <v>6</v>
      </c>
      <c r="AA564" s="18">
        <f t="shared" si="116"/>
        <v>6</v>
      </c>
      <c r="AB564" s="18" t="str">
        <f t="shared" si="117"/>
        <v>High Performer</v>
      </c>
      <c r="AC564" s="9" t="s">
        <v>2251</v>
      </c>
      <c r="AD564">
        <f>IF(AC564="",0,LEN(AC564)-LEN(SUBSTITUTE(AC564,",",""))+1)</f>
        <v>1</v>
      </c>
    </row>
    <row r="565" spans="1:30" ht="12.5" x14ac:dyDescent="0.25">
      <c r="A565" s="1" t="s">
        <v>2252</v>
      </c>
      <c r="B565" s="1" t="s">
        <v>2253</v>
      </c>
      <c r="C565" s="1" t="str">
        <v>Jay Harper</v>
      </c>
      <c r="D565" s="1" t="s">
        <v>2254</v>
      </c>
      <c r="E565" s="1" t="str">
        <v>hawkinsbrett@ruiz.org</v>
      </c>
      <c r="F565" t="str">
        <f t="shared" si="106"/>
        <v>Valid</v>
      </c>
      <c r="G565" s="1" t="s">
        <v>57</v>
      </c>
      <c r="H565" s="1" t="str">
        <f t="shared" si="107"/>
        <v>Female</v>
      </c>
      <c r="I565" s="1" t="s">
        <v>51</v>
      </c>
      <c r="J565" t="str">
        <f t="shared" si="108"/>
        <v>UK</v>
      </c>
      <c r="L565" s="1">
        <f t="shared" si="109"/>
        <v>19</v>
      </c>
      <c r="M565" s="1" t="str">
        <f t="shared" si="110"/>
        <v>Student</v>
      </c>
      <c r="N565" s="9">
        <v>45734</v>
      </c>
      <c r="O565" s="1" t="s">
        <v>45</v>
      </c>
      <c r="P565" s="1" t="s">
        <v>20</v>
      </c>
      <c r="Q565" s="4">
        <v>0.13</v>
      </c>
      <c r="R565" s="13">
        <f t="shared" si="111"/>
        <v>13</v>
      </c>
      <c r="S565" s="6">
        <f t="shared" si="105"/>
        <v>0.13</v>
      </c>
      <c r="T565" s="1">
        <v>45</v>
      </c>
      <c r="U565" s="1">
        <f t="shared" si="112"/>
        <v>45</v>
      </c>
      <c r="V565" s="1">
        <f t="shared" si="113"/>
        <v>22.6</v>
      </c>
      <c r="W565" s="10" t="str">
        <f t="shared" si="114"/>
        <v>Low</v>
      </c>
      <c r="X565" s="1">
        <v>1</v>
      </c>
      <c r="Y565" s="1" t="str">
        <f t="shared" si="115"/>
        <v>Yes</v>
      </c>
      <c r="Z565" s="14">
        <v>2</v>
      </c>
      <c r="AA565" s="18">
        <f t="shared" si="116"/>
        <v>2</v>
      </c>
      <c r="AB565" s="18" t="str">
        <f t="shared" si="117"/>
        <v>No</v>
      </c>
      <c r="AC565" s="9" t="s">
        <v>2075</v>
      </c>
      <c r="AD565">
        <f>IF(AC565="",0,LEN(AC565)-LEN(SUBSTITUTE(AC565,",",""))+1)</f>
        <v>2</v>
      </c>
    </row>
    <row r="566" spans="1:30" ht="12.5" x14ac:dyDescent="0.25">
      <c r="A566" s="1" t="s">
        <v>2255</v>
      </c>
      <c r="B566" s="1" t="s">
        <v>2256</v>
      </c>
      <c r="C566" s="1" t="str">
        <v>Amber King</v>
      </c>
      <c r="D566" s="1" t="s">
        <v>2257</v>
      </c>
      <c r="E566" s="1" t="str">
        <v>tiffany52@hotmail.com</v>
      </c>
      <c r="F566" t="str">
        <f t="shared" si="106"/>
        <v>Valid</v>
      </c>
      <c r="G566" s="1" t="s">
        <v>119</v>
      </c>
      <c r="H566" s="1" t="str">
        <f t="shared" si="107"/>
        <v>Female</v>
      </c>
      <c r="I566" s="1" t="s">
        <v>18</v>
      </c>
      <c r="J566" t="str">
        <f t="shared" si="108"/>
        <v>US</v>
      </c>
      <c r="K566" s="14">
        <v>42</v>
      </c>
      <c r="L566" s="1">
        <f t="shared" si="109"/>
        <v>42</v>
      </c>
      <c r="M566" s="1" t="str">
        <f t="shared" si="110"/>
        <v>Senior</v>
      </c>
      <c r="N566" s="2">
        <v>45993</v>
      </c>
      <c r="O566" s="1" t="s">
        <v>114</v>
      </c>
      <c r="P566" s="1" t="s">
        <v>59</v>
      </c>
      <c r="Q566" s="4">
        <v>0.42</v>
      </c>
      <c r="R566" s="13">
        <f t="shared" si="111"/>
        <v>42</v>
      </c>
      <c r="S566" s="6">
        <f t="shared" si="105"/>
        <v>0.42</v>
      </c>
      <c r="T566" s="1" t="s">
        <v>21</v>
      </c>
      <c r="U566" s="1">
        <f t="shared" si="112"/>
        <v>1.5</v>
      </c>
      <c r="V566" s="1">
        <f t="shared" si="113"/>
        <v>29.849999999999998</v>
      </c>
      <c r="W566" s="10" t="str">
        <f t="shared" si="114"/>
        <v>Low</v>
      </c>
      <c r="X566" s="1" t="s">
        <v>38</v>
      </c>
      <c r="Y566" s="1" t="str">
        <f t="shared" si="115"/>
        <v>No</v>
      </c>
      <c r="Z566" s="14">
        <v>6</v>
      </c>
      <c r="AA566" s="18">
        <f t="shared" si="116"/>
        <v>6</v>
      </c>
      <c r="AB566" s="18" t="str">
        <f t="shared" si="117"/>
        <v>No</v>
      </c>
      <c r="AC566" s="9" t="s">
        <v>2258</v>
      </c>
      <c r="AD566">
        <f>IF(AC566="",0,LEN(AC566)-LEN(SUBSTITUTE(AC566,",",""))+1)</f>
        <v>2</v>
      </c>
    </row>
    <row r="567" spans="1:30" ht="12.5" x14ac:dyDescent="0.25">
      <c r="A567" s="1" t="s">
        <v>2259</v>
      </c>
      <c r="B567" s="1" t="s">
        <v>2260</v>
      </c>
      <c r="C567" s="1" t="str">
        <v>Tara Humphrey</v>
      </c>
      <c r="D567" s="1" t="s">
        <v>2261</v>
      </c>
      <c r="E567" s="1" t="str">
        <v>stewartalyssa@green.com</v>
      </c>
      <c r="F567" t="str">
        <f t="shared" si="106"/>
        <v>Valid</v>
      </c>
      <c r="G567" s="1" t="s">
        <v>43</v>
      </c>
      <c r="H567" s="1" t="str">
        <f t="shared" si="107"/>
        <v>Female</v>
      </c>
      <c r="I567" s="1" t="s">
        <v>51</v>
      </c>
      <c r="J567" t="str">
        <f t="shared" si="108"/>
        <v>UK</v>
      </c>
      <c r="K567" s="14">
        <v>0</v>
      </c>
      <c r="L567" s="1">
        <f t="shared" si="109"/>
        <v>19</v>
      </c>
      <c r="M567" s="1" t="str">
        <f t="shared" si="110"/>
        <v>Student</v>
      </c>
      <c r="N567" s="2">
        <v>44810</v>
      </c>
      <c r="O567" s="1" t="s">
        <v>52</v>
      </c>
      <c r="P567" s="1" t="s">
        <v>37</v>
      </c>
      <c r="Q567" s="4">
        <v>0.91</v>
      </c>
      <c r="R567" s="13">
        <f t="shared" si="111"/>
        <v>91</v>
      </c>
      <c r="S567" s="6">
        <f t="shared" si="105"/>
        <v>0.91</v>
      </c>
      <c r="T567" s="1">
        <v>1.5</v>
      </c>
      <c r="U567" s="1">
        <f t="shared" si="112"/>
        <v>1.5</v>
      </c>
      <c r="V567" s="1">
        <f t="shared" si="113"/>
        <v>64.149999999999991</v>
      </c>
      <c r="W567" s="10" t="str">
        <f t="shared" si="114"/>
        <v>Medium</v>
      </c>
      <c r="X567" s="1" t="s">
        <v>22</v>
      </c>
      <c r="Y567" s="1" t="str">
        <f t="shared" si="115"/>
        <v>No</v>
      </c>
      <c r="Z567" s="14">
        <v>6</v>
      </c>
      <c r="AA567" s="18">
        <f t="shared" si="116"/>
        <v>6</v>
      </c>
      <c r="AB567" s="18" t="str">
        <f t="shared" si="117"/>
        <v>No</v>
      </c>
      <c r="AC567" s="9" t="s">
        <v>2262</v>
      </c>
      <c r="AD567">
        <f>IF(AC567="",0,LEN(AC567)-LEN(SUBSTITUTE(AC567,",",""))+1)</f>
        <v>3</v>
      </c>
    </row>
    <row r="568" spans="1:30" ht="12.5" x14ac:dyDescent="0.25">
      <c r="A568" s="1" t="s">
        <v>2263</v>
      </c>
      <c r="B568" s="1" t="s">
        <v>2264</v>
      </c>
      <c r="C568" s="1" t="str">
        <v>Isaac Jordan</v>
      </c>
      <c r="D568" s="1" t="s">
        <v>2265</v>
      </c>
      <c r="E568" s="1" t="str">
        <v>zachary62@yahoo.com</v>
      </c>
      <c r="F568" t="str">
        <f t="shared" si="106"/>
        <v>Valid</v>
      </c>
      <c r="G568" s="1" t="s">
        <v>119</v>
      </c>
      <c r="H568" s="1" t="str">
        <f t="shared" si="107"/>
        <v>Female</v>
      </c>
      <c r="I568" s="1" t="s">
        <v>51</v>
      </c>
      <c r="J568" t="str">
        <f t="shared" si="108"/>
        <v>UK</v>
      </c>
      <c r="K568" s="14">
        <v>42</v>
      </c>
      <c r="L568" s="1">
        <f t="shared" si="109"/>
        <v>42</v>
      </c>
      <c r="M568" s="1" t="str">
        <f t="shared" si="110"/>
        <v>Senior</v>
      </c>
      <c r="N568" s="9">
        <v>44856</v>
      </c>
      <c r="O568" s="1" t="s">
        <v>170</v>
      </c>
      <c r="P568" s="1" t="s">
        <v>147</v>
      </c>
      <c r="Q568" s="4">
        <v>66</v>
      </c>
      <c r="R568" s="13">
        <f t="shared" si="111"/>
        <v>66</v>
      </c>
      <c r="S568" s="6">
        <f t="shared" si="105"/>
        <v>0.66</v>
      </c>
      <c r="T568" s="1" t="s">
        <v>64</v>
      </c>
      <c r="U568" s="1">
        <f t="shared" si="112"/>
        <v>2</v>
      </c>
      <c r="V568" s="1">
        <f t="shared" si="113"/>
        <v>46.8</v>
      </c>
      <c r="W568" s="10" t="str">
        <f t="shared" si="114"/>
        <v>Medium</v>
      </c>
      <c r="X568" s="1">
        <v>1</v>
      </c>
      <c r="Y568" s="1" t="str">
        <f t="shared" si="115"/>
        <v>Yes</v>
      </c>
      <c r="Z568" s="14">
        <v>6</v>
      </c>
      <c r="AA568" s="18">
        <f t="shared" si="116"/>
        <v>6</v>
      </c>
      <c r="AB568" s="18" t="str">
        <f t="shared" si="117"/>
        <v>High Performer</v>
      </c>
      <c r="AC568" s="9" t="s">
        <v>2266</v>
      </c>
      <c r="AD568">
        <f>IF(AC568="",0,LEN(AC568)-LEN(SUBSTITUTE(AC568,",",""))+1)</f>
        <v>7</v>
      </c>
    </row>
    <row r="569" spans="1:30" ht="12.5" x14ac:dyDescent="0.25">
      <c r="A569" s="1" t="s">
        <v>2267</v>
      </c>
      <c r="B569" s="1" t="s">
        <v>2268</v>
      </c>
      <c r="C569" s="1" t="str">
        <v>Mary Yates</v>
      </c>
      <c r="D569" s="1" t="s">
        <v>2269</v>
      </c>
      <c r="E569" s="1" t="str">
        <v>edgarhall@harrison.info</v>
      </c>
      <c r="F569" t="str">
        <f t="shared" si="106"/>
        <v>Valid</v>
      </c>
      <c r="G569" s="1" t="s">
        <v>95</v>
      </c>
      <c r="H569" s="1" t="str">
        <f t="shared" si="107"/>
        <v>Male</v>
      </c>
      <c r="I569" s="1" t="s">
        <v>51</v>
      </c>
      <c r="J569" t="str">
        <f t="shared" si="108"/>
        <v>UK</v>
      </c>
      <c r="K569" s="14">
        <v>36</v>
      </c>
      <c r="L569" s="1">
        <f t="shared" si="109"/>
        <v>36</v>
      </c>
      <c r="M569" s="1" t="str">
        <f t="shared" si="110"/>
        <v>Mid Career</v>
      </c>
      <c r="N569" s="2">
        <v>45540</v>
      </c>
      <c r="O569" s="1" t="s">
        <v>19</v>
      </c>
      <c r="P569" s="1" t="s">
        <v>20</v>
      </c>
      <c r="Q569" s="4">
        <v>0.98</v>
      </c>
      <c r="R569" s="13">
        <f t="shared" si="111"/>
        <v>98</v>
      </c>
      <c r="S569" s="6">
        <f t="shared" si="105"/>
        <v>0.98</v>
      </c>
      <c r="T569" s="1">
        <v>2</v>
      </c>
      <c r="U569" s="1">
        <f t="shared" si="112"/>
        <v>2</v>
      </c>
      <c r="V569" s="1">
        <f t="shared" si="113"/>
        <v>69.199999999999989</v>
      </c>
      <c r="W569" s="10" t="str">
        <f t="shared" si="114"/>
        <v>Medium</v>
      </c>
      <c r="X569" s="1">
        <v>0</v>
      </c>
      <c r="Y569" s="1" t="str">
        <f t="shared" si="115"/>
        <v>No</v>
      </c>
      <c r="Z569" s="14">
        <v>2</v>
      </c>
      <c r="AA569" s="18">
        <f t="shared" si="116"/>
        <v>2</v>
      </c>
      <c r="AB569" s="18" t="str">
        <f t="shared" si="117"/>
        <v>No</v>
      </c>
      <c r="AC569" s="9" t="s">
        <v>1243</v>
      </c>
      <c r="AD569">
        <f>IF(AC569="",0,LEN(AC569)-LEN(SUBSTITUTE(AC569,",",""))+1)</f>
        <v>6</v>
      </c>
    </row>
    <row r="570" spans="1:30" ht="12.5" x14ac:dyDescent="0.25">
      <c r="A570" s="1" t="s">
        <v>2270</v>
      </c>
      <c r="B570" s="1" t="s">
        <v>2271</v>
      </c>
      <c r="C570" s="1" t="str">
        <v>Jeremy Zhang Md</v>
      </c>
      <c r="D570" s="1" t="s">
        <v>2272</v>
      </c>
      <c r="E570" s="1" t="str">
        <v>urodriguez@gmail.com</v>
      </c>
      <c r="F570" t="str">
        <f t="shared" si="106"/>
        <v>Valid</v>
      </c>
      <c r="G570" s="1" t="s">
        <v>57</v>
      </c>
      <c r="H570" s="1" t="str">
        <f t="shared" si="107"/>
        <v>Female</v>
      </c>
      <c r="I570" s="1" t="s">
        <v>156</v>
      </c>
      <c r="J570" t="str">
        <f t="shared" si="108"/>
        <v>IN</v>
      </c>
      <c r="L570" s="1">
        <f t="shared" si="109"/>
        <v>19</v>
      </c>
      <c r="M570" s="1" t="str">
        <f t="shared" si="110"/>
        <v>Student</v>
      </c>
      <c r="N570" s="9">
        <v>45335</v>
      </c>
      <c r="O570" s="1" t="s">
        <v>69</v>
      </c>
      <c r="P570" s="1" t="s">
        <v>31</v>
      </c>
      <c r="Q570" s="4">
        <v>89</v>
      </c>
      <c r="R570" s="13">
        <f t="shared" si="111"/>
        <v>89</v>
      </c>
      <c r="S570" s="6">
        <f t="shared" si="105"/>
        <v>0.89</v>
      </c>
      <c r="T570" s="1" t="s">
        <v>64</v>
      </c>
      <c r="U570" s="1">
        <f t="shared" si="112"/>
        <v>2</v>
      </c>
      <c r="V570" s="1">
        <f t="shared" si="113"/>
        <v>62.9</v>
      </c>
      <c r="W570" s="10" t="str">
        <f t="shared" si="114"/>
        <v>Medium</v>
      </c>
      <c r="X570" s="1">
        <v>1</v>
      </c>
      <c r="Y570" s="1" t="str">
        <f t="shared" si="115"/>
        <v>Yes</v>
      </c>
      <c r="Z570" s="14">
        <v>5</v>
      </c>
      <c r="AA570" s="18">
        <f t="shared" si="116"/>
        <v>5</v>
      </c>
      <c r="AB570" s="18" t="str">
        <f t="shared" si="117"/>
        <v>High Performer</v>
      </c>
      <c r="AC570" s="9" t="s">
        <v>2273</v>
      </c>
      <c r="AD570">
        <f>IF(AC570="",0,LEN(AC570)-LEN(SUBSTITUTE(AC570,",",""))+1)</f>
        <v>7</v>
      </c>
    </row>
    <row r="571" spans="1:30" ht="12.5" x14ac:dyDescent="0.25">
      <c r="A571" s="1" t="s">
        <v>2274</v>
      </c>
      <c r="B571" s="1" t="s">
        <v>2275</v>
      </c>
      <c r="C571" s="1" t="str">
        <v>Ruben Brady</v>
      </c>
      <c r="D571" s="1" t="s">
        <v>2276</v>
      </c>
      <c r="E571" s="1" t="str">
        <v>brandybonilla@hotmail.com</v>
      </c>
      <c r="F571" t="str">
        <f t="shared" si="106"/>
        <v>Valid</v>
      </c>
      <c r="G571" s="1" t="s">
        <v>57</v>
      </c>
      <c r="H571" s="1" t="str">
        <f t="shared" si="107"/>
        <v>Female</v>
      </c>
      <c r="I571" s="1" t="s">
        <v>18</v>
      </c>
      <c r="J571" t="str">
        <f t="shared" si="108"/>
        <v>US</v>
      </c>
      <c r="K571" s="14">
        <v>42</v>
      </c>
      <c r="L571" s="1">
        <f t="shared" si="109"/>
        <v>42</v>
      </c>
      <c r="M571" s="1" t="str">
        <f t="shared" si="110"/>
        <v>Senior</v>
      </c>
      <c r="N571" s="9">
        <v>44850</v>
      </c>
      <c r="O571" s="1" t="s">
        <v>146</v>
      </c>
      <c r="P571" s="1" t="s">
        <v>147</v>
      </c>
      <c r="Q571" s="4">
        <v>0.69</v>
      </c>
      <c r="R571" s="13">
        <f t="shared" si="111"/>
        <v>69</v>
      </c>
      <c r="S571" s="6">
        <f t="shared" si="105"/>
        <v>0.69</v>
      </c>
      <c r="T571" s="1" t="s">
        <v>64</v>
      </c>
      <c r="U571" s="1">
        <f t="shared" si="112"/>
        <v>2</v>
      </c>
      <c r="V571" s="1">
        <f t="shared" si="113"/>
        <v>48.9</v>
      </c>
      <c r="W571" s="10" t="str">
        <f t="shared" si="114"/>
        <v>Medium</v>
      </c>
      <c r="X571" s="1" t="s">
        <v>76</v>
      </c>
      <c r="Y571" s="1" t="str">
        <f t="shared" si="115"/>
        <v>Yes</v>
      </c>
      <c r="Z571" s="14">
        <v>5</v>
      </c>
      <c r="AA571" s="18">
        <f t="shared" si="116"/>
        <v>5</v>
      </c>
      <c r="AB571" s="18" t="str">
        <f t="shared" si="117"/>
        <v>High Performer</v>
      </c>
      <c r="AC571" s="9" t="s">
        <v>2277</v>
      </c>
      <c r="AD571">
        <f>IF(AC571="",0,LEN(AC571)-LEN(SUBSTITUTE(AC571,",",""))+1)</f>
        <v>7</v>
      </c>
    </row>
    <row r="572" spans="1:30" ht="12.5" x14ac:dyDescent="0.25">
      <c r="A572" s="1" t="s">
        <v>2278</v>
      </c>
      <c r="B572" s="1" t="s">
        <v>2279</v>
      </c>
      <c r="C572" s="1" t="str">
        <v>Jonathan Davis</v>
      </c>
      <c r="D572" s="1" t="s">
        <v>2280</v>
      </c>
      <c r="E572" s="1" t="str">
        <v>mitchelltina@gmail.com</v>
      </c>
      <c r="F572" t="str">
        <f t="shared" si="106"/>
        <v>Valid</v>
      </c>
      <c r="G572" s="1" t="s">
        <v>43</v>
      </c>
      <c r="H572" s="1" t="str">
        <f t="shared" si="107"/>
        <v>Female</v>
      </c>
      <c r="I572" s="1" t="s">
        <v>74</v>
      </c>
      <c r="J572" t="str">
        <f t="shared" si="108"/>
        <v>USA</v>
      </c>
      <c r="K572" s="14">
        <v>0</v>
      </c>
      <c r="L572" s="1">
        <f t="shared" si="109"/>
        <v>19</v>
      </c>
      <c r="M572" s="1" t="str">
        <f t="shared" si="110"/>
        <v>Student</v>
      </c>
      <c r="N572" s="2">
        <v>45544</v>
      </c>
      <c r="O572" s="1" t="s">
        <v>45</v>
      </c>
      <c r="P572" s="1" t="s">
        <v>20</v>
      </c>
      <c r="Q572" s="4">
        <v>94</v>
      </c>
      <c r="R572" s="13">
        <f t="shared" si="111"/>
        <v>94</v>
      </c>
      <c r="S572" s="6">
        <f t="shared" si="105"/>
        <v>0.94</v>
      </c>
      <c r="T572" s="1" t="s">
        <v>64</v>
      </c>
      <c r="U572" s="1">
        <f t="shared" si="112"/>
        <v>2</v>
      </c>
      <c r="V572" s="1">
        <f t="shared" si="113"/>
        <v>66.399999999999991</v>
      </c>
      <c r="W572" s="10" t="str">
        <f t="shared" si="114"/>
        <v>Medium</v>
      </c>
      <c r="X572" s="1" t="s">
        <v>32</v>
      </c>
      <c r="Y572" s="1" t="str">
        <f t="shared" si="115"/>
        <v>Yes</v>
      </c>
      <c r="Z572" s="14">
        <v>2</v>
      </c>
      <c r="AA572" s="18">
        <f t="shared" si="116"/>
        <v>2</v>
      </c>
      <c r="AB572" s="18" t="str">
        <f t="shared" si="117"/>
        <v>No</v>
      </c>
      <c r="AC572" s="9" t="s">
        <v>2281</v>
      </c>
      <c r="AD572">
        <f>IF(AC572="",0,LEN(AC572)-LEN(SUBSTITUTE(AC572,",",""))+1)</f>
        <v>6</v>
      </c>
    </row>
    <row r="573" spans="1:30" ht="12.5" x14ac:dyDescent="0.25">
      <c r="A573" s="1" t="s">
        <v>2282</v>
      </c>
      <c r="B573" s="1" t="s">
        <v>2283</v>
      </c>
      <c r="C573" s="1" t="str">
        <v>Frank Johnson</v>
      </c>
      <c r="D573" s="1" t="s">
        <v>2284</v>
      </c>
      <c r="E573" s="1" t="str">
        <v>rgibson@hotmail.com</v>
      </c>
      <c r="F573" t="str">
        <f t="shared" si="106"/>
        <v>Valid</v>
      </c>
      <c r="G573" s="1" t="s">
        <v>17</v>
      </c>
      <c r="H573" s="1" t="str">
        <f t="shared" si="107"/>
        <v>Female</v>
      </c>
      <c r="I573" s="1" t="s">
        <v>28</v>
      </c>
      <c r="J573" t="str">
        <f t="shared" si="108"/>
        <v>INDIA</v>
      </c>
      <c r="L573" s="1">
        <f t="shared" si="109"/>
        <v>19</v>
      </c>
      <c r="M573" s="1" t="str">
        <f t="shared" si="110"/>
        <v>Student</v>
      </c>
      <c r="N573" s="3">
        <v>45211</v>
      </c>
      <c r="O573" s="1" t="s">
        <v>235</v>
      </c>
      <c r="P573" s="1" t="s">
        <v>147</v>
      </c>
      <c r="Q573" s="4">
        <v>0.3</v>
      </c>
      <c r="R573" s="13">
        <f t="shared" si="111"/>
        <v>30</v>
      </c>
      <c r="S573" s="6">
        <f t="shared" si="105"/>
        <v>0.3</v>
      </c>
      <c r="T573" s="1">
        <v>45</v>
      </c>
      <c r="U573" s="1">
        <f t="shared" si="112"/>
        <v>45</v>
      </c>
      <c r="V573" s="1">
        <f t="shared" si="113"/>
        <v>34.5</v>
      </c>
      <c r="W573" s="10" t="str">
        <f t="shared" si="114"/>
        <v>Low</v>
      </c>
      <c r="X573" s="1">
        <v>1</v>
      </c>
      <c r="Y573" s="1" t="str">
        <f t="shared" si="115"/>
        <v>Yes</v>
      </c>
      <c r="Z573" s="14">
        <v>6</v>
      </c>
      <c r="AA573" s="18">
        <f t="shared" si="116"/>
        <v>6</v>
      </c>
      <c r="AB573" s="18" t="str">
        <f t="shared" si="117"/>
        <v>High Performer</v>
      </c>
      <c r="AC573" s="9">
        <v>45211</v>
      </c>
      <c r="AD573">
        <f>IF(AC573="",0,LEN(AC573)-LEN(SUBSTITUTE(AC573,",",""))+1)</f>
        <v>1</v>
      </c>
    </row>
    <row r="574" spans="1:30" ht="12.5" x14ac:dyDescent="0.25">
      <c r="A574" s="1" t="s">
        <v>2285</v>
      </c>
      <c r="B574" s="1" t="s">
        <v>2286</v>
      </c>
      <c r="C574" s="1" t="str">
        <v>Tiffany Nguyen</v>
      </c>
      <c r="D574" s="1" t="s">
        <v>127</v>
      </c>
      <c r="E574" s="1" t="str">
        <v>invalid-email</v>
      </c>
      <c r="F574" t="str">
        <f t="shared" si="106"/>
        <v>Invalid</v>
      </c>
      <c r="G574" s="1" t="s">
        <v>57</v>
      </c>
      <c r="H574" s="1" t="str">
        <f t="shared" si="107"/>
        <v>Female</v>
      </c>
      <c r="I574" s="1" t="s">
        <v>89</v>
      </c>
      <c r="J574" t="str">
        <f t="shared" si="108"/>
        <v>GERMANY</v>
      </c>
      <c r="K574" s="14">
        <v>0</v>
      </c>
      <c r="L574" s="1">
        <f t="shared" si="109"/>
        <v>19</v>
      </c>
      <c r="M574" s="1" t="str">
        <f t="shared" si="110"/>
        <v>Student</v>
      </c>
      <c r="N574" s="9">
        <v>45680</v>
      </c>
      <c r="O574" s="1" t="s">
        <v>36</v>
      </c>
      <c r="P574" s="1" t="s">
        <v>37</v>
      </c>
      <c r="Q574" s="4">
        <v>57</v>
      </c>
      <c r="R574" s="13">
        <f t="shared" si="111"/>
        <v>57</v>
      </c>
      <c r="S574" s="6">
        <f t="shared" si="105"/>
        <v>0.56999999999999995</v>
      </c>
      <c r="T574" s="1" t="s">
        <v>46</v>
      </c>
      <c r="U574" s="1">
        <f t="shared" si="112"/>
        <v>1</v>
      </c>
      <c r="V574" s="1">
        <f t="shared" si="113"/>
        <v>40.199999999999996</v>
      </c>
      <c r="W574" s="10" t="str">
        <f t="shared" si="114"/>
        <v>Low</v>
      </c>
      <c r="X574" s="1">
        <v>1</v>
      </c>
      <c r="Y574" s="1" t="str">
        <f t="shared" si="115"/>
        <v>Yes</v>
      </c>
      <c r="Z574" s="14">
        <v>3</v>
      </c>
      <c r="AA574" s="18">
        <f t="shared" si="116"/>
        <v>3</v>
      </c>
      <c r="AB574" s="18" t="str">
        <f t="shared" si="117"/>
        <v>No</v>
      </c>
      <c r="AC574" s="9" t="s">
        <v>2287</v>
      </c>
      <c r="AD574">
        <f>IF(AC574="",0,LEN(AC574)-LEN(SUBSTITUTE(AC574,",",""))+1)</f>
        <v>1</v>
      </c>
    </row>
    <row r="575" spans="1:30" ht="12.5" x14ac:dyDescent="0.25">
      <c r="A575" s="1" t="s">
        <v>2288</v>
      </c>
      <c r="B575" s="1" t="s">
        <v>2289</v>
      </c>
      <c r="C575" s="1" t="str">
        <v>Diane Yates</v>
      </c>
      <c r="D575" s="1" t="s">
        <v>2290</v>
      </c>
      <c r="E575" s="1" t="str">
        <v>qdavis@allen.com</v>
      </c>
      <c r="F575" t="str">
        <f t="shared" si="106"/>
        <v>Valid</v>
      </c>
      <c r="G575" s="1" t="s">
        <v>109</v>
      </c>
      <c r="H575" s="1" t="str">
        <f t="shared" si="107"/>
        <v>Male</v>
      </c>
      <c r="I575" s="1" t="s">
        <v>18</v>
      </c>
      <c r="J575" t="str">
        <f t="shared" si="108"/>
        <v>US</v>
      </c>
      <c r="K575" s="14">
        <v>0</v>
      </c>
      <c r="L575" s="1">
        <f t="shared" si="109"/>
        <v>19</v>
      </c>
      <c r="M575" s="1" t="str">
        <f t="shared" si="110"/>
        <v>Student</v>
      </c>
      <c r="N575" s="2">
        <v>45482</v>
      </c>
      <c r="O575" s="1" t="s">
        <v>30</v>
      </c>
      <c r="P575" s="1" t="s">
        <v>31</v>
      </c>
      <c r="Q575" s="4">
        <v>0.85</v>
      </c>
      <c r="R575" s="13">
        <f t="shared" si="111"/>
        <v>85</v>
      </c>
      <c r="S575" s="6">
        <f t="shared" si="105"/>
        <v>0.85</v>
      </c>
      <c r="T575" s="1">
        <v>2</v>
      </c>
      <c r="U575" s="1">
        <f t="shared" si="112"/>
        <v>2</v>
      </c>
      <c r="V575" s="1">
        <f t="shared" si="113"/>
        <v>60.099999999999994</v>
      </c>
      <c r="W575" s="10" t="str">
        <f t="shared" si="114"/>
        <v>Medium</v>
      </c>
      <c r="X575" s="1" t="s">
        <v>32</v>
      </c>
      <c r="Y575" s="1" t="str">
        <f t="shared" si="115"/>
        <v>Yes</v>
      </c>
      <c r="Z575" s="14">
        <v>6</v>
      </c>
      <c r="AA575" s="18">
        <f t="shared" si="116"/>
        <v>6</v>
      </c>
      <c r="AB575" s="18" t="str">
        <f t="shared" si="117"/>
        <v>High Performer</v>
      </c>
      <c r="AC575" s="9" t="s">
        <v>2291</v>
      </c>
      <c r="AD575">
        <f>IF(AC575="",0,LEN(AC575)-LEN(SUBSTITUTE(AC575,",",""))+1)</f>
        <v>4</v>
      </c>
    </row>
    <row r="576" spans="1:30" ht="12.5" x14ac:dyDescent="0.25">
      <c r="A576" s="1" t="s">
        <v>2292</v>
      </c>
      <c r="B576" s="1" t="s">
        <v>2293</v>
      </c>
      <c r="C576" s="1" t="str">
        <v>Dominique Goodwin</v>
      </c>
      <c r="D576" s="1" t="s">
        <v>2294</v>
      </c>
      <c r="E576" s="1" t="str">
        <v>evanslaurie@drake.com</v>
      </c>
      <c r="F576" t="str">
        <f t="shared" si="106"/>
        <v>Valid</v>
      </c>
      <c r="G576" s="1" t="s">
        <v>17</v>
      </c>
      <c r="H576" s="1" t="str">
        <f t="shared" si="107"/>
        <v>Female</v>
      </c>
      <c r="I576" s="1" t="s">
        <v>28</v>
      </c>
      <c r="J576" t="str">
        <f t="shared" si="108"/>
        <v>INDIA</v>
      </c>
      <c r="K576" s="14">
        <v>31</v>
      </c>
      <c r="L576" s="1">
        <f t="shared" si="109"/>
        <v>31</v>
      </c>
      <c r="M576" s="1" t="str">
        <f t="shared" si="110"/>
        <v>Mid Career</v>
      </c>
      <c r="N576" s="2">
        <v>44778</v>
      </c>
      <c r="O576" s="1" t="s">
        <v>30</v>
      </c>
      <c r="P576" s="1" t="s">
        <v>31</v>
      </c>
      <c r="Q576" s="4">
        <v>0.18</v>
      </c>
      <c r="R576" s="13">
        <f t="shared" si="111"/>
        <v>18</v>
      </c>
      <c r="S576" s="6">
        <f t="shared" si="105"/>
        <v>0.18</v>
      </c>
      <c r="T576" s="1">
        <v>2</v>
      </c>
      <c r="U576" s="1">
        <f t="shared" si="112"/>
        <v>2</v>
      </c>
      <c r="V576" s="1">
        <f t="shared" si="113"/>
        <v>13.2</v>
      </c>
      <c r="W576" s="10" t="str">
        <f t="shared" si="114"/>
        <v>Low</v>
      </c>
      <c r="X576" s="1" t="s">
        <v>38</v>
      </c>
      <c r="Y576" s="1" t="str">
        <f t="shared" si="115"/>
        <v>No</v>
      </c>
      <c r="AA576" s="18" t="str">
        <f t="shared" si="116"/>
        <v>Invalid</v>
      </c>
      <c r="AB576" s="18" t="str">
        <f t="shared" si="117"/>
        <v>No</v>
      </c>
      <c r="AC576" s="9" t="s">
        <v>2295</v>
      </c>
      <c r="AD576">
        <f>IF(AC576="",0,LEN(AC576)-LEN(SUBSTITUTE(AC576,",",""))+1)</f>
        <v>4</v>
      </c>
    </row>
    <row r="577" spans="1:30" ht="12.5" x14ac:dyDescent="0.25">
      <c r="A577" s="1" t="s">
        <v>2296</v>
      </c>
      <c r="B577" s="1" t="s">
        <v>2297</v>
      </c>
      <c r="C577" s="1" t="str">
        <v>Katherine Mcclure</v>
      </c>
      <c r="D577" s="1" t="s">
        <v>2298</v>
      </c>
      <c r="E577" s="1" t="str">
        <v>anna61@yahoo.com</v>
      </c>
      <c r="F577" t="str">
        <f t="shared" si="106"/>
        <v>Valid</v>
      </c>
      <c r="G577" s="1" t="s">
        <v>88</v>
      </c>
      <c r="H577" s="1" t="str">
        <f t="shared" si="107"/>
        <v>Male</v>
      </c>
      <c r="I577" s="1" t="s">
        <v>136</v>
      </c>
      <c r="J577" t="str">
        <f t="shared" si="108"/>
        <v>UK</v>
      </c>
      <c r="L577" s="1">
        <f t="shared" si="109"/>
        <v>19</v>
      </c>
      <c r="M577" s="1" t="str">
        <f t="shared" si="110"/>
        <v>Student</v>
      </c>
      <c r="N577" s="9">
        <v>45215</v>
      </c>
      <c r="O577" s="1" t="s">
        <v>301</v>
      </c>
      <c r="P577" s="1" t="s">
        <v>20</v>
      </c>
      <c r="Q577" s="4">
        <v>0.99</v>
      </c>
      <c r="R577" s="13">
        <f t="shared" si="111"/>
        <v>99</v>
      </c>
      <c r="S577" s="6">
        <f t="shared" si="105"/>
        <v>0.99</v>
      </c>
      <c r="T577" s="1">
        <v>45</v>
      </c>
      <c r="U577" s="1">
        <f t="shared" si="112"/>
        <v>45</v>
      </c>
      <c r="V577" s="1">
        <f t="shared" si="113"/>
        <v>82.8</v>
      </c>
      <c r="W577" s="10" t="str">
        <f t="shared" si="114"/>
        <v>High</v>
      </c>
      <c r="X577" s="1" t="s">
        <v>38</v>
      </c>
      <c r="Y577" s="1" t="str">
        <f t="shared" si="115"/>
        <v>No</v>
      </c>
      <c r="Z577" s="14">
        <v>4</v>
      </c>
      <c r="AA577" s="18">
        <f t="shared" si="116"/>
        <v>4</v>
      </c>
      <c r="AB577" s="18" t="str">
        <f t="shared" si="117"/>
        <v>No</v>
      </c>
      <c r="AC577" s="9" t="s">
        <v>2299</v>
      </c>
      <c r="AD577">
        <f>IF(AC577="",0,LEN(AC577)-LEN(SUBSTITUTE(AC577,",",""))+1)</f>
        <v>7</v>
      </c>
    </row>
    <row r="578" spans="1:30" ht="12.5" x14ac:dyDescent="0.25">
      <c r="A578" s="1" t="s">
        <v>2300</v>
      </c>
      <c r="B578" s="1" t="s">
        <v>2301</v>
      </c>
      <c r="C578" s="1" t="str">
        <v>Andrew Peterson</v>
      </c>
      <c r="D578" s="1" t="s">
        <v>2302</v>
      </c>
      <c r="E578" s="1" t="str">
        <v>deborahreeves@yahoo.com</v>
      </c>
      <c r="F578" t="str">
        <f t="shared" si="106"/>
        <v>Valid</v>
      </c>
      <c r="G578" s="1" t="s">
        <v>43</v>
      </c>
      <c r="H578" s="1" t="str">
        <f t="shared" si="107"/>
        <v>Female</v>
      </c>
      <c r="I578" s="1" t="s">
        <v>136</v>
      </c>
      <c r="J578" t="str">
        <f t="shared" si="108"/>
        <v>UK</v>
      </c>
      <c r="K578" s="14">
        <v>33</v>
      </c>
      <c r="L578" s="1">
        <f t="shared" si="109"/>
        <v>33</v>
      </c>
      <c r="M578" s="1" t="str">
        <f t="shared" si="110"/>
        <v>Mid Career</v>
      </c>
      <c r="N578" s="9">
        <v>45230</v>
      </c>
      <c r="O578" s="1" t="s">
        <v>235</v>
      </c>
      <c r="P578" s="1" t="s">
        <v>147</v>
      </c>
      <c r="Q578" s="4">
        <v>16</v>
      </c>
      <c r="R578" s="13">
        <f t="shared" si="111"/>
        <v>16</v>
      </c>
      <c r="S578" s="6">
        <f t="shared" ref="S578:S641" si="118">R578/100</f>
        <v>0.16</v>
      </c>
      <c r="T578" s="1" t="s">
        <v>64</v>
      </c>
      <c r="U578" s="1">
        <f t="shared" si="112"/>
        <v>2</v>
      </c>
      <c r="V578" s="1">
        <f t="shared" si="113"/>
        <v>11.799999999999999</v>
      </c>
      <c r="W578" s="10" t="str">
        <f t="shared" si="114"/>
        <v>Low</v>
      </c>
      <c r="X578" s="1">
        <v>1</v>
      </c>
      <c r="Y578" s="1" t="str">
        <f t="shared" si="115"/>
        <v>Yes</v>
      </c>
      <c r="AA578" s="18" t="str">
        <f t="shared" si="116"/>
        <v>Invalid</v>
      </c>
      <c r="AB578" s="18" t="str">
        <f t="shared" si="117"/>
        <v>High Performer</v>
      </c>
      <c r="AC578" s="9" t="s">
        <v>2303</v>
      </c>
      <c r="AD578">
        <f>IF(AC578="",0,LEN(AC578)-LEN(SUBSTITUTE(AC578,",",""))+1)</f>
        <v>3</v>
      </c>
    </row>
    <row r="579" spans="1:30" ht="12.5" x14ac:dyDescent="0.25">
      <c r="A579" s="1" t="s">
        <v>2304</v>
      </c>
      <c r="B579" s="1" t="s">
        <v>2305</v>
      </c>
      <c r="C579" s="1" t="str">
        <v>Jeffrey Solomon</v>
      </c>
      <c r="D579" s="1" t="s">
        <v>2306</v>
      </c>
      <c r="E579" s="1" t="str">
        <v>edgar24@gmail.com</v>
      </c>
      <c r="F579" t="str">
        <f t="shared" ref="F579:F642" si="119">IF(ISNUMBER(SEARCH("@", E579)), "Valid", "Invalid")</f>
        <v>Valid</v>
      </c>
      <c r="G579" s="1" t="s">
        <v>57</v>
      </c>
      <c r="H579" s="1" t="str">
        <f t="shared" ref="H579:H642" si="120">IF(OR(LOWER(G579)="m", LOWER(G579)="male"), "Male", IF(OR(LOWER(G579)="f", LOWER(G579)="female"), "Female","Other"))</f>
        <v>Female</v>
      </c>
      <c r="I579" s="1" t="s">
        <v>44</v>
      </c>
      <c r="J579" t="str">
        <f t="shared" ref="J579:J642" si="121">UPPER(TRIM(I579))</f>
        <v>CANADA</v>
      </c>
      <c r="L579" s="1">
        <f t="shared" ref="L579:L642" si="122">IF(OR(K579=0,K579&lt;10,K579&gt;100), $L$1202, K579)</f>
        <v>19</v>
      </c>
      <c r="M579" s="1" t="str">
        <f t="shared" ref="M579:M642" si="123">IF(K579&lt;22,"Student",
IF(K579&lt;=30,"Early Career",
IF(K579&lt;=40,"Mid Career",
IF(K579&lt;=50,"Senior","Expert"))))</f>
        <v>Student</v>
      </c>
      <c r="N579" s="2">
        <v>45389</v>
      </c>
      <c r="O579" s="1" t="s">
        <v>36</v>
      </c>
      <c r="P579" s="1" t="s">
        <v>37</v>
      </c>
      <c r="Q579" s="4">
        <v>0.73</v>
      </c>
      <c r="R579" s="13">
        <f t="shared" ref="R579:R642" si="124">IF(Q579&lt;=1, Q579*100, Q579)</f>
        <v>73</v>
      </c>
      <c r="S579" s="6">
        <f t="shared" si="118"/>
        <v>0.73</v>
      </c>
      <c r="T579" s="1">
        <v>1.5</v>
      </c>
      <c r="U579" s="1">
        <f t="shared" ref="U579:U642" si="125">IF(ISNUMBER(T579), T579,
IF(ISNUMBER(SEARCH("min", T579)), VALUE(LEFT(T579, FIND(" ", T579)-1))/60,
IF(ISNUMBER(SEARCH("hour", T579)), VALUE(LEFT(T579, FIND(" ", T579)-1)),
"")))</f>
        <v>1.5</v>
      </c>
      <c r="V579" s="1">
        <f t="shared" ref="V579:V642" si="126">MIN( (0.7*R579 + 0.3*(U579)), 100 )</f>
        <v>51.55</v>
      </c>
      <c r="W579" s="10" t="str">
        <f t="shared" ref="W579:W642" si="127">IF(V579&lt;41,"Low",IF(V579&lt;71,"Medium","High"))</f>
        <v>Medium</v>
      </c>
      <c r="X579" s="1" t="s">
        <v>76</v>
      </c>
      <c r="Y579" s="1" t="str">
        <f t="shared" ref="Y579:Y642" si="128">IF(OR(X579="Yes", X579="Y", X579=1), "Yes", "No")</f>
        <v>Yes</v>
      </c>
      <c r="Z579" s="14">
        <v>3</v>
      </c>
      <c r="AA579" s="18">
        <f t="shared" ref="AA579:AA642" si="129">IF(AND(Z579&gt;=1,Z579&lt;=6),Z579,"Invalid")</f>
        <v>3</v>
      </c>
      <c r="AB579" s="18" t="str">
        <f t="shared" ref="AB579:AB642" si="130">IF(AND(Y579="Yes",AA579&gt;=4),"High Performer","No")</f>
        <v>No</v>
      </c>
      <c r="AC579" s="9" t="s">
        <v>2307</v>
      </c>
      <c r="AD579">
        <f>IF(AC579="",0,LEN(AC579)-LEN(SUBSTITUTE(AC579,",",""))+1)</f>
        <v>7</v>
      </c>
    </row>
    <row r="580" spans="1:30" ht="12.5" x14ac:dyDescent="0.25">
      <c r="A580" s="1" t="s">
        <v>2308</v>
      </c>
      <c r="B580" s="1" t="s">
        <v>2309</v>
      </c>
      <c r="C580" s="1" t="str">
        <v>Sylvia Palmer</v>
      </c>
      <c r="D580" s="1" t="s">
        <v>2310</v>
      </c>
      <c r="E580" s="1" t="str">
        <v>qdavis@hotmail.com</v>
      </c>
      <c r="F580" t="str">
        <f t="shared" si="119"/>
        <v>Valid</v>
      </c>
      <c r="G580" s="1" t="s">
        <v>119</v>
      </c>
      <c r="H580" s="1" t="str">
        <f t="shared" si="120"/>
        <v>Female</v>
      </c>
      <c r="I580" s="1" t="s">
        <v>28</v>
      </c>
      <c r="J580" t="str">
        <f t="shared" si="121"/>
        <v>INDIA</v>
      </c>
      <c r="K580" s="14">
        <v>0</v>
      </c>
      <c r="L580" s="1">
        <f t="shared" si="122"/>
        <v>19</v>
      </c>
      <c r="M580" s="1" t="str">
        <f t="shared" si="123"/>
        <v>Student</v>
      </c>
      <c r="N580" s="9">
        <v>45470</v>
      </c>
      <c r="O580" s="1" t="s">
        <v>235</v>
      </c>
      <c r="P580" s="1" t="s">
        <v>147</v>
      </c>
      <c r="Q580" s="4">
        <v>39</v>
      </c>
      <c r="R580" s="13">
        <f t="shared" si="124"/>
        <v>39</v>
      </c>
      <c r="S580" s="6">
        <f t="shared" si="118"/>
        <v>0.39</v>
      </c>
      <c r="T580" s="1">
        <v>1.5</v>
      </c>
      <c r="U580" s="1">
        <f t="shared" si="125"/>
        <v>1.5</v>
      </c>
      <c r="V580" s="1">
        <f t="shared" si="126"/>
        <v>27.749999999999996</v>
      </c>
      <c r="W580" s="10" t="str">
        <f t="shared" si="127"/>
        <v>Low</v>
      </c>
      <c r="X580" s="1" t="s">
        <v>76</v>
      </c>
      <c r="Y580" s="1" t="str">
        <f t="shared" si="128"/>
        <v>Yes</v>
      </c>
      <c r="Z580" s="14">
        <v>3</v>
      </c>
      <c r="AA580" s="18">
        <f t="shared" si="129"/>
        <v>3</v>
      </c>
      <c r="AB580" s="18" t="str">
        <f t="shared" si="130"/>
        <v>No</v>
      </c>
      <c r="AC580" s="9" t="s">
        <v>2312</v>
      </c>
      <c r="AD580">
        <f>IF(AC580="",0,LEN(AC580)-LEN(SUBSTITUTE(AC580,",",""))+1)</f>
        <v>7</v>
      </c>
    </row>
    <row r="581" spans="1:30" ht="12.5" x14ac:dyDescent="0.25">
      <c r="A581" s="1" t="s">
        <v>2313</v>
      </c>
      <c r="B581" s="1" t="s">
        <v>2314</v>
      </c>
      <c r="C581" s="1" t="str">
        <v>Patricia Smith</v>
      </c>
      <c r="D581" s="1" t="s">
        <v>2315</v>
      </c>
      <c r="E581" s="1" t="str">
        <v>kristicameron@gmail.com</v>
      </c>
      <c r="F581" t="str">
        <f t="shared" si="119"/>
        <v>Valid</v>
      </c>
      <c r="G581" s="1" t="s">
        <v>109</v>
      </c>
      <c r="H581" s="1" t="str">
        <f t="shared" si="120"/>
        <v>Male</v>
      </c>
      <c r="I581" s="1" t="s">
        <v>51</v>
      </c>
      <c r="J581" t="str">
        <f t="shared" si="121"/>
        <v>UK</v>
      </c>
      <c r="K581" s="14">
        <v>0</v>
      </c>
      <c r="L581" s="1">
        <f t="shared" si="122"/>
        <v>19</v>
      </c>
      <c r="M581" s="1" t="str">
        <f t="shared" si="123"/>
        <v>Student</v>
      </c>
      <c r="N581" s="2">
        <v>45452</v>
      </c>
      <c r="O581" s="1" t="s">
        <v>58</v>
      </c>
      <c r="P581" s="1" t="s">
        <v>59</v>
      </c>
      <c r="Q581" s="4">
        <v>0.43</v>
      </c>
      <c r="R581" s="13">
        <f t="shared" si="124"/>
        <v>43</v>
      </c>
      <c r="S581" s="6">
        <f t="shared" si="118"/>
        <v>0.43</v>
      </c>
      <c r="T581" s="1">
        <v>45</v>
      </c>
      <c r="U581" s="1">
        <f t="shared" si="125"/>
        <v>45</v>
      </c>
      <c r="V581" s="1">
        <f t="shared" si="126"/>
        <v>43.599999999999994</v>
      </c>
      <c r="W581" s="10" t="str">
        <f t="shared" si="127"/>
        <v>Medium</v>
      </c>
      <c r="X581" s="1" t="s">
        <v>38</v>
      </c>
      <c r="Y581" s="1" t="str">
        <f t="shared" si="128"/>
        <v>No</v>
      </c>
      <c r="Z581" s="14">
        <v>6</v>
      </c>
      <c r="AA581" s="18">
        <f t="shared" si="129"/>
        <v>6</v>
      </c>
      <c r="AB581" s="18" t="str">
        <f t="shared" si="130"/>
        <v>No</v>
      </c>
      <c r="AC581" s="9" t="s">
        <v>2316</v>
      </c>
      <c r="AD581">
        <f>IF(AC581="",0,LEN(AC581)-LEN(SUBSTITUTE(AC581,",",""))+1)</f>
        <v>5</v>
      </c>
    </row>
    <row r="582" spans="1:30" ht="12.5" x14ac:dyDescent="0.25">
      <c r="A582" s="1" t="s">
        <v>2317</v>
      </c>
      <c r="B582" s="1" t="s">
        <v>2318</v>
      </c>
      <c r="C582" s="1" t="str">
        <v>Nathaniel Todd</v>
      </c>
      <c r="D582" s="1" t="s">
        <v>2319</v>
      </c>
      <c r="E582" s="1" t="str">
        <v>matthew23@gmail.com</v>
      </c>
      <c r="F582" t="str">
        <f t="shared" si="119"/>
        <v>Valid</v>
      </c>
      <c r="G582" s="1" t="s">
        <v>88</v>
      </c>
      <c r="H582" s="1" t="str">
        <f t="shared" si="120"/>
        <v>Male</v>
      </c>
      <c r="I582" s="1" t="s">
        <v>156</v>
      </c>
      <c r="J582" t="str">
        <f t="shared" si="121"/>
        <v>IN</v>
      </c>
      <c r="K582" s="14">
        <v>35</v>
      </c>
      <c r="L582" s="1">
        <f t="shared" si="122"/>
        <v>35</v>
      </c>
      <c r="M582" s="1" t="str">
        <f t="shared" si="123"/>
        <v>Mid Career</v>
      </c>
      <c r="N582" s="9">
        <v>44787</v>
      </c>
      <c r="O582" s="1" t="s">
        <v>158</v>
      </c>
      <c r="P582" s="1" t="s">
        <v>59</v>
      </c>
      <c r="Q582" s="4">
        <v>85</v>
      </c>
      <c r="R582" s="13">
        <f t="shared" si="124"/>
        <v>85</v>
      </c>
      <c r="S582" s="6">
        <f t="shared" si="118"/>
        <v>0.85</v>
      </c>
      <c r="T582" s="1">
        <v>1.5</v>
      </c>
      <c r="U582" s="1">
        <f t="shared" si="125"/>
        <v>1.5</v>
      </c>
      <c r="V582" s="1">
        <f t="shared" si="126"/>
        <v>59.949999999999996</v>
      </c>
      <c r="W582" s="10" t="str">
        <f t="shared" si="127"/>
        <v>Medium</v>
      </c>
      <c r="X582" s="1" t="s">
        <v>38</v>
      </c>
      <c r="Y582" s="1" t="str">
        <f t="shared" si="128"/>
        <v>No</v>
      </c>
      <c r="Z582" s="14">
        <v>5</v>
      </c>
      <c r="AA582" s="18">
        <f t="shared" si="129"/>
        <v>5</v>
      </c>
      <c r="AB582" s="18" t="str">
        <f t="shared" si="130"/>
        <v>No</v>
      </c>
      <c r="AC582" s="9" t="s">
        <v>2320</v>
      </c>
      <c r="AD582">
        <f>IF(AC582="",0,LEN(AC582)-LEN(SUBSTITUTE(AC582,",",""))+1)</f>
        <v>6</v>
      </c>
    </row>
    <row r="583" spans="1:30" ht="12.5" x14ac:dyDescent="0.25">
      <c r="A583" s="1" t="s">
        <v>2321</v>
      </c>
      <c r="B583" s="1" t="s">
        <v>2322</v>
      </c>
      <c r="C583" s="1" t="str">
        <v>Ashley Ferguson</v>
      </c>
      <c r="D583" s="1" t="s">
        <v>2323</v>
      </c>
      <c r="E583" s="1" t="str">
        <v>kwilson@woods.org</v>
      </c>
      <c r="F583" t="str">
        <f t="shared" si="119"/>
        <v>Valid</v>
      </c>
      <c r="G583" s="1" t="s">
        <v>17</v>
      </c>
      <c r="H583" s="1" t="str">
        <f t="shared" si="120"/>
        <v>Female</v>
      </c>
      <c r="I583" s="1" t="s">
        <v>96</v>
      </c>
      <c r="J583" t="str">
        <f t="shared" si="121"/>
        <v>INDIA</v>
      </c>
      <c r="K583" s="14">
        <v>20</v>
      </c>
      <c r="L583" s="1">
        <f t="shared" si="122"/>
        <v>20</v>
      </c>
      <c r="M583" s="1" t="str">
        <f t="shared" si="123"/>
        <v>Student</v>
      </c>
      <c r="N583" s="2">
        <v>44720</v>
      </c>
      <c r="O583" s="1" t="s">
        <v>75</v>
      </c>
      <c r="P583" s="1" t="s">
        <v>37</v>
      </c>
      <c r="Q583" s="4">
        <v>73</v>
      </c>
      <c r="R583" s="13">
        <f t="shared" si="124"/>
        <v>73</v>
      </c>
      <c r="S583" s="6">
        <f t="shared" si="118"/>
        <v>0.73</v>
      </c>
      <c r="T583" s="1" t="s">
        <v>21</v>
      </c>
      <c r="U583" s="1">
        <f t="shared" si="125"/>
        <v>1.5</v>
      </c>
      <c r="V583" s="1">
        <f t="shared" si="126"/>
        <v>51.55</v>
      </c>
      <c r="W583" s="10" t="str">
        <f t="shared" si="127"/>
        <v>Medium</v>
      </c>
      <c r="X583" s="1">
        <v>1</v>
      </c>
      <c r="Y583" s="1" t="str">
        <f t="shared" si="128"/>
        <v>Yes</v>
      </c>
      <c r="AA583" s="18" t="str">
        <f t="shared" si="129"/>
        <v>Invalid</v>
      </c>
      <c r="AB583" s="18" t="str">
        <f t="shared" si="130"/>
        <v>High Performer</v>
      </c>
      <c r="AC583" s="9" t="s">
        <v>2324</v>
      </c>
      <c r="AD583">
        <f>IF(AC583="",0,LEN(AC583)-LEN(SUBSTITUTE(AC583,",",""))+1)</f>
        <v>2</v>
      </c>
    </row>
    <row r="584" spans="1:30" ht="12.5" x14ac:dyDescent="0.25">
      <c r="A584" s="1" t="s">
        <v>2325</v>
      </c>
      <c r="B584" s="1" t="s">
        <v>2326</v>
      </c>
      <c r="C584" s="1" t="str">
        <v>Melissa Mccarty</v>
      </c>
      <c r="D584" s="1" t="s">
        <v>2327</v>
      </c>
      <c r="E584" s="1" t="str">
        <v>christopher20@gmail.com</v>
      </c>
      <c r="F584" t="str">
        <f t="shared" si="119"/>
        <v>Valid</v>
      </c>
      <c r="G584" s="1" t="s">
        <v>95</v>
      </c>
      <c r="H584" s="1" t="str">
        <f t="shared" si="120"/>
        <v>Male</v>
      </c>
      <c r="I584" s="1" t="s">
        <v>44</v>
      </c>
      <c r="J584" t="str">
        <f t="shared" si="121"/>
        <v>CANADA</v>
      </c>
      <c r="K584" s="14">
        <v>43</v>
      </c>
      <c r="L584" s="1">
        <f t="shared" si="122"/>
        <v>43</v>
      </c>
      <c r="M584" s="1" t="str">
        <f t="shared" si="123"/>
        <v>Senior</v>
      </c>
      <c r="N584" s="2">
        <v>45327</v>
      </c>
      <c r="O584" s="1" t="s">
        <v>90</v>
      </c>
      <c r="P584" s="1" t="s">
        <v>31</v>
      </c>
      <c r="Q584" s="4">
        <v>0.02</v>
      </c>
      <c r="R584" s="13">
        <f t="shared" si="124"/>
        <v>2</v>
      </c>
      <c r="S584" s="6">
        <f t="shared" si="118"/>
        <v>0.02</v>
      </c>
      <c r="T584" s="1" t="s">
        <v>64</v>
      </c>
      <c r="U584" s="1">
        <f t="shared" si="125"/>
        <v>2</v>
      </c>
      <c r="V584" s="1">
        <f t="shared" si="126"/>
        <v>2</v>
      </c>
      <c r="W584" s="10" t="str">
        <f t="shared" si="127"/>
        <v>Low</v>
      </c>
      <c r="X584" s="1">
        <v>0</v>
      </c>
      <c r="Y584" s="1" t="str">
        <f t="shared" si="128"/>
        <v>No</v>
      </c>
      <c r="Z584" s="14">
        <v>1</v>
      </c>
      <c r="AA584" s="18">
        <f t="shared" si="129"/>
        <v>1</v>
      </c>
      <c r="AB584" s="18" t="str">
        <f t="shared" si="130"/>
        <v>No</v>
      </c>
      <c r="AC584" s="9" t="s">
        <v>2328</v>
      </c>
      <c r="AD584">
        <f>IF(AC584="",0,LEN(AC584)-LEN(SUBSTITUTE(AC584,",",""))+1)</f>
        <v>4</v>
      </c>
    </row>
    <row r="585" spans="1:30" ht="12.5" x14ac:dyDescent="0.25">
      <c r="A585" s="1" t="s">
        <v>2329</v>
      </c>
      <c r="B585" s="1" t="s">
        <v>2330</v>
      </c>
      <c r="C585" s="1" t="str">
        <v>Alexander Castillo</v>
      </c>
      <c r="D585" s="1" t="s">
        <v>2331</v>
      </c>
      <c r="E585" s="1" t="str">
        <v>ryangarrett@lee.info</v>
      </c>
      <c r="F585" t="str">
        <f t="shared" si="119"/>
        <v>Valid</v>
      </c>
      <c r="G585" s="1" t="s">
        <v>95</v>
      </c>
      <c r="H585" s="1" t="str">
        <f t="shared" si="120"/>
        <v>Male</v>
      </c>
      <c r="I585" s="1" t="s">
        <v>156</v>
      </c>
      <c r="J585" t="str">
        <f t="shared" si="121"/>
        <v>IN</v>
      </c>
      <c r="K585" s="14">
        <v>31</v>
      </c>
      <c r="L585" s="1">
        <f t="shared" si="122"/>
        <v>31</v>
      </c>
      <c r="M585" s="1" t="str">
        <f t="shared" si="123"/>
        <v>Mid Career</v>
      </c>
      <c r="N585" s="9">
        <v>44831</v>
      </c>
      <c r="O585" s="1" t="s">
        <v>69</v>
      </c>
      <c r="P585" s="1" t="s">
        <v>31</v>
      </c>
      <c r="Q585" s="4">
        <v>0.51</v>
      </c>
      <c r="R585" s="13">
        <f t="shared" si="124"/>
        <v>51</v>
      </c>
      <c r="S585" s="6">
        <f t="shared" si="118"/>
        <v>0.51</v>
      </c>
      <c r="T585" s="1">
        <v>45</v>
      </c>
      <c r="U585" s="1">
        <f t="shared" si="125"/>
        <v>45</v>
      </c>
      <c r="V585" s="1">
        <f t="shared" si="126"/>
        <v>49.199999999999996</v>
      </c>
      <c r="W585" s="10" t="str">
        <f t="shared" si="127"/>
        <v>Medium</v>
      </c>
      <c r="X585" s="1">
        <v>1</v>
      </c>
      <c r="Y585" s="1" t="str">
        <f t="shared" si="128"/>
        <v>Yes</v>
      </c>
      <c r="Z585" s="14">
        <v>5</v>
      </c>
      <c r="AA585" s="18">
        <f t="shared" si="129"/>
        <v>5</v>
      </c>
      <c r="AB585" s="18" t="str">
        <f t="shared" si="130"/>
        <v>High Performer</v>
      </c>
      <c r="AC585" s="9" t="s">
        <v>2333</v>
      </c>
      <c r="AD585">
        <f>IF(AC585="",0,LEN(AC585)-LEN(SUBSTITUTE(AC585,",",""))+1)</f>
        <v>2</v>
      </c>
    </row>
    <row r="586" spans="1:30" ht="12.5" x14ac:dyDescent="0.25">
      <c r="A586" s="1" t="s">
        <v>2334</v>
      </c>
      <c r="B586" s="1" t="s">
        <v>2335</v>
      </c>
      <c r="C586" s="1" t="str">
        <v>Michael Maynard</v>
      </c>
      <c r="D586" s="1" t="s">
        <v>2336</v>
      </c>
      <c r="E586" s="1" t="str">
        <v>heathbrenda@gmail.com</v>
      </c>
      <c r="F586" t="str">
        <f t="shared" si="119"/>
        <v>Valid</v>
      </c>
      <c r="G586" s="1" t="s">
        <v>27</v>
      </c>
      <c r="H586" s="1" t="str">
        <f t="shared" si="120"/>
        <v>Male</v>
      </c>
      <c r="I586" s="1" t="s">
        <v>74</v>
      </c>
      <c r="J586" t="str">
        <f t="shared" si="121"/>
        <v>USA</v>
      </c>
      <c r="L586" s="1">
        <f t="shared" si="122"/>
        <v>19</v>
      </c>
      <c r="M586" s="1" t="str">
        <f t="shared" si="123"/>
        <v>Student</v>
      </c>
      <c r="N586" s="9">
        <v>45313</v>
      </c>
      <c r="O586" s="1" t="s">
        <v>52</v>
      </c>
      <c r="P586" s="1" t="s">
        <v>37</v>
      </c>
      <c r="Q586" s="4">
        <v>0.12</v>
      </c>
      <c r="R586" s="13">
        <f t="shared" si="124"/>
        <v>12</v>
      </c>
      <c r="S586" s="6">
        <f t="shared" si="118"/>
        <v>0.12</v>
      </c>
      <c r="T586" s="1">
        <v>1.5</v>
      </c>
      <c r="U586" s="1">
        <f t="shared" si="125"/>
        <v>1.5</v>
      </c>
      <c r="V586" s="1">
        <f t="shared" si="126"/>
        <v>8.8499999999999979</v>
      </c>
      <c r="W586" s="10" t="str">
        <f t="shared" si="127"/>
        <v>Low</v>
      </c>
      <c r="X586" s="1">
        <v>0</v>
      </c>
      <c r="Y586" s="1" t="str">
        <f t="shared" si="128"/>
        <v>No</v>
      </c>
      <c r="Z586" s="14">
        <v>5</v>
      </c>
      <c r="AA586" s="18">
        <f t="shared" si="129"/>
        <v>5</v>
      </c>
      <c r="AB586" s="18" t="str">
        <f t="shared" si="130"/>
        <v>No</v>
      </c>
      <c r="AC586" s="9" t="s">
        <v>2337</v>
      </c>
      <c r="AD586">
        <f>IF(AC586="",0,LEN(AC586)-LEN(SUBSTITUTE(AC586,",",""))+1)</f>
        <v>5</v>
      </c>
    </row>
    <row r="587" spans="1:30" ht="12.5" x14ac:dyDescent="0.25">
      <c r="A587" s="1" t="s">
        <v>2338</v>
      </c>
      <c r="B587" s="1" t="s">
        <v>2339</v>
      </c>
      <c r="C587" s="1" t="str">
        <v>Adam Mccoy</v>
      </c>
      <c r="D587" s="1" t="s">
        <v>2340</v>
      </c>
      <c r="E587" s="1" t="str">
        <v>vallison@hotmail.com</v>
      </c>
      <c r="F587" t="str">
        <f t="shared" si="119"/>
        <v>Valid</v>
      </c>
      <c r="G587" s="1" t="s">
        <v>88</v>
      </c>
      <c r="H587" s="1" t="str">
        <f t="shared" si="120"/>
        <v>Male</v>
      </c>
      <c r="I587" s="1" t="s">
        <v>156</v>
      </c>
      <c r="J587" t="str">
        <f t="shared" si="121"/>
        <v>IN</v>
      </c>
      <c r="L587" s="1">
        <f t="shared" si="122"/>
        <v>19</v>
      </c>
      <c r="M587" s="1" t="str">
        <f t="shared" si="123"/>
        <v>Student</v>
      </c>
      <c r="N587" s="2">
        <v>45176</v>
      </c>
      <c r="O587" s="1" t="s">
        <v>235</v>
      </c>
      <c r="P587" s="1" t="s">
        <v>147</v>
      </c>
      <c r="Q587" s="4">
        <v>7.0000000000000007E-2</v>
      </c>
      <c r="R587" s="13">
        <f t="shared" si="124"/>
        <v>7.0000000000000009</v>
      </c>
      <c r="S587" s="6">
        <f t="shared" si="118"/>
        <v>7.0000000000000007E-2</v>
      </c>
      <c r="T587" s="1" t="s">
        <v>21</v>
      </c>
      <c r="U587" s="1">
        <f t="shared" si="125"/>
        <v>1.5</v>
      </c>
      <c r="V587" s="1">
        <f t="shared" si="126"/>
        <v>5.3500000000000005</v>
      </c>
      <c r="W587" s="10" t="str">
        <f t="shared" si="127"/>
        <v>Low</v>
      </c>
      <c r="X587" s="1" t="s">
        <v>76</v>
      </c>
      <c r="Y587" s="1" t="str">
        <f t="shared" si="128"/>
        <v>Yes</v>
      </c>
      <c r="Z587" s="14">
        <v>3</v>
      </c>
      <c r="AA587" s="18">
        <f t="shared" si="129"/>
        <v>3</v>
      </c>
      <c r="AB587" s="18" t="str">
        <f t="shared" si="130"/>
        <v>No</v>
      </c>
      <c r="AC587" s="9" t="s">
        <v>2341</v>
      </c>
      <c r="AD587">
        <f>IF(AC587="",0,LEN(AC587)-LEN(SUBSTITUTE(AC587,",",""))+1)</f>
        <v>6</v>
      </c>
    </row>
    <row r="588" spans="1:30" ht="12.5" x14ac:dyDescent="0.25">
      <c r="A588" s="1" t="s">
        <v>2342</v>
      </c>
      <c r="B588" s="1" t="s">
        <v>2343</v>
      </c>
      <c r="C588" s="1" t="str">
        <v>James Palmer</v>
      </c>
      <c r="D588" s="1" t="s">
        <v>2344</v>
      </c>
      <c r="E588" s="1" t="str">
        <v>jenniferrice@yahoo.com</v>
      </c>
      <c r="F588" t="str">
        <f t="shared" si="119"/>
        <v>Valid</v>
      </c>
      <c r="G588" s="1" t="s">
        <v>17</v>
      </c>
      <c r="H588" s="1" t="str">
        <f t="shared" si="120"/>
        <v>Female</v>
      </c>
      <c r="I588" s="1" t="s">
        <v>44</v>
      </c>
      <c r="J588" t="str">
        <f t="shared" si="121"/>
        <v>CANADA</v>
      </c>
      <c r="L588" s="1">
        <f t="shared" si="122"/>
        <v>19</v>
      </c>
      <c r="M588" s="1" t="str">
        <f t="shared" si="123"/>
        <v>Student</v>
      </c>
      <c r="N588" s="9">
        <v>45583</v>
      </c>
      <c r="O588" s="1" t="s">
        <v>19</v>
      </c>
      <c r="P588" s="1" t="s">
        <v>20</v>
      </c>
      <c r="Q588" s="4">
        <v>0.63</v>
      </c>
      <c r="R588" s="13">
        <f t="shared" si="124"/>
        <v>63</v>
      </c>
      <c r="S588" s="6">
        <f t="shared" si="118"/>
        <v>0.63</v>
      </c>
      <c r="T588" s="1">
        <v>45</v>
      </c>
      <c r="U588" s="1">
        <f t="shared" si="125"/>
        <v>45</v>
      </c>
      <c r="V588" s="1">
        <f t="shared" si="126"/>
        <v>57.599999999999994</v>
      </c>
      <c r="W588" s="10" t="str">
        <f t="shared" si="127"/>
        <v>Medium</v>
      </c>
      <c r="X588" s="1" t="s">
        <v>38</v>
      </c>
      <c r="Y588" s="1" t="str">
        <f t="shared" si="128"/>
        <v>No</v>
      </c>
      <c r="Z588" s="14">
        <v>5</v>
      </c>
      <c r="AA588" s="18">
        <f t="shared" si="129"/>
        <v>5</v>
      </c>
      <c r="AB588" s="18" t="str">
        <f t="shared" si="130"/>
        <v>No</v>
      </c>
      <c r="AC588" s="9" t="s">
        <v>2345</v>
      </c>
      <c r="AD588">
        <f>IF(AC588="",0,LEN(AC588)-LEN(SUBSTITUTE(AC588,",",""))+1)</f>
        <v>4</v>
      </c>
    </row>
    <row r="589" spans="1:30" ht="12.5" x14ac:dyDescent="0.25">
      <c r="A589" s="1" t="s">
        <v>2346</v>
      </c>
      <c r="B589" s="1" t="s">
        <v>2347</v>
      </c>
      <c r="C589" s="1" t="str">
        <v>Jennifer Kennedy</v>
      </c>
      <c r="D589" s="1" t="s">
        <v>2348</v>
      </c>
      <c r="E589" s="1" t="str">
        <v>shane60@gmail.com</v>
      </c>
      <c r="F589" t="str">
        <f t="shared" si="119"/>
        <v>Valid</v>
      </c>
      <c r="G589" s="1" t="s">
        <v>17</v>
      </c>
      <c r="H589" s="1" t="str">
        <f t="shared" si="120"/>
        <v>Female</v>
      </c>
      <c r="I589" s="1" t="s">
        <v>89</v>
      </c>
      <c r="J589" t="str">
        <f t="shared" si="121"/>
        <v>GERMANY</v>
      </c>
      <c r="K589" s="14">
        <v>0</v>
      </c>
      <c r="L589" s="1">
        <f t="shared" si="122"/>
        <v>19</v>
      </c>
      <c r="M589" s="1" t="str">
        <f t="shared" si="123"/>
        <v>Student</v>
      </c>
      <c r="N589" s="9">
        <v>45553</v>
      </c>
      <c r="O589" s="1" t="s">
        <v>301</v>
      </c>
      <c r="P589" s="1" t="s">
        <v>20</v>
      </c>
      <c r="Q589" s="4">
        <v>0.02</v>
      </c>
      <c r="R589" s="13">
        <f t="shared" si="124"/>
        <v>2</v>
      </c>
      <c r="S589" s="6">
        <f t="shared" si="118"/>
        <v>0.02</v>
      </c>
      <c r="T589" s="1" t="s">
        <v>64</v>
      </c>
      <c r="U589" s="1">
        <f t="shared" si="125"/>
        <v>2</v>
      </c>
      <c r="V589" s="1">
        <f t="shared" si="126"/>
        <v>2</v>
      </c>
      <c r="W589" s="10" t="str">
        <f t="shared" si="127"/>
        <v>Low</v>
      </c>
      <c r="X589" s="1" t="s">
        <v>22</v>
      </c>
      <c r="Y589" s="1" t="str">
        <f t="shared" si="128"/>
        <v>No</v>
      </c>
      <c r="Z589" s="14">
        <v>3</v>
      </c>
      <c r="AA589" s="18">
        <f t="shared" si="129"/>
        <v>3</v>
      </c>
      <c r="AB589" s="18" t="str">
        <f t="shared" si="130"/>
        <v>No</v>
      </c>
      <c r="AC589" s="9" t="s">
        <v>2349</v>
      </c>
      <c r="AD589">
        <f>IF(AC589="",0,LEN(AC589)-LEN(SUBSTITUTE(AC589,",",""))+1)</f>
        <v>1</v>
      </c>
    </row>
    <row r="590" spans="1:30" ht="12.5" x14ac:dyDescent="0.25">
      <c r="A590" s="1" t="s">
        <v>2350</v>
      </c>
      <c r="B590" s="1" t="s">
        <v>2351</v>
      </c>
      <c r="C590" s="1" t="str">
        <v>Jordan Matthews</v>
      </c>
      <c r="D590" s="1" t="s">
        <v>2352</v>
      </c>
      <c r="E590" s="1" t="str">
        <v>sanderson@hotmail.com</v>
      </c>
      <c r="F590" t="str">
        <f t="shared" si="119"/>
        <v>Valid</v>
      </c>
      <c r="G590" s="1" t="s">
        <v>57</v>
      </c>
      <c r="H590" s="1" t="str">
        <f t="shared" si="120"/>
        <v>Female</v>
      </c>
      <c r="I590" s="1" t="s">
        <v>96</v>
      </c>
      <c r="J590" t="str">
        <f t="shared" si="121"/>
        <v>INDIA</v>
      </c>
      <c r="K590" s="14">
        <v>23</v>
      </c>
      <c r="L590" s="1">
        <f t="shared" si="122"/>
        <v>23</v>
      </c>
      <c r="M590" s="1" t="str">
        <f t="shared" si="123"/>
        <v>Early Career</v>
      </c>
      <c r="N590" s="9">
        <v>45105</v>
      </c>
      <c r="O590" s="1" t="s">
        <v>75</v>
      </c>
      <c r="P590" s="1" t="s">
        <v>37</v>
      </c>
      <c r="Q590" s="4">
        <v>0.81</v>
      </c>
      <c r="R590" s="13">
        <f t="shared" si="124"/>
        <v>81</v>
      </c>
      <c r="S590" s="6">
        <f t="shared" si="118"/>
        <v>0.81</v>
      </c>
      <c r="T590" s="1" t="s">
        <v>64</v>
      </c>
      <c r="U590" s="1">
        <f t="shared" si="125"/>
        <v>2</v>
      </c>
      <c r="V590" s="1">
        <f t="shared" si="126"/>
        <v>57.3</v>
      </c>
      <c r="W590" s="10" t="str">
        <f t="shared" si="127"/>
        <v>Medium</v>
      </c>
      <c r="X590" s="1" t="s">
        <v>38</v>
      </c>
      <c r="Y590" s="1" t="str">
        <f t="shared" si="128"/>
        <v>No</v>
      </c>
      <c r="Z590" s="14">
        <v>5</v>
      </c>
      <c r="AA590" s="18">
        <f t="shared" si="129"/>
        <v>5</v>
      </c>
      <c r="AB590" s="18" t="str">
        <f t="shared" si="130"/>
        <v>No</v>
      </c>
      <c r="AC590" s="9" t="s">
        <v>2353</v>
      </c>
      <c r="AD590">
        <f>IF(AC590="",0,LEN(AC590)-LEN(SUBSTITUTE(AC590,",",""))+1)</f>
        <v>7</v>
      </c>
    </row>
    <row r="591" spans="1:30" ht="12.5" x14ac:dyDescent="0.25">
      <c r="A591" s="1" t="s">
        <v>2354</v>
      </c>
      <c r="B591" s="1" t="s">
        <v>2355</v>
      </c>
      <c r="C591" s="1" t="str">
        <v>Morgan Flynn</v>
      </c>
      <c r="D591" s="1" t="s">
        <v>2356</v>
      </c>
      <c r="E591" s="1" t="str">
        <v>justincurry@webb.info</v>
      </c>
      <c r="F591" t="str">
        <f t="shared" si="119"/>
        <v>Valid</v>
      </c>
      <c r="G591" s="1" t="s">
        <v>95</v>
      </c>
      <c r="H591" s="1" t="str">
        <f t="shared" si="120"/>
        <v>Male</v>
      </c>
      <c r="I591" s="1" t="s">
        <v>136</v>
      </c>
      <c r="J591" t="str">
        <f t="shared" si="121"/>
        <v>UK</v>
      </c>
      <c r="K591" s="14">
        <v>0</v>
      </c>
      <c r="L591" s="1">
        <f t="shared" si="122"/>
        <v>19</v>
      </c>
      <c r="M591" s="1" t="str">
        <f t="shared" si="123"/>
        <v>Student</v>
      </c>
      <c r="N591" s="2">
        <v>45028</v>
      </c>
      <c r="O591" s="1" t="s">
        <v>69</v>
      </c>
      <c r="P591" s="1" t="s">
        <v>31</v>
      </c>
      <c r="Q591" s="4">
        <v>79</v>
      </c>
      <c r="R591" s="13">
        <f t="shared" si="124"/>
        <v>79</v>
      </c>
      <c r="S591" s="6">
        <f t="shared" si="118"/>
        <v>0.79</v>
      </c>
      <c r="T591" s="1">
        <v>1.5</v>
      </c>
      <c r="U591" s="1">
        <f t="shared" si="125"/>
        <v>1.5</v>
      </c>
      <c r="V591" s="1">
        <f t="shared" si="126"/>
        <v>55.75</v>
      </c>
      <c r="W591" s="10" t="str">
        <f t="shared" si="127"/>
        <v>Medium</v>
      </c>
      <c r="X591" s="1">
        <v>0</v>
      </c>
      <c r="Y591" s="1" t="str">
        <f t="shared" si="128"/>
        <v>No</v>
      </c>
      <c r="Z591" s="14">
        <v>3</v>
      </c>
      <c r="AA591" s="18">
        <f t="shared" si="129"/>
        <v>3</v>
      </c>
      <c r="AB591" s="18" t="str">
        <f t="shared" si="130"/>
        <v>No</v>
      </c>
      <c r="AC591" s="9">
        <v>45028</v>
      </c>
      <c r="AD591">
        <f>IF(AC591="",0,LEN(AC591)-LEN(SUBSTITUTE(AC591,",",""))+1)</f>
        <v>1</v>
      </c>
    </row>
    <row r="592" spans="1:30" ht="12.5" x14ac:dyDescent="0.25">
      <c r="A592" s="1" t="s">
        <v>2357</v>
      </c>
      <c r="B592" s="1" t="s">
        <v>2358</v>
      </c>
      <c r="C592" s="1" t="str">
        <v>David Hawkins Dvm</v>
      </c>
      <c r="D592" s="1" t="s">
        <v>2359</v>
      </c>
      <c r="E592" s="1" t="str">
        <v>michael22@hotmail.com</v>
      </c>
      <c r="F592" t="str">
        <f t="shared" si="119"/>
        <v>Valid</v>
      </c>
      <c r="G592" s="1" t="s">
        <v>17</v>
      </c>
      <c r="H592" s="1" t="str">
        <f t="shared" si="120"/>
        <v>Female</v>
      </c>
      <c r="I592" s="1" t="s">
        <v>44</v>
      </c>
      <c r="J592" t="str">
        <f t="shared" si="121"/>
        <v>CANADA</v>
      </c>
      <c r="L592" s="1">
        <f t="shared" si="122"/>
        <v>19</v>
      </c>
      <c r="M592" s="1" t="str">
        <f t="shared" si="123"/>
        <v>Student</v>
      </c>
      <c r="N592" s="2">
        <v>44843</v>
      </c>
      <c r="O592" s="1" t="s">
        <v>58</v>
      </c>
      <c r="P592" s="1" t="s">
        <v>59</v>
      </c>
      <c r="Q592" s="4">
        <v>36</v>
      </c>
      <c r="R592" s="13">
        <f t="shared" si="124"/>
        <v>36</v>
      </c>
      <c r="S592" s="6">
        <f t="shared" si="118"/>
        <v>0.36</v>
      </c>
      <c r="T592" s="1">
        <v>45</v>
      </c>
      <c r="U592" s="1">
        <f t="shared" si="125"/>
        <v>45</v>
      </c>
      <c r="V592" s="1">
        <f t="shared" si="126"/>
        <v>38.700000000000003</v>
      </c>
      <c r="W592" s="10" t="str">
        <f t="shared" si="127"/>
        <v>Low</v>
      </c>
      <c r="X592" s="1" t="s">
        <v>22</v>
      </c>
      <c r="Y592" s="1" t="str">
        <f t="shared" si="128"/>
        <v>No</v>
      </c>
      <c r="Z592" s="14">
        <v>1</v>
      </c>
      <c r="AA592" s="18">
        <f t="shared" si="129"/>
        <v>1</v>
      </c>
      <c r="AB592" s="18" t="str">
        <f t="shared" si="130"/>
        <v>No</v>
      </c>
      <c r="AC592" s="9" t="s">
        <v>2360</v>
      </c>
      <c r="AD592">
        <f>IF(AC592="",0,LEN(AC592)-LEN(SUBSTITUTE(AC592,",",""))+1)</f>
        <v>4</v>
      </c>
    </row>
    <row r="593" spans="1:30" ht="12.5" x14ac:dyDescent="0.25">
      <c r="A593" s="1" t="s">
        <v>2361</v>
      </c>
      <c r="B593" s="1" t="s">
        <v>2362</v>
      </c>
      <c r="C593" s="1" t="str">
        <v>Darrell Hoffman</v>
      </c>
      <c r="D593" s="1" t="s">
        <v>2363</v>
      </c>
      <c r="E593" s="1" t="str">
        <v>victoria50@hotmail.com</v>
      </c>
      <c r="F593" t="str">
        <f t="shared" si="119"/>
        <v>Valid</v>
      </c>
      <c r="G593" s="1" t="s">
        <v>119</v>
      </c>
      <c r="H593" s="1" t="str">
        <f t="shared" si="120"/>
        <v>Female</v>
      </c>
      <c r="I593" s="1" t="s">
        <v>44</v>
      </c>
      <c r="J593" t="str">
        <f t="shared" si="121"/>
        <v>CANADA</v>
      </c>
      <c r="K593" s="14">
        <v>0</v>
      </c>
      <c r="L593" s="1">
        <f t="shared" si="122"/>
        <v>19</v>
      </c>
      <c r="M593" s="1" t="str">
        <f t="shared" si="123"/>
        <v>Student</v>
      </c>
      <c r="N593" s="9">
        <v>44707</v>
      </c>
      <c r="O593" s="1" t="s">
        <v>69</v>
      </c>
      <c r="P593" s="1" t="s">
        <v>31</v>
      </c>
      <c r="Q593" s="4">
        <v>0.4</v>
      </c>
      <c r="R593" s="13">
        <f t="shared" si="124"/>
        <v>40</v>
      </c>
      <c r="S593" s="6">
        <f t="shared" si="118"/>
        <v>0.4</v>
      </c>
      <c r="T593" s="1" t="s">
        <v>21</v>
      </c>
      <c r="U593" s="1">
        <f t="shared" si="125"/>
        <v>1.5</v>
      </c>
      <c r="V593" s="1">
        <f t="shared" si="126"/>
        <v>28.45</v>
      </c>
      <c r="W593" s="10" t="str">
        <f t="shared" si="127"/>
        <v>Low</v>
      </c>
      <c r="X593" s="1" t="s">
        <v>32</v>
      </c>
      <c r="Y593" s="1" t="str">
        <f t="shared" si="128"/>
        <v>Yes</v>
      </c>
      <c r="AA593" s="18" t="str">
        <f t="shared" si="129"/>
        <v>Invalid</v>
      </c>
      <c r="AB593" s="18" t="str">
        <f t="shared" si="130"/>
        <v>High Performer</v>
      </c>
      <c r="AC593" s="9" t="s">
        <v>2364</v>
      </c>
      <c r="AD593">
        <f>IF(AC593="",0,LEN(AC593)-LEN(SUBSTITUTE(AC593,",",""))+1)</f>
        <v>7</v>
      </c>
    </row>
    <row r="594" spans="1:30" ht="12.5" x14ac:dyDescent="0.25">
      <c r="A594" s="1" t="s">
        <v>2365</v>
      </c>
      <c r="B594" s="1" t="s">
        <v>2366</v>
      </c>
      <c r="C594" s="1" t="str">
        <v>Lindsey Garcia</v>
      </c>
      <c r="D594" s="1" t="s">
        <v>2367</v>
      </c>
      <c r="E594" s="1" t="str">
        <v>wlloyd@villegas.org</v>
      </c>
      <c r="F594" t="str">
        <f t="shared" si="119"/>
        <v>Valid</v>
      </c>
      <c r="G594" s="1" t="s">
        <v>95</v>
      </c>
      <c r="H594" s="1" t="str">
        <f t="shared" si="120"/>
        <v>Male</v>
      </c>
      <c r="I594" s="1" t="s">
        <v>28</v>
      </c>
      <c r="J594" t="str">
        <f t="shared" si="121"/>
        <v>INDIA</v>
      </c>
      <c r="K594" s="14">
        <v>39</v>
      </c>
      <c r="L594" s="1">
        <f t="shared" si="122"/>
        <v>39</v>
      </c>
      <c r="M594" s="1" t="str">
        <f t="shared" si="123"/>
        <v>Mid Career</v>
      </c>
      <c r="N594" s="9">
        <v>45073</v>
      </c>
      <c r="O594" s="1" t="s">
        <v>170</v>
      </c>
      <c r="P594" s="1" t="s">
        <v>147</v>
      </c>
      <c r="Q594" s="4">
        <v>17</v>
      </c>
      <c r="R594" s="13">
        <f t="shared" si="124"/>
        <v>17</v>
      </c>
      <c r="S594" s="6">
        <f t="shared" si="118"/>
        <v>0.17</v>
      </c>
      <c r="T594" s="1">
        <v>1.5</v>
      </c>
      <c r="U594" s="1">
        <f t="shared" si="125"/>
        <v>1.5</v>
      </c>
      <c r="V594" s="1">
        <f t="shared" si="126"/>
        <v>12.349999999999998</v>
      </c>
      <c r="W594" s="10" t="str">
        <f t="shared" si="127"/>
        <v>Low</v>
      </c>
      <c r="X594" s="1">
        <v>0</v>
      </c>
      <c r="Y594" s="1" t="str">
        <f t="shared" si="128"/>
        <v>No</v>
      </c>
      <c r="AA594" s="18" t="str">
        <f t="shared" si="129"/>
        <v>Invalid</v>
      </c>
      <c r="AB594" s="18" t="str">
        <f t="shared" si="130"/>
        <v>No</v>
      </c>
      <c r="AC594" s="9" t="s">
        <v>2368</v>
      </c>
      <c r="AD594">
        <f>IF(AC594="",0,LEN(AC594)-LEN(SUBSTITUTE(AC594,",",""))+1)</f>
        <v>6</v>
      </c>
    </row>
    <row r="595" spans="1:30" ht="12.5" x14ac:dyDescent="0.25">
      <c r="A595" s="1" t="s">
        <v>2369</v>
      </c>
      <c r="B595" s="1" t="s">
        <v>2370</v>
      </c>
      <c r="C595" s="1" t="str">
        <v>Mark Pitts</v>
      </c>
      <c r="D595" s="1" t="s">
        <v>2371</v>
      </c>
      <c r="E595" s="1" t="str">
        <v>jessicaerickson@hotmail.com</v>
      </c>
      <c r="F595" t="str">
        <f t="shared" si="119"/>
        <v>Valid</v>
      </c>
      <c r="G595" s="1" t="s">
        <v>119</v>
      </c>
      <c r="H595" s="1" t="str">
        <f t="shared" si="120"/>
        <v>Female</v>
      </c>
      <c r="I595" s="1" t="s">
        <v>74</v>
      </c>
      <c r="J595" t="str">
        <f t="shared" si="121"/>
        <v>USA</v>
      </c>
      <c r="L595" s="1">
        <f t="shared" si="122"/>
        <v>19</v>
      </c>
      <c r="M595" s="1" t="str">
        <f t="shared" si="123"/>
        <v>Student</v>
      </c>
      <c r="N595" s="2">
        <v>44904</v>
      </c>
      <c r="O595" s="1" t="s">
        <v>58</v>
      </c>
      <c r="P595" s="1" t="s">
        <v>59</v>
      </c>
      <c r="Q595" s="4">
        <v>0.68</v>
      </c>
      <c r="R595" s="13">
        <f t="shared" si="124"/>
        <v>68</v>
      </c>
      <c r="S595" s="6">
        <f t="shared" si="118"/>
        <v>0.68</v>
      </c>
      <c r="T595" s="1" t="s">
        <v>46</v>
      </c>
      <c r="U595" s="1">
        <f t="shared" si="125"/>
        <v>1</v>
      </c>
      <c r="V595" s="1">
        <f t="shared" si="126"/>
        <v>47.899999999999991</v>
      </c>
      <c r="W595" s="10" t="str">
        <f t="shared" si="127"/>
        <v>Medium</v>
      </c>
      <c r="X595" s="1" t="s">
        <v>32</v>
      </c>
      <c r="Y595" s="1" t="str">
        <f t="shared" si="128"/>
        <v>Yes</v>
      </c>
      <c r="Z595" s="14">
        <v>1</v>
      </c>
      <c r="AA595" s="18">
        <f t="shared" si="129"/>
        <v>1</v>
      </c>
      <c r="AB595" s="18" t="str">
        <f t="shared" si="130"/>
        <v>No</v>
      </c>
      <c r="AC595" s="9" t="s">
        <v>2372</v>
      </c>
      <c r="AD595">
        <f>IF(AC595="",0,LEN(AC595)-LEN(SUBSTITUTE(AC595,",",""))+1)</f>
        <v>2</v>
      </c>
    </row>
    <row r="596" spans="1:30" ht="12.5" x14ac:dyDescent="0.25">
      <c r="A596" s="1" t="s">
        <v>2373</v>
      </c>
      <c r="B596" s="1" t="s">
        <v>2374</v>
      </c>
      <c r="C596" s="1" t="str">
        <v>Felicia Taylor</v>
      </c>
      <c r="D596" s="1" t="s">
        <v>2375</v>
      </c>
      <c r="E596" s="1" t="str">
        <v>xmontes@sanchez.com</v>
      </c>
      <c r="F596" t="str">
        <f t="shared" si="119"/>
        <v>Valid</v>
      </c>
      <c r="G596" s="1" t="s">
        <v>27</v>
      </c>
      <c r="H596" s="1" t="str">
        <f t="shared" si="120"/>
        <v>Male</v>
      </c>
      <c r="I596" s="1" t="s">
        <v>156</v>
      </c>
      <c r="J596" t="str">
        <f t="shared" si="121"/>
        <v>IN</v>
      </c>
      <c r="K596" s="14">
        <v>24</v>
      </c>
      <c r="L596" s="1">
        <f t="shared" si="122"/>
        <v>24</v>
      </c>
      <c r="M596" s="1" t="str">
        <f t="shared" si="123"/>
        <v>Early Career</v>
      </c>
      <c r="N596" s="9">
        <v>45432</v>
      </c>
      <c r="O596" s="1" t="s">
        <v>158</v>
      </c>
      <c r="P596" s="1" t="s">
        <v>59</v>
      </c>
      <c r="Q596" s="4">
        <v>0.24</v>
      </c>
      <c r="R596" s="13">
        <f t="shared" si="124"/>
        <v>24</v>
      </c>
      <c r="S596" s="6">
        <f t="shared" si="118"/>
        <v>0.24</v>
      </c>
      <c r="T596" s="1">
        <v>1.5</v>
      </c>
      <c r="U596" s="1">
        <f t="shared" si="125"/>
        <v>1.5</v>
      </c>
      <c r="V596" s="1">
        <f t="shared" si="126"/>
        <v>17.249999999999996</v>
      </c>
      <c r="W596" s="10" t="str">
        <f t="shared" si="127"/>
        <v>Low</v>
      </c>
      <c r="X596" s="1">
        <v>0</v>
      </c>
      <c r="Y596" s="1" t="str">
        <f t="shared" si="128"/>
        <v>No</v>
      </c>
      <c r="Z596" s="14">
        <v>4</v>
      </c>
      <c r="AA596" s="18">
        <f t="shared" si="129"/>
        <v>4</v>
      </c>
      <c r="AB596" s="18" t="str">
        <f t="shared" si="130"/>
        <v>No</v>
      </c>
      <c r="AC596" s="9" t="s">
        <v>2376</v>
      </c>
      <c r="AD596">
        <f>IF(AC596="",0,LEN(AC596)-LEN(SUBSTITUTE(AC596,",",""))+1)</f>
        <v>1</v>
      </c>
    </row>
    <row r="597" spans="1:30" ht="12.5" x14ac:dyDescent="0.25">
      <c r="A597" s="1" t="s">
        <v>2377</v>
      </c>
      <c r="B597" s="1" t="s">
        <v>2378</v>
      </c>
      <c r="C597" s="1" t="str">
        <v>Paul Ward</v>
      </c>
      <c r="D597" s="1" t="s">
        <v>2379</v>
      </c>
      <c r="E597" s="1" t="str">
        <v>karenmoreno@taylor.biz</v>
      </c>
      <c r="F597" t="str">
        <f t="shared" si="119"/>
        <v>Valid</v>
      </c>
      <c r="G597" s="1" t="s">
        <v>43</v>
      </c>
      <c r="H597" s="1" t="str">
        <f t="shared" si="120"/>
        <v>Female</v>
      </c>
      <c r="I597" s="1" t="s">
        <v>28</v>
      </c>
      <c r="J597" t="str">
        <f t="shared" si="121"/>
        <v>INDIA</v>
      </c>
      <c r="K597" s="14">
        <v>0</v>
      </c>
      <c r="L597" s="1">
        <f t="shared" si="122"/>
        <v>19</v>
      </c>
      <c r="M597" s="1" t="str">
        <f t="shared" si="123"/>
        <v>Student</v>
      </c>
      <c r="N597" s="9">
        <v>45103</v>
      </c>
      <c r="O597" s="1" t="s">
        <v>75</v>
      </c>
      <c r="P597" s="1" t="s">
        <v>37</v>
      </c>
      <c r="Q597" s="4">
        <v>46</v>
      </c>
      <c r="R597" s="13">
        <f t="shared" si="124"/>
        <v>46</v>
      </c>
      <c r="S597" s="6">
        <f t="shared" si="118"/>
        <v>0.46</v>
      </c>
      <c r="T597" s="1" t="s">
        <v>21</v>
      </c>
      <c r="U597" s="1">
        <f t="shared" si="125"/>
        <v>1.5</v>
      </c>
      <c r="V597" s="1">
        <f t="shared" si="126"/>
        <v>32.65</v>
      </c>
      <c r="W597" s="10" t="str">
        <f t="shared" si="127"/>
        <v>Low</v>
      </c>
      <c r="X597" s="1" t="s">
        <v>32</v>
      </c>
      <c r="Y597" s="1" t="str">
        <f t="shared" si="128"/>
        <v>Yes</v>
      </c>
      <c r="Z597" s="14">
        <v>1</v>
      </c>
      <c r="AA597" s="18">
        <f t="shared" si="129"/>
        <v>1</v>
      </c>
      <c r="AB597" s="18" t="str">
        <f t="shared" si="130"/>
        <v>No</v>
      </c>
      <c r="AC597" s="9" t="s">
        <v>2380</v>
      </c>
      <c r="AD597">
        <f>IF(AC597="",0,LEN(AC597)-LEN(SUBSTITUTE(AC597,",",""))+1)</f>
        <v>4</v>
      </c>
    </row>
    <row r="598" spans="1:30" ht="12.5" x14ac:dyDescent="0.25">
      <c r="A598" s="1" t="s">
        <v>2381</v>
      </c>
      <c r="B598" s="1" t="s">
        <v>2382</v>
      </c>
      <c r="C598" s="1" t="str">
        <v>Melanie Acevedo</v>
      </c>
      <c r="D598" s="1" t="s">
        <v>2383</v>
      </c>
      <c r="E598" s="1" t="str">
        <v>kaylarobbins@hotmail.com</v>
      </c>
      <c r="F598" t="str">
        <f t="shared" si="119"/>
        <v>Valid</v>
      </c>
      <c r="G598" s="1" t="s">
        <v>109</v>
      </c>
      <c r="H598" s="1" t="str">
        <f t="shared" si="120"/>
        <v>Male</v>
      </c>
      <c r="I598" s="1" t="s">
        <v>74</v>
      </c>
      <c r="J598" t="str">
        <f t="shared" si="121"/>
        <v>USA</v>
      </c>
      <c r="K598" s="14">
        <v>36</v>
      </c>
      <c r="L598" s="1">
        <f t="shared" si="122"/>
        <v>36</v>
      </c>
      <c r="M598" s="1" t="str">
        <f t="shared" si="123"/>
        <v>Mid Career</v>
      </c>
      <c r="N598" s="2">
        <v>45323</v>
      </c>
      <c r="O598" s="1" t="s">
        <v>30</v>
      </c>
      <c r="P598" s="1" t="s">
        <v>31</v>
      </c>
      <c r="Q598" s="4">
        <v>0.84</v>
      </c>
      <c r="R598" s="13">
        <f t="shared" si="124"/>
        <v>84</v>
      </c>
      <c r="S598" s="6">
        <f t="shared" si="118"/>
        <v>0.84</v>
      </c>
      <c r="T598" s="1" t="s">
        <v>21</v>
      </c>
      <c r="U598" s="1">
        <f t="shared" si="125"/>
        <v>1.5</v>
      </c>
      <c r="V598" s="1">
        <f t="shared" si="126"/>
        <v>59.25</v>
      </c>
      <c r="W598" s="10" t="str">
        <f t="shared" si="127"/>
        <v>Medium</v>
      </c>
      <c r="X598" s="1" t="s">
        <v>22</v>
      </c>
      <c r="Y598" s="1" t="str">
        <f t="shared" si="128"/>
        <v>No</v>
      </c>
      <c r="AA598" s="18" t="str">
        <f t="shared" si="129"/>
        <v>Invalid</v>
      </c>
      <c r="AB598" s="18" t="str">
        <f t="shared" si="130"/>
        <v>No</v>
      </c>
      <c r="AC598" s="9" t="s">
        <v>2384</v>
      </c>
      <c r="AD598">
        <f>IF(AC598="",0,LEN(AC598)-LEN(SUBSTITUTE(AC598,",",""))+1)</f>
        <v>8</v>
      </c>
    </row>
    <row r="599" spans="1:30" ht="12.5" x14ac:dyDescent="0.25">
      <c r="A599" s="1" t="s">
        <v>2385</v>
      </c>
      <c r="B599" s="1" t="s">
        <v>2386</v>
      </c>
      <c r="C599" s="1" t="str">
        <v>Mrs. Amy Malone</v>
      </c>
      <c r="D599" s="1" t="s">
        <v>127</v>
      </c>
      <c r="E599" s="1" t="str">
        <v>invalid-email</v>
      </c>
      <c r="F599" t="str">
        <f t="shared" si="119"/>
        <v>Invalid</v>
      </c>
      <c r="G599" s="1" t="s">
        <v>27</v>
      </c>
      <c r="H599" s="1" t="str">
        <f t="shared" si="120"/>
        <v>Male</v>
      </c>
      <c r="I599" s="1" t="s">
        <v>96</v>
      </c>
      <c r="J599" t="str">
        <f t="shared" si="121"/>
        <v>INDIA</v>
      </c>
      <c r="K599" s="14">
        <v>32</v>
      </c>
      <c r="L599" s="1">
        <f t="shared" si="122"/>
        <v>32</v>
      </c>
      <c r="M599" s="1" t="str">
        <f t="shared" si="123"/>
        <v>Mid Career</v>
      </c>
      <c r="N599" s="9">
        <v>44766</v>
      </c>
      <c r="O599" s="1" t="s">
        <v>75</v>
      </c>
      <c r="P599" s="1" t="s">
        <v>37</v>
      </c>
      <c r="Q599" s="4">
        <v>35</v>
      </c>
      <c r="R599" s="13">
        <f t="shared" si="124"/>
        <v>35</v>
      </c>
      <c r="S599" s="6">
        <f t="shared" si="118"/>
        <v>0.35</v>
      </c>
      <c r="T599" s="1">
        <v>45</v>
      </c>
      <c r="U599" s="1">
        <f t="shared" si="125"/>
        <v>45</v>
      </c>
      <c r="V599" s="1">
        <f t="shared" si="126"/>
        <v>38</v>
      </c>
      <c r="W599" s="10" t="str">
        <f t="shared" si="127"/>
        <v>Low</v>
      </c>
      <c r="X599" s="1">
        <v>0</v>
      </c>
      <c r="Y599" s="1" t="str">
        <f t="shared" si="128"/>
        <v>No</v>
      </c>
      <c r="Z599" s="14">
        <v>2</v>
      </c>
      <c r="AA599" s="18">
        <f t="shared" si="129"/>
        <v>2</v>
      </c>
      <c r="AB599" s="18" t="str">
        <f t="shared" si="130"/>
        <v>No</v>
      </c>
      <c r="AC599" s="9" t="s">
        <v>2388</v>
      </c>
      <c r="AD599">
        <f>IF(AC599="",0,LEN(AC599)-LEN(SUBSTITUTE(AC599,",",""))+1)</f>
        <v>4</v>
      </c>
    </row>
    <row r="600" spans="1:30" ht="12.5" x14ac:dyDescent="0.25">
      <c r="A600" s="1" t="s">
        <v>2389</v>
      </c>
      <c r="B600" s="1" t="s">
        <v>2390</v>
      </c>
      <c r="C600" s="1" t="str">
        <v>Vanessa Whitney</v>
      </c>
      <c r="D600" s="1" t="s">
        <v>2391</v>
      </c>
      <c r="E600" s="1" t="str">
        <v>rmorales@hotmail.com</v>
      </c>
      <c r="F600" t="str">
        <f t="shared" si="119"/>
        <v>Valid</v>
      </c>
      <c r="G600" s="1" t="s">
        <v>95</v>
      </c>
      <c r="H600" s="1" t="str">
        <f t="shared" si="120"/>
        <v>Male</v>
      </c>
      <c r="I600" s="1" t="s">
        <v>89</v>
      </c>
      <c r="J600" t="str">
        <f t="shared" si="121"/>
        <v>GERMANY</v>
      </c>
      <c r="L600" s="1">
        <f t="shared" si="122"/>
        <v>19</v>
      </c>
      <c r="M600" s="1" t="str">
        <f t="shared" si="123"/>
        <v>Student</v>
      </c>
      <c r="N600" s="9">
        <v>45683</v>
      </c>
      <c r="O600" s="1" t="s">
        <v>301</v>
      </c>
      <c r="P600" s="1" t="s">
        <v>20</v>
      </c>
      <c r="Q600" s="4">
        <v>0.87</v>
      </c>
      <c r="R600" s="13">
        <f t="shared" si="124"/>
        <v>87</v>
      </c>
      <c r="S600" s="6">
        <f t="shared" si="118"/>
        <v>0.87</v>
      </c>
      <c r="T600" s="1" t="s">
        <v>64</v>
      </c>
      <c r="U600" s="1">
        <f t="shared" si="125"/>
        <v>2</v>
      </c>
      <c r="V600" s="1">
        <f t="shared" si="126"/>
        <v>61.5</v>
      </c>
      <c r="W600" s="10" t="str">
        <f t="shared" si="127"/>
        <v>Medium</v>
      </c>
      <c r="X600" s="1">
        <v>1</v>
      </c>
      <c r="Y600" s="1" t="str">
        <f t="shared" si="128"/>
        <v>Yes</v>
      </c>
      <c r="Z600" s="14">
        <v>5</v>
      </c>
      <c r="AA600" s="18">
        <f t="shared" si="129"/>
        <v>5</v>
      </c>
      <c r="AB600" s="18" t="str">
        <f t="shared" si="130"/>
        <v>High Performer</v>
      </c>
      <c r="AC600" s="9" t="s">
        <v>2392</v>
      </c>
      <c r="AD600">
        <f>IF(AC600="",0,LEN(AC600)-LEN(SUBSTITUTE(AC600,",",""))+1)</f>
        <v>7</v>
      </c>
    </row>
    <row r="601" spans="1:30" ht="12.5" x14ac:dyDescent="0.25">
      <c r="A601" s="1" t="s">
        <v>2393</v>
      </c>
      <c r="B601" s="1" t="s">
        <v>2394</v>
      </c>
      <c r="C601" s="1" t="str">
        <v>Gregory Wilcox</v>
      </c>
      <c r="D601" s="1" t="s">
        <v>2395</v>
      </c>
      <c r="E601" s="1" t="str">
        <v>ngriffin@weber.com</v>
      </c>
      <c r="F601" t="str">
        <f t="shared" si="119"/>
        <v>Valid</v>
      </c>
      <c r="G601" s="1" t="s">
        <v>43</v>
      </c>
      <c r="H601" s="1" t="str">
        <f t="shared" si="120"/>
        <v>Female</v>
      </c>
      <c r="I601" s="1" t="s">
        <v>18</v>
      </c>
      <c r="J601" t="str">
        <f t="shared" si="121"/>
        <v>US</v>
      </c>
      <c r="K601" s="14">
        <v>20</v>
      </c>
      <c r="L601" s="1">
        <f t="shared" si="122"/>
        <v>20</v>
      </c>
      <c r="M601" s="1" t="str">
        <f t="shared" si="123"/>
        <v>Student</v>
      </c>
      <c r="N601" s="9">
        <v>45518</v>
      </c>
      <c r="O601" s="1" t="s">
        <v>58</v>
      </c>
      <c r="P601" s="1" t="s">
        <v>59</v>
      </c>
      <c r="Q601" s="4">
        <v>0.1</v>
      </c>
      <c r="R601" s="13">
        <f t="shared" si="124"/>
        <v>10</v>
      </c>
      <c r="S601" s="6">
        <f t="shared" si="118"/>
        <v>0.1</v>
      </c>
      <c r="T601" s="1" t="s">
        <v>64</v>
      </c>
      <c r="U601" s="1">
        <f t="shared" si="125"/>
        <v>2</v>
      </c>
      <c r="V601" s="1">
        <f t="shared" si="126"/>
        <v>7.6</v>
      </c>
      <c r="W601" s="10" t="str">
        <f t="shared" si="127"/>
        <v>Low</v>
      </c>
      <c r="X601" s="1" t="s">
        <v>32</v>
      </c>
      <c r="Y601" s="1" t="str">
        <f t="shared" si="128"/>
        <v>Yes</v>
      </c>
      <c r="Z601" s="14">
        <v>5</v>
      </c>
      <c r="AA601" s="18">
        <f t="shared" si="129"/>
        <v>5</v>
      </c>
      <c r="AB601" s="18" t="str">
        <f t="shared" si="130"/>
        <v>High Performer</v>
      </c>
      <c r="AC601" s="9" t="s">
        <v>2396</v>
      </c>
      <c r="AD601">
        <f>IF(AC601="",0,LEN(AC601)-LEN(SUBSTITUTE(AC601,",",""))+1)</f>
        <v>1</v>
      </c>
    </row>
    <row r="602" spans="1:30" ht="12.5" x14ac:dyDescent="0.25">
      <c r="A602" s="1" t="s">
        <v>2397</v>
      </c>
      <c r="B602" s="1" t="s">
        <v>2398</v>
      </c>
      <c r="C602" s="1" t="str">
        <v>Andrew Cook</v>
      </c>
      <c r="D602" s="1" t="s">
        <v>2399</v>
      </c>
      <c r="E602" s="1" t="str">
        <v>jason88@boyd-sherman.com</v>
      </c>
      <c r="F602" t="str">
        <f t="shared" si="119"/>
        <v>Valid</v>
      </c>
      <c r="G602" s="1" t="s">
        <v>27</v>
      </c>
      <c r="H602" s="1" t="str">
        <f t="shared" si="120"/>
        <v>Male</v>
      </c>
      <c r="I602" s="1" t="s">
        <v>89</v>
      </c>
      <c r="J602" t="str">
        <f t="shared" si="121"/>
        <v>GERMANY</v>
      </c>
      <c r="L602" s="1">
        <f t="shared" si="122"/>
        <v>19</v>
      </c>
      <c r="M602" s="1" t="str">
        <f t="shared" si="123"/>
        <v>Student</v>
      </c>
      <c r="N602" s="2">
        <v>45870</v>
      </c>
      <c r="O602" s="1" t="s">
        <v>36</v>
      </c>
      <c r="P602" s="1" t="s">
        <v>37</v>
      </c>
      <c r="Q602" s="4">
        <v>0.03</v>
      </c>
      <c r="R602" s="13">
        <f t="shared" si="124"/>
        <v>3</v>
      </c>
      <c r="S602" s="6">
        <f t="shared" si="118"/>
        <v>0.03</v>
      </c>
      <c r="T602" s="1">
        <v>1.5</v>
      </c>
      <c r="U602" s="1">
        <f t="shared" si="125"/>
        <v>1.5</v>
      </c>
      <c r="V602" s="1">
        <f t="shared" si="126"/>
        <v>2.5499999999999998</v>
      </c>
      <c r="W602" s="10" t="str">
        <f t="shared" si="127"/>
        <v>Low</v>
      </c>
      <c r="X602" s="1" t="s">
        <v>32</v>
      </c>
      <c r="Y602" s="1" t="str">
        <f t="shared" si="128"/>
        <v>Yes</v>
      </c>
      <c r="Z602" s="14">
        <v>5</v>
      </c>
      <c r="AA602" s="18">
        <f t="shared" si="129"/>
        <v>5</v>
      </c>
      <c r="AB602" s="18" t="str">
        <f t="shared" si="130"/>
        <v>High Performer</v>
      </c>
      <c r="AC602" s="9" t="s">
        <v>2400</v>
      </c>
      <c r="AD602">
        <f>IF(AC602="",0,LEN(AC602)-LEN(SUBSTITUTE(AC602,",",""))+1)</f>
        <v>2</v>
      </c>
    </row>
    <row r="603" spans="1:30" ht="12.5" x14ac:dyDescent="0.25">
      <c r="A603" s="1" t="s">
        <v>2401</v>
      </c>
      <c r="B603" s="1" t="s">
        <v>2402</v>
      </c>
      <c r="C603" s="1" t="str">
        <v>Daisy Schroeder</v>
      </c>
      <c r="D603" s="1" t="s">
        <v>2403</v>
      </c>
      <c r="E603" s="1" t="str">
        <v>dennismckenzie@yahoo.com</v>
      </c>
      <c r="F603" t="str">
        <f t="shared" si="119"/>
        <v>Valid</v>
      </c>
      <c r="G603" s="1" t="s">
        <v>17</v>
      </c>
      <c r="H603" s="1" t="str">
        <f t="shared" si="120"/>
        <v>Female</v>
      </c>
      <c r="I603" s="1" t="s">
        <v>74</v>
      </c>
      <c r="J603" t="str">
        <f t="shared" si="121"/>
        <v>USA</v>
      </c>
      <c r="K603" s="14">
        <v>19</v>
      </c>
      <c r="L603" s="1">
        <f t="shared" si="122"/>
        <v>19</v>
      </c>
      <c r="M603" s="1" t="str">
        <f t="shared" si="123"/>
        <v>Student</v>
      </c>
      <c r="N603" s="9">
        <v>44694</v>
      </c>
      <c r="O603" s="1" t="s">
        <v>301</v>
      </c>
      <c r="P603" s="1" t="s">
        <v>20</v>
      </c>
      <c r="Q603" s="4">
        <v>79</v>
      </c>
      <c r="R603" s="13">
        <f t="shared" si="124"/>
        <v>79</v>
      </c>
      <c r="S603" s="6">
        <f t="shared" si="118"/>
        <v>0.79</v>
      </c>
      <c r="T603" s="1">
        <v>1.5</v>
      </c>
      <c r="U603" s="1">
        <f t="shared" si="125"/>
        <v>1.5</v>
      </c>
      <c r="V603" s="1">
        <f t="shared" si="126"/>
        <v>55.75</v>
      </c>
      <c r="W603" s="10" t="str">
        <f t="shared" si="127"/>
        <v>Medium</v>
      </c>
      <c r="X603" s="1">
        <v>0</v>
      </c>
      <c r="Y603" s="1" t="str">
        <f t="shared" si="128"/>
        <v>No</v>
      </c>
      <c r="Z603" s="14">
        <v>4</v>
      </c>
      <c r="AA603" s="18">
        <f t="shared" si="129"/>
        <v>4</v>
      </c>
      <c r="AB603" s="18" t="str">
        <f t="shared" si="130"/>
        <v>No</v>
      </c>
      <c r="AC603" s="9" t="s">
        <v>2404</v>
      </c>
      <c r="AD603">
        <f>IF(AC603="",0,LEN(AC603)-LEN(SUBSTITUTE(AC603,",",""))+1)</f>
        <v>4</v>
      </c>
    </row>
    <row r="604" spans="1:30" ht="12.5" x14ac:dyDescent="0.25">
      <c r="A604" s="1" t="s">
        <v>2405</v>
      </c>
      <c r="B604" s="1" t="s">
        <v>2406</v>
      </c>
      <c r="C604" s="1" t="str">
        <v>Teresa West</v>
      </c>
      <c r="D604" s="1" t="s">
        <v>2407</v>
      </c>
      <c r="E604" s="1" t="str">
        <v>pmorgan@zhang.net</v>
      </c>
      <c r="F604" t="str">
        <f t="shared" si="119"/>
        <v>Valid</v>
      </c>
      <c r="G604" s="1" t="s">
        <v>95</v>
      </c>
      <c r="H604" s="1" t="str">
        <f t="shared" si="120"/>
        <v>Male</v>
      </c>
      <c r="I604" s="1" t="s">
        <v>96</v>
      </c>
      <c r="J604" t="str">
        <f t="shared" si="121"/>
        <v>INDIA</v>
      </c>
      <c r="L604" s="1">
        <f t="shared" si="122"/>
        <v>19</v>
      </c>
      <c r="M604" s="1" t="str">
        <f t="shared" si="123"/>
        <v>Student</v>
      </c>
      <c r="N604" s="2">
        <v>45424</v>
      </c>
      <c r="O604" s="1" t="s">
        <v>19</v>
      </c>
      <c r="P604" s="1" t="s">
        <v>20</v>
      </c>
      <c r="Q604" s="4">
        <v>0.78</v>
      </c>
      <c r="R604" s="13">
        <f t="shared" si="124"/>
        <v>78</v>
      </c>
      <c r="S604" s="6">
        <f t="shared" si="118"/>
        <v>0.78</v>
      </c>
      <c r="T604" s="1" t="s">
        <v>64</v>
      </c>
      <c r="U604" s="1">
        <f t="shared" si="125"/>
        <v>2</v>
      </c>
      <c r="V604" s="1">
        <f t="shared" si="126"/>
        <v>55.199999999999996</v>
      </c>
      <c r="W604" s="10" t="str">
        <f t="shared" si="127"/>
        <v>Medium</v>
      </c>
      <c r="X604" s="1" t="s">
        <v>38</v>
      </c>
      <c r="Y604" s="1" t="str">
        <f t="shared" si="128"/>
        <v>No</v>
      </c>
      <c r="AA604" s="18" t="str">
        <f t="shared" si="129"/>
        <v>Invalid</v>
      </c>
      <c r="AB604" s="18" t="str">
        <f t="shared" si="130"/>
        <v>No</v>
      </c>
      <c r="AC604" s="9">
        <v>45424</v>
      </c>
      <c r="AD604">
        <f>IF(AC604="",0,LEN(AC604)-LEN(SUBSTITUTE(AC604,",",""))+1)</f>
        <v>1</v>
      </c>
    </row>
    <row r="605" spans="1:30" ht="12.5" x14ac:dyDescent="0.25">
      <c r="A605" s="1" t="s">
        <v>2408</v>
      </c>
      <c r="B605" s="1" t="s">
        <v>2409</v>
      </c>
      <c r="C605" s="1" t="str">
        <v>Robin Armstrong</v>
      </c>
      <c r="D605" s="1" t="s">
        <v>2410</v>
      </c>
      <c r="E605" s="1" t="str">
        <v>pstone@murphy.com</v>
      </c>
      <c r="F605" t="str">
        <f t="shared" si="119"/>
        <v>Valid</v>
      </c>
      <c r="G605" s="1" t="s">
        <v>119</v>
      </c>
      <c r="H605" s="1" t="str">
        <f t="shared" si="120"/>
        <v>Female</v>
      </c>
      <c r="I605" s="1" t="s">
        <v>18</v>
      </c>
      <c r="J605" t="str">
        <f t="shared" si="121"/>
        <v>US</v>
      </c>
      <c r="K605" s="14">
        <v>0</v>
      </c>
      <c r="L605" s="1">
        <f t="shared" si="122"/>
        <v>19</v>
      </c>
      <c r="M605" s="1" t="str">
        <f t="shared" si="123"/>
        <v>Student</v>
      </c>
      <c r="N605" s="9">
        <v>45583</v>
      </c>
      <c r="O605" s="1" t="s">
        <v>45</v>
      </c>
      <c r="P605" s="1" t="s">
        <v>20</v>
      </c>
      <c r="Q605" s="4">
        <v>100</v>
      </c>
      <c r="R605" s="13">
        <f t="shared" si="124"/>
        <v>100</v>
      </c>
      <c r="S605" s="6">
        <f t="shared" si="118"/>
        <v>1</v>
      </c>
      <c r="T605" s="1" t="s">
        <v>21</v>
      </c>
      <c r="U605" s="1">
        <f t="shared" si="125"/>
        <v>1.5</v>
      </c>
      <c r="V605" s="1">
        <f t="shared" si="126"/>
        <v>70.45</v>
      </c>
      <c r="W605" s="10" t="str">
        <f t="shared" si="127"/>
        <v>Medium</v>
      </c>
      <c r="X605" s="1">
        <v>0</v>
      </c>
      <c r="Y605" s="1" t="str">
        <f t="shared" si="128"/>
        <v>No</v>
      </c>
      <c r="AA605" s="18" t="str">
        <f t="shared" si="129"/>
        <v>Invalid</v>
      </c>
      <c r="AB605" s="18" t="str">
        <f t="shared" si="130"/>
        <v>No</v>
      </c>
      <c r="AC605" s="9" t="s">
        <v>2411</v>
      </c>
      <c r="AD605">
        <f>IF(AC605="",0,LEN(AC605)-LEN(SUBSTITUTE(AC605,",",""))+1)</f>
        <v>7</v>
      </c>
    </row>
    <row r="606" spans="1:30" ht="12.5" x14ac:dyDescent="0.25">
      <c r="A606" s="1" t="s">
        <v>2412</v>
      </c>
      <c r="B606" s="1" t="s">
        <v>2413</v>
      </c>
      <c r="C606" s="1" t="str">
        <v>Jason Davis</v>
      </c>
      <c r="D606" s="1" t="s">
        <v>2414</v>
      </c>
      <c r="E606" s="1" t="str">
        <v>thomasgriffin@yahoo.com</v>
      </c>
      <c r="F606" t="str">
        <f t="shared" si="119"/>
        <v>Valid</v>
      </c>
      <c r="G606" s="1" t="s">
        <v>43</v>
      </c>
      <c r="H606" s="1" t="str">
        <f t="shared" si="120"/>
        <v>Female</v>
      </c>
      <c r="I606" s="1" t="s">
        <v>51</v>
      </c>
      <c r="J606" t="str">
        <f t="shared" si="121"/>
        <v>UK</v>
      </c>
      <c r="K606" s="14">
        <v>0</v>
      </c>
      <c r="L606" s="1">
        <f t="shared" si="122"/>
        <v>19</v>
      </c>
      <c r="M606" s="1" t="str">
        <f t="shared" si="123"/>
        <v>Student</v>
      </c>
      <c r="N606" s="9">
        <v>45219</v>
      </c>
      <c r="O606" s="1" t="s">
        <v>301</v>
      </c>
      <c r="P606" s="1" t="s">
        <v>20</v>
      </c>
      <c r="Q606" s="4">
        <v>0.13</v>
      </c>
      <c r="R606" s="13">
        <f t="shared" si="124"/>
        <v>13</v>
      </c>
      <c r="S606" s="6">
        <f t="shared" si="118"/>
        <v>0.13</v>
      </c>
      <c r="T606" s="1">
        <v>45</v>
      </c>
      <c r="U606" s="1">
        <f t="shared" si="125"/>
        <v>45</v>
      </c>
      <c r="V606" s="1">
        <f t="shared" si="126"/>
        <v>22.6</v>
      </c>
      <c r="W606" s="10" t="str">
        <f t="shared" si="127"/>
        <v>Low</v>
      </c>
      <c r="X606" s="1" t="s">
        <v>38</v>
      </c>
      <c r="Y606" s="1" t="str">
        <f t="shared" si="128"/>
        <v>No</v>
      </c>
      <c r="Z606" s="14">
        <v>1</v>
      </c>
      <c r="AA606" s="18">
        <f t="shared" si="129"/>
        <v>1</v>
      </c>
      <c r="AB606" s="18" t="str">
        <f t="shared" si="130"/>
        <v>No</v>
      </c>
      <c r="AC606" s="9" t="s">
        <v>2415</v>
      </c>
      <c r="AD606">
        <f>IF(AC606="",0,LEN(AC606)-LEN(SUBSTITUTE(AC606,",",""))+1)</f>
        <v>6</v>
      </c>
    </row>
    <row r="607" spans="1:30" ht="12.5" x14ac:dyDescent="0.25">
      <c r="A607" s="1" t="s">
        <v>2416</v>
      </c>
      <c r="B607" s="1" t="s">
        <v>2417</v>
      </c>
      <c r="C607" s="1" t="str">
        <v>Jennifer Baker</v>
      </c>
      <c r="D607" s="1" t="s">
        <v>2418</v>
      </c>
      <c r="E607" s="1" t="str">
        <v>sbarajas@yahoo.com</v>
      </c>
      <c r="F607" t="str">
        <f t="shared" si="119"/>
        <v>Valid</v>
      </c>
      <c r="G607" s="1" t="s">
        <v>57</v>
      </c>
      <c r="H607" s="1" t="str">
        <f t="shared" si="120"/>
        <v>Female</v>
      </c>
      <c r="I607" s="1" t="s">
        <v>44</v>
      </c>
      <c r="J607" t="str">
        <f t="shared" si="121"/>
        <v>CANADA</v>
      </c>
      <c r="K607" s="14">
        <v>0</v>
      </c>
      <c r="L607" s="1">
        <f t="shared" si="122"/>
        <v>19</v>
      </c>
      <c r="M607" s="1" t="str">
        <f t="shared" si="123"/>
        <v>Student</v>
      </c>
      <c r="N607" s="9">
        <v>45709</v>
      </c>
      <c r="O607" s="1" t="s">
        <v>114</v>
      </c>
      <c r="P607" s="1" t="s">
        <v>59</v>
      </c>
      <c r="Q607" s="4">
        <v>0.05</v>
      </c>
      <c r="R607" s="13">
        <f t="shared" si="124"/>
        <v>5</v>
      </c>
      <c r="S607" s="6">
        <f t="shared" si="118"/>
        <v>0.05</v>
      </c>
      <c r="T607" s="1" t="s">
        <v>21</v>
      </c>
      <c r="U607" s="1">
        <f t="shared" si="125"/>
        <v>1.5</v>
      </c>
      <c r="V607" s="1">
        <f t="shared" si="126"/>
        <v>3.95</v>
      </c>
      <c r="W607" s="10" t="str">
        <f t="shared" si="127"/>
        <v>Low</v>
      </c>
      <c r="X607" s="1" t="s">
        <v>22</v>
      </c>
      <c r="Y607" s="1" t="str">
        <f t="shared" si="128"/>
        <v>No</v>
      </c>
      <c r="Z607" s="14">
        <v>1</v>
      </c>
      <c r="AA607" s="18">
        <f t="shared" si="129"/>
        <v>1</v>
      </c>
      <c r="AB607" s="18" t="str">
        <f t="shared" si="130"/>
        <v>No</v>
      </c>
      <c r="AC607" s="9" t="s">
        <v>1155</v>
      </c>
      <c r="AD607">
        <f>IF(AC607="",0,LEN(AC607)-LEN(SUBSTITUTE(AC607,",",""))+1)</f>
        <v>8</v>
      </c>
    </row>
    <row r="608" spans="1:30" ht="12.5" x14ac:dyDescent="0.25">
      <c r="A608" s="1" t="s">
        <v>2419</v>
      </c>
      <c r="B608" s="1" t="s">
        <v>2420</v>
      </c>
      <c r="C608" s="1" t="str">
        <v>Michael Anderson</v>
      </c>
      <c r="D608" s="1" t="s">
        <v>2421</v>
      </c>
      <c r="E608" s="1" t="str">
        <v>stanleyjohnson@raymond.com</v>
      </c>
      <c r="F608" t="str">
        <f t="shared" si="119"/>
        <v>Valid</v>
      </c>
      <c r="G608" s="1" t="s">
        <v>95</v>
      </c>
      <c r="H608" s="1" t="str">
        <f t="shared" si="120"/>
        <v>Male</v>
      </c>
      <c r="I608" s="1" t="s">
        <v>89</v>
      </c>
      <c r="J608" t="str">
        <f t="shared" si="121"/>
        <v>GERMANY</v>
      </c>
      <c r="K608" s="14">
        <v>0</v>
      </c>
      <c r="L608" s="1">
        <f t="shared" si="122"/>
        <v>19</v>
      </c>
      <c r="M608" s="1" t="str">
        <f t="shared" si="123"/>
        <v>Student</v>
      </c>
      <c r="N608" s="9">
        <v>45305</v>
      </c>
      <c r="O608" s="1" t="s">
        <v>58</v>
      </c>
      <c r="P608" s="1" t="s">
        <v>59</v>
      </c>
      <c r="Q608" s="4">
        <v>0.01</v>
      </c>
      <c r="R608" s="13">
        <f t="shared" si="124"/>
        <v>1</v>
      </c>
      <c r="S608" s="6">
        <f t="shared" si="118"/>
        <v>0.01</v>
      </c>
      <c r="T608" s="1">
        <v>2</v>
      </c>
      <c r="U608" s="1">
        <f t="shared" si="125"/>
        <v>2</v>
      </c>
      <c r="V608" s="1">
        <f t="shared" si="126"/>
        <v>1.2999999999999998</v>
      </c>
      <c r="W608" s="10" t="str">
        <f t="shared" si="127"/>
        <v>Low</v>
      </c>
      <c r="X608" s="1" t="s">
        <v>38</v>
      </c>
      <c r="Y608" s="1" t="str">
        <f t="shared" si="128"/>
        <v>No</v>
      </c>
      <c r="Z608" s="14">
        <v>5</v>
      </c>
      <c r="AA608" s="18">
        <f t="shared" si="129"/>
        <v>5</v>
      </c>
      <c r="AB608" s="18" t="str">
        <f t="shared" si="130"/>
        <v>No</v>
      </c>
      <c r="AC608" s="9" t="s">
        <v>2422</v>
      </c>
      <c r="AD608">
        <f>IF(AC608="",0,LEN(AC608)-LEN(SUBSTITUTE(AC608,",",""))+1)</f>
        <v>6</v>
      </c>
    </row>
    <row r="609" spans="1:30" ht="12.5" x14ac:dyDescent="0.25">
      <c r="A609" s="1" t="s">
        <v>2423</v>
      </c>
      <c r="B609" s="1" t="s">
        <v>2424</v>
      </c>
      <c r="C609" s="1" t="str">
        <v>Dylan Mills</v>
      </c>
      <c r="D609" s="1" t="s">
        <v>2425</v>
      </c>
      <c r="E609" s="1" t="str">
        <v>kevin54@tucker-moody.com</v>
      </c>
      <c r="F609" t="str">
        <f t="shared" si="119"/>
        <v>Valid</v>
      </c>
      <c r="G609" s="1" t="s">
        <v>119</v>
      </c>
      <c r="H609" s="1" t="str">
        <f t="shared" si="120"/>
        <v>Female</v>
      </c>
      <c r="I609" s="1" t="s">
        <v>156</v>
      </c>
      <c r="J609" t="str">
        <f t="shared" si="121"/>
        <v>IN</v>
      </c>
      <c r="K609" s="14">
        <v>0</v>
      </c>
      <c r="L609" s="1">
        <f t="shared" si="122"/>
        <v>19</v>
      </c>
      <c r="M609" s="1" t="str">
        <f t="shared" si="123"/>
        <v>Student</v>
      </c>
      <c r="N609" s="9">
        <v>45592</v>
      </c>
      <c r="O609" s="1" t="s">
        <v>36</v>
      </c>
      <c r="P609" s="1" t="s">
        <v>37</v>
      </c>
      <c r="Q609" s="4">
        <v>100</v>
      </c>
      <c r="R609" s="13">
        <f t="shared" si="124"/>
        <v>100</v>
      </c>
      <c r="S609" s="6">
        <f t="shared" si="118"/>
        <v>1</v>
      </c>
      <c r="T609" s="1" t="s">
        <v>46</v>
      </c>
      <c r="U609" s="1">
        <f t="shared" si="125"/>
        <v>1</v>
      </c>
      <c r="V609" s="1">
        <f t="shared" si="126"/>
        <v>70.3</v>
      </c>
      <c r="W609" s="10" t="str">
        <f t="shared" si="127"/>
        <v>Medium</v>
      </c>
      <c r="X609" s="1" t="s">
        <v>32</v>
      </c>
      <c r="Y609" s="1" t="str">
        <f t="shared" si="128"/>
        <v>Yes</v>
      </c>
      <c r="Z609" s="14">
        <v>1</v>
      </c>
      <c r="AA609" s="18">
        <f t="shared" si="129"/>
        <v>1</v>
      </c>
      <c r="AB609" s="18" t="str">
        <f t="shared" si="130"/>
        <v>No</v>
      </c>
      <c r="AC609" s="9" t="s">
        <v>2426</v>
      </c>
      <c r="AD609">
        <f>IF(AC609="",0,LEN(AC609)-LEN(SUBSTITUTE(AC609,",",""))+1)</f>
        <v>4</v>
      </c>
    </row>
    <row r="610" spans="1:30" ht="12.5" x14ac:dyDescent="0.25">
      <c r="A610" s="1" t="s">
        <v>2427</v>
      </c>
      <c r="B610" s="1" t="s">
        <v>2428</v>
      </c>
      <c r="C610" s="1" t="str">
        <v>Drew White</v>
      </c>
      <c r="D610" s="1" t="s">
        <v>2429</v>
      </c>
      <c r="E610" s="1" t="str">
        <v>martinezmichael@gmail.com</v>
      </c>
      <c r="F610" t="str">
        <f t="shared" si="119"/>
        <v>Valid</v>
      </c>
      <c r="G610" s="1" t="s">
        <v>95</v>
      </c>
      <c r="H610" s="1" t="str">
        <f t="shared" si="120"/>
        <v>Male</v>
      </c>
      <c r="I610" s="1" t="s">
        <v>89</v>
      </c>
      <c r="J610" t="str">
        <f t="shared" si="121"/>
        <v>GERMANY</v>
      </c>
      <c r="K610" s="14">
        <v>40</v>
      </c>
      <c r="L610" s="1">
        <f t="shared" si="122"/>
        <v>40</v>
      </c>
      <c r="M610" s="1" t="str">
        <f t="shared" si="123"/>
        <v>Mid Career</v>
      </c>
      <c r="N610" s="2">
        <v>45514</v>
      </c>
      <c r="O610" s="1" t="s">
        <v>69</v>
      </c>
      <c r="P610" s="1" t="s">
        <v>31</v>
      </c>
      <c r="Q610" s="4">
        <v>0.57999999999999996</v>
      </c>
      <c r="R610" s="13">
        <f t="shared" si="124"/>
        <v>57.999999999999993</v>
      </c>
      <c r="S610" s="6">
        <f t="shared" si="118"/>
        <v>0.57999999999999996</v>
      </c>
      <c r="T610" s="1">
        <v>2</v>
      </c>
      <c r="U610" s="1">
        <f t="shared" si="125"/>
        <v>2</v>
      </c>
      <c r="V610" s="1">
        <f t="shared" si="126"/>
        <v>41.199999999999996</v>
      </c>
      <c r="W610" s="10" t="str">
        <f t="shared" si="127"/>
        <v>Medium</v>
      </c>
      <c r="X610" s="1" t="s">
        <v>22</v>
      </c>
      <c r="Y610" s="1" t="str">
        <f t="shared" si="128"/>
        <v>No</v>
      </c>
      <c r="Z610" s="14">
        <v>6</v>
      </c>
      <c r="AA610" s="18">
        <f t="shared" si="129"/>
        <v>6</v>
      </c>
      <c r="AB610" s="18" t="str">
        <f t="shared" si="130"/>
        <v>No</v>
      </c>
      <c r="AC610" s="9" t="s">
        <v>2430</v>
      </c>
      <c r="AD610">
        <f>IF(AC610="",0,LEN(AC610)-LEN(SUBSTITUTE(AC610,",",""))+1)</f>
        <v>7</v>
      </c>
    </row>
    <row r="611" spans="1:30" ht="12.5" x14ac:dyDescent="0.25">
      <c r="A611" s="1" t="s">
        <v>2431</v>
      </c>
      <c r="B611" s="1" t="s">
        <v>2432</v>
      </c>
      <c r="C611" s="1" t="str">
        <v>George Bennett</v>
      </c>
      <c r="D611" s="1" t="s">
        <v>127</v>
      </c>
      <c r="E611" s="1" t="str">
        <v>invalid-email</v>
      </c>
      <c r="F611" t="str">
        <f t="shared" si="119"/>
        <v>Invalid</v>
      </c>
      <c r="G611" s="1" t="s">
        <v>95</v>
      </c>
      <c r="H611" s="1" t="str">
        <f t="shared" si="120"/>
        <v>Male</v>
      </c>
      <c r="I611" s="1" t="s">
        <v>74</v>
      </c>
      <c r="J611" t="str">
        <f t="shared" si="121"/>
        <v>USA</v>
      </c>
      <c r="K611" s="14">
        <v>29</v>
      </c>
      <c r="L611" s="1">
        <f t="shared" si="122"/>
        <v>29</v>
      </c>
      <c r="M611" s="1" t="str">
        <f t="shared" si="123"/>
        <v>Early Career</v>
      </c>
      <c r="N611" s="9">
        <v>45306</v>
      </c>
      <c r="O611" s="1" t="s">
        <v>170</v>
      </c>
      <c r="P611" s="1" t="s">
        <v>147</v>
      </c>
      <c r="Q611" s="4">
        <v>0.51</v>
      </c>
      <c r="R611" s="13">
        <f t="shared" si="124"/>
        <v>51</v>
      </c>
      <c r="S611" s="6">
        <f t="shared" si="118"/>
        <v>0.51</v>
      </c>
      <c r="T611" s="1" t="s">
        <v>46</v>
      </c>
      <c r="U611" s="1">
        <f t="shared" si="125"/>
        <v>1</v>
      </c>
      <c r="V611" s="1">
        <f t="shared" si="126"/>
        <v>35.999999999999993</v>
      </c>
      <c r="W611" s="10" t="str">
        <f t="shared" si="127"/>
        <v>Low</v>
      </c>
      <c r="X611" s="1" t="s">
        <v>22</v>
      </c>
      <c r="Y611" s="1" t="str">
        <f t="shared" si="128"/>
        <v>No</v>
      </c>
      <c r="Z611" s="14">
        <v>2</v>
      </c>
      <c r="AA611" s="18">
        <f t="shared" si="129"/>
        <v>2</v>
      </c>
      <c r="AB611" s="18" t="str">
        <f t="shared" si="130"/>
        <v>No</v>
      </c>
      <c r="AC611" s="9" t="s">
        <v>2433</v>
      </c>
      <c r="AD611">
        <f>IF(AC611="",0,LEN(AC611)-LEN(SUBSTITUTE(AC611,",",""))+1)</f>
        <v>6</v>
      </c>
    </row>
    <row r="612" spans="1:30" ht="12.5" x14ac:dyDescent="0.25">
      <c r="A612" s="1" t="s">
        <v>2434</v>
      </c>
      <c r="B612" s="1" t="s">
        <v>2435</v>
      </c>
      <c r="C612" s="1" t="str">
        <v>Pamela Contreras</v>
      </c>
      <c r="D612" s="1" t="s">
        <v>127</v>
      </c>
      <c r="E612" s="1" t="str">
        <v>invalid-email</v>
      </c>
      <c r="F612" t="str">
        <f t="shared" si="119"/>
        <v>Invalid</v>
      </c>
      <c r="G612" s="1" t="s">
        <v>43</v>
      </c>
      <c r="H612" s="1" t="str">
        <f t="shared" si="120"/>
        <v>Female</v>
      </c>
      <c r="I612" s="1" t="s">
        <v>44</v>
      </c>
      <c r="J612" t="str">
        <f t="shared" si="121"/>
        <v>CANADA</v>
      </c>
      <c r="K612" s="14">
        <v>23</v>
      </c>
      <c r="L612" s="1">
        <f t="shared" si="122"/>
        <v>23</v>
      </c>
      <c r="M612" s="1" t="str">
        <f t="shared" si="123"/>
        <v>Early Career</v>
      </c>
      <c r="N612" s="2">
        <v>45333</v>
      </c>
      <c r="O612" s="1" t="s">
        <v>52</v>
      </c>
      <c r="P612" s="1" t="s">
        <v>37</v>
      </c>
      <c r="Q612" s="4">
        <v>0.97</v>
      </c>
      <c r="R612" s="13">
        <f t="shared" si="124"/>
        <v>97</v>
      </c>
      <c r="S612" s="6">
        <f t="shared" si="118"/>
        <v>0.97</v>
      </c>
      <c r="T612" s="1" t="s">
        <v>46</v>
      </c>
      <c r="U612" s="1">
        <f t="shared" si="125"/>
        <v>1</v>
      </c>
      <c r="V612" s="1">
        <f t="shared" si="126"/>
        <v>68.199999999999989</v>
      </c>
      <c r="W612" s="10" t="str">
        <f t="shared" si="127"/>
        <v>Medium</v>
      </c>
      <c r="X612" s="1">
        <v>0</v>
      </c>
      <c r="Y612" s="1" t="str">
        <f t="shared" si="128"/>
        <v>No</v>
      </c>
      <c r="Z612" s="14">
        <v>3</v>
      </c>
      <c r="AA612" s="18">
        <f t="shared" si="129"/>
        <v>3</v>
      </c>
      <c r="AB612" s="18" t="str">
        <f t="shared" si="130"/>
        <v>No</v>
      </c>
      <c r="AC612" s="9" t="s">
        <v>2436</v>
      </c>
      <c r="AD612">
        <f>IF(AC612="",0,LEN(AC612)-LEN(SUBSTITUTE(AC612,",",""))+1)</f>
        <v>4</v>
      </c>
    </row>
    <row r="613" spans="1:30" ht="12.5" x14ac:dyDescent="0.25">
      <c r="A613" s="1" t="s">
        <v>2437</v>
      </c>
      <c r="B613" s="1" t="s">
        <v>2438</v>
      </c>
      <c r="C613" s="1" t="str">
        <v>Mary Ortiz</v>
      </c>
      <c r="D613" s="1" t="s">
        <v>2439</v>
      </c>
      <c r="E613" s="1" t="str">
        <v>cmorgan@wu.com</v>
      </c>
      <c r="F613" t="str">
        <f t="shared" si="119"/>
        <v>Valid</v>
      </c>
      <c r="G613" s="1" t="s">
        <v>109</v>
      </c>
      <c r="H613" s="1" t="str">
        <f t="shared" si="120"/>
        <v>Male</v>
      </c>
      <c r="I613" s="1" t="s">
        <v>18</v>
      </c>
      <c r="J613" t="str">
        <f t="shared" si="121"/>
        <v>US</v>
      </c>
      <c r="K613" s="14">
        <v>38</v>
      </c>
      <c r="L613" s="1">
        <f t="shared" si="122"/>
        <v>38</v>
      </c>
      <c r="M613" s="1" t="str">
        <f t="shared" si="123"/>
        <v>Mid Career</v>
      </c>
      <c r="N613" s="9">
        <v>44889</v>
      </c>
      <c r="O613" s="1" t="s">
        <v>170</v>
      </c>
      <c r="P613" s="1" t="s">
        <v>147</v>
      </c>
      <c r="Q613" s="4">
        <v>0.22</v>
      </c>
      <c r="R613" s="13">
        <f t="shared" si="124"/>
        <v>22</v>
      </c>
      <c r="S613" s="6">
        <f t="shared" si="118"/>
        <v>0.22</v>
      </c>
      <c r="T613" s="1" t="s">
        <v>21</v>
      </c>
      <c r="U613" s="1">
        <f t="shared" si="125"/>
        <v>1.5</v>
      </c>
      <c r="V613" s="1">
        <f t="shared" si="126"/>
        <v>15.849999999999998</v>
      </c>
      <c r="W613" s="10" t="str">
        <f t="shared" si="127"/>
        <v>Low</v>
      </c>
      <c r="X613" s="1" t="s">
        <v>22</v>
      </c>
      <c r="Y613" s="1" t="str">
        <f t="shared" si="128"/>
        <v>No</v>
      </c>
      <c r="Z613" s="14">
        <v>6</v>
      </c>
      <c r="AA613" s="18">
        <f t="shared" si="129"/>
        <v>6</v>
      </c>
      <c r="AB613" s="18" t="str">
        <f t="shared" si="130"/>
        <v>No</v>
      </c>
      <c r="AC613" s="9" t="s">
        <v>2440</v>
      </c>
      <c r="AD613">
        <f>IF(AC613="",0,LEN(AC613)-LEN(SUBSTITUTE(AC613,",",""))+1)</f>
        <v>4</v>
      </c>
    </row>
    <row r="614" spans="1:30" ht="12.5" x14ac:dyDescent="0.25">
      <c r="A614" s="1" t="s">
        <v>2441</v>
      </c>
      <c r="B614" s="1" t="s">
        <v>2442</v>
      </c>
      <c r="C614" s="1" t="str">
        <v>Kristina Martinez</v>
      </c>
      <c r="D614" s="1" t="s">
        <v>2443</v>
      </c>
      <c r="E614" s="1" t="str">
        <v>stephanieweaver@bernard.com</v>
      </c>
      <c r="F614" t="str">
        <f t="shared" si="119"/>
        <v>Valid</v>
      </c>
      <c r="G614" s="1" t="s">
        <v>88</v>
      </c>
      <c r="H614" s="1" t="str">
        <f t="shared" si="120"/>
        <v>Male</v>
      </c>
      <c r="I614" s="1" t="s">
        <v>74</v>
      </c>
      <c r="J614" t="str">
        <f t="shared" si="121"/>
        <v>USA</v>
      </c>
      <c r="K614" s="14">
        <v>21</v>
      </c>
      <c r="L614" s="1">
        <f t="shared" si="122"/>
        <v>21</v>
      </c>
      <c r="M614" s="1" t="str">
        <f t="shared" si="123"/>
        <v>Student</v>
      </c>
      <c r="N614" s="9">
        <v>44696</v>
      </c>
      <c r="O614" s="1" t="s">
        <v>52</v>
      </c>
      <c r="P614" s="1" t="s">
        <v>37</v>
      </c>
      <c r="Q614" s="4">
        <v>84</v>
      </c>
      <c r="R614" s="13">
        <f t="shared" si="124"/>
        <v>84</v>
      </c>
      <c r="S614" s="6">
        <f t="shared" si="118"/>
        <v>0.84</v>
      </c>
      <c r="T614" s="1">
        <v>2</v>
      </c>
      <c r="U614" s="1">
        <f t="shared" si="125"/>
        <v>2</v>
      </c>
      <c r="V614" s="1">
        <f t="shared" si="126"/>
        <v>59.4</v>
      </c>
      <c r="W614" s="10" t="str">
        <f t="shared" si="127"/>
        <v>Medium</v>
      </c>
      <c r="X614" s="1" t="s">
        <v>22</v>
      </c>
      <c r="Y614" s="1" t="str">
        <f t="shared" si="128"/>
        <v>No</v>
      </c>
      <c r="Z614" s="14">
        <v>2</v>
      </c>
      <c r="AA614" s="18">
        <f t="shared" si="129"/>
        <v>2</v>
      </c>
      <c r="AB614" s="18" t="str">
        <f t="shared" si="130"/>
        <v>No</v>
      </c>
      <c r="AC614" s="9" t="s">
        <v>2444</v>
      </c>
      <c r="AD614">
        <f>IF(AC614="",0,LEN(AC614)-LEN(SUBSTITUTE(AC614,",",""))+1)</f>
        <v>4</v>
      </c>
    </row>
    <row r="615" spans="1:30" ht="12.5" x14ac:dyDescent="0.25">
      <c r="A615" s="1" t="s">
        <v>2445</v>
      </c>
      <c r="B615" s="1" t="s">
        <v>2446</v>
      </c>
      <c r="C615" s="1" t="str">
        <v>Kim Rivers</v>
      </c>
      <c r="D615" s="1" t="s">
        <v>2447</v>
      </c>
      <c r="E615" s="1" t="str">
        <v>johnthornton@hotmail.com</v>
      </c>
      <c r="F615" t="str">
        <f t="shared" si="119"/>
        <v>Valid</v>
      </c>
      <c r="G615" s="1" t="s">
        <v>95</v>
      </c>
      <c r="H615" s="1" t="str">
        <f t="shared" si="120"/>
        <v>Male</v>
      </c>
      <c r="I615" s="1" t="s">
        <v>89</v>
      </c>
      <c r="J615" t="str">
        <f t="shared" si="121"/>
        <v>GERMANY</v>
      </c>
      <c r="K615" s="14">
        <v>0</v>
      </c>
      <c r="L615" s="1">
        <f t="shared" si="122"/>
        <v>19</v>
      </c>
      <c r="M615" s="1" t="str">
        <f t="shared" si="123"/>
        <v>Student</v>
      </c>
      <c r="N615" s="9">
        <v>45397</v>
      </c>
      <c r="O615" s="1" t="s">
        <v>235</v>
      </c>
      <c r="P615" s="1" t="s">
        <v>147</v>
      </c>
      <c r="Q615" s="4">
        <v>0.76</v>
      </c>
      <c r="R615" s="13">
        <f t="shared" si="124"/>
        <v>76</v>
      </c>
      <c r="S615" s="6">
        <f t="shared" si="118"/>
        <v>0.76</v>
      </c>
      <c r="T615" s="1" t="s">
        <v>46</v>
      </c>
      <c r="U615" s="1">
        <f t="shared" si="125"/>
        <v>1</v>
      </c>
      <c r="V615" s="1">
        <f t="shared" si="126"/>
        <v>53.499999999999993</v>
      </c>
      <c r="W615" s="10" t="str">
        <f t="shared" si="127"/>
        <v>Medium</v>
      </c>
      <c r="X615" s="1" t="s">
        <v>22</v>
      </c>
      <c r="Y615" s="1" t="str">
        <f t="shared" si="128"/>
        <v>No</v>
      </c>
      <c r="Z615" s="14">
        <v>4</v>
      </c>
      <c r="AA615" s="18">
        <f t="shared" si="129"/>
        <v>4</v>
      </c>
      <c r="AB615" s="18" t="str">
        <f t="shared" si="130"/>
        <v>No</v>
      </c>
      <c r="AC615" s="9" t="s">
        <v>2071</v>
      </c>
      <c r="AD615">
        <f>IF(AC615="",0,LEN(AC615)-LEN(SUBSTITUTE(AC615,",",""))+1)</f>
        <v>7</v>
      </c>
    </row>
    <row r="616" spans="1:30" ht="12.5" x14ac:dyDescent="0.25">
      <c r="A616" s="1" t="s">
        <v>2448</v>
      </c>
      <c r="B616" s="1" t="s">
        <v>2449</v>
      </c>
      <c r="C616" s="1" t="str">
        <v>Kevin Henry</v>
      </c>
      <c r="D616" s="1" t="s">
        <v>2450</v>
      </c>
      <c r="E616" s="1" t="str">
        <v>samuel60@stewart.com</v>
      </c>
      <c r="F616" t="str">
        <f t="shared" si="119"/>
        <v>Valid</v>
      </c>
      <c r="G616" s="1" t="s">
        <v>119</v>
      </c>
      <c r="H616" s="1" t="str">
        <f t="shared" si="120"/>
        <v>Female</v>
      </c>
      <c r="I616" s="1" t="s">
        <v>89</v>
      </c>
      <c r="J616" t="str">
        <f t="shared" si="121"/>
        <v>GERMANY</v>
      </c>
      <c r="K616" s="14">
        <v>41</v>
      </c>
      <c r="L616" s="1">
        <f t="shared" si="122"/>
        <v>41</v>
      </c>
      <c r="M616" s="1" t="str">
        <f t="shared" si="123"/>
        <v>Senior</v>
      </c>
      <c r="N616" s="9">
        <v>45348</v>
      </c>
      <c r="O616" s="1" t="s">
        <v>36</v>
      </c>
      <c r="P616" s="1" t="s">
        <v>37</v>
      </c>
      <c r="Q616" s="4">
        <v>16</v>
      </c>
      <c r="R616" s="13">
        <f t="shared" si="124"/>
        <v>16</v>
      </c>
      <c r="S616" s="6">
        <f t="shared" si="118"/>
        <v>0.16</v>
      </c>
      <c r="T616" s="1" t="s">
        <v>46</v>
      </c>
      <c r="U616" s="1">
        <f t="shared" si="125"/>
        <v>1</v>
      </c>
      <c r="V616" s="1">
        <f t="shared" si="126"/>
        <v>11.5</v>
      </c>
      <c r="W616" s="10" t="str">
        <f t="shared" si="127"/>
        <v>Low</v>
      </c>
      <c r="X616" s="1">
        <v>0</v>
      </c>
      <c r="Y616" s="1" t="str">
        <f t="shared" si="128"/>
        <v>No</v>
      </c>
      <c r="Z616" s="14">
        <v>6</v>
      </c>
      <c r="AA616" s="18">
        <f t="shared" si="129"/>
        <v>6</v>
      </c>
      <c r="AB616" s="18" t="str">
        <f t="shared" si="130"/>
        <v>No</v>
      </c>
      <c r="AC616" s="9" t="s">
        <v>1247</v>
      </c>
      <c r="AD616">
        <f>IF(AC616="",0,LEN(AC616)-LEN(SUBSTITUTE(AC616,",",""))+1)</f>
        <v>1</v>
      </c>
    </row>
    <row r="617" spans="1:30" ht="12.5" x14ac:dyDescent="0.25">
      <c r="A617" s="1" t="s">
        <v>2451</v>
      </c>
      <c r="B617" s="1" t="s">
        <v>2452</v>
      </c>
      <c r="C617" s="1" t="str">
        <v>Brandon Parker</v>
      </c>
      <c r="D617" s="1" t="s">
        <v>2453</v>
      </c>
      <c r="E617" s="1" t="str">
        <v>brianwoodward@gmail.com</v>
      </c>
      <c r="F617" t="str">
        <f t="shared" si="119"/>
        <v>Valid</v>
      </c>
      <c r="G617" s="1" t="s">
        <v>119</v>
      </c>
      <c r="H617" s="1" t="str">
        <f t="shared" si="120"/>
        <v>Female</v>
      </c>
      <c r="I617" s="1" t="s">
        <v>51</v>
      </c>
      <c r="J617" t="str">
        <f t="shared" si="121"/>
        <v>UK</v>
      </c>
      <c r="K617" s="14">
        <v>0</v>
      </c>
      <c r="L617" s="1">
        <f t="shared" si="122"/>
        <v>19</v>
      </c>
      <c r="M617" s="1" t="str">
        <f t="shared" si="123"/>
        <v>Student</v>
      </c>
      <c r="N617" s="9">
        <v>45499</v>
      </c>
      <c r="O617" s="1" t="s">
        <v>90</v>
      </c>
      <c r="P617" s="1" t="s">
        <v>31</v>
      </c>
      <c r="Q617" s="4">
        <v>0.82</v>
      </c>
      <c r="R617" s="13">
        <f t="shared" si="124"/>
        <v>82</v>
      </c>
      <c r="S617" s="6">
        <f t="shared" si="118"/>
        <v>0.82</v>
      </c>
      <c r="T617" s="1">
        <v>45</v>
      </c>
      <c r="U617" s="1">
        <f t="shared" si="125"/>
        <v>45</v>
      </c>
      <c r="V617" s="1">
        <f t="shared" si="126"/>
        <v>70.900000000000006</v>
      </c>
      <c r="W617" s="10" t="str">
        <f t="shared" si="127"/>
        <v>Medium</v>
      </c>
      <c r="X617" s="1">
        <v>0</v>
      </c>
      <c r="Y617" s="1" t="str">
        <f t="shared" si="128"/>
        <v>No</v>
      </c>
      <c r="Z617" s="14">
        <v>6</v>
      </c>
      <c r="AA617" s="18">
        <f t="shared" si="129"/>
        <v>6</v>
      </c>
      <c r="AB617" s="18" t="str">
        <f t="shared" si="130"/>
        <v>No</v>
      </c>
      <c r="AC617" s="9" t="s">
        <v>2454</v>
      </c>
      <c r="AD617">
        <f>IF(AC617="",0,LEN(AC617)-LEN(SUBSTITUTE(AC617,",",""))+1)</f>
        <v>3</v>
      </c>
    </row>
    <row r="618" spans="1:30" ht="12.5" x14ac:dyDescent="0.25">
      <c r="A618" s="1" t="s">
        <v>2455</v>
      </c>
      <c r="B618" s="1" t="s">
        <v>2456</v>
      </c>
      <c r="C618" s="1" t="str">
        <v>Charles Orozco</v>
      </c>
      <c r="D618" s="1" t="s">
        <v>2457</v>
      </c>
      <c r="E618" s="1" t="str">
        <v>hdavid@gmail.com</v>
      </c>
      <c r="F618" t="str">
        <f t="shared" si="119"/>
        <v>Valid</v>
      </c>
      <c r="G618" s="1" t="s">
        <v>95</v>
      </c>
      <c r="H618" s="1" t="str">
        <f t="shared" si="120"/>
        <v>Male</v>
      </c>
      <c r="I618" s="1" t="s">
        <v>89</v>
      </c>
      <c r="J618" t="str">
        <f t="shared" si="121"/>
        <v>GERMANY</v>
      </c>
      <c r="K618" s="14">
        <v>25</v>
      </c>
      <c r="L618" s="1">
        <f t="shared" si="122"/>
        <v>25</v>
      </c>
      <c r="M618" s="1" t="str">
        <f t="shared" si="123"/>
        <v>Early Career</v>
      </c>
      <c r="N618" s="9">
        <v>44700</v>
      </c>
      <c r="O618" s="1" t="s">
        <v>114</v>
      </c>
      <c r="P618" s="1" t="s">
        <v>59</v>
      </c>
      <c r="Q618" s="4">
        <v>0.51</v>
      </c>
      <c r="R618" s="13">
        <f t="shared" si="124"/>
        <v>51</v>
      </c>
      <c r="S618" s="6">
        <f t="shared" si="118"/>
        <v>0.51</v>
      </c>
      <c r="T618" s="1" t="s">
        <v>64</v>
      </c>
      <c r="U618" s="1">
        <f t="shared" si="125"/>
        <v>2</v>
      </c>
      <c r="V618" s="1">
        <f t="shared" si="126"/>
        <v>36.299999999999997</v>
      </c>
      <c r="W618" s="10" t="str">
        <f t="shared" si="127"/>
        <v>Low</v>
      </c>
      <c r="X618" s="1" t="s">
        <v>22</v>
      </c>
      <c r="Y618" s="1" t="str">
        <f t="shared" si="128"/>
        <v>No</v>
      </c>
      <c r="AA618" s="18" t="str">
        <f t="shared" si="129"/>
        <v>Invalid</v>
      </c>
      <c r="AB618" s="18" t="str">
        <f t="shared" si="130"/>
        <v>No</v>
      </c>
      <c r="AC618" s="9" t="s">
        <v>2458</v>
      </c>
      <c r="AD618">
        <f>IF(AC618="",0,LEN(AC618)-LEN(SUBSTITUTE(AC618,",",""))+1)</f>
        <v>8</v>
      </c>
    </row>
    <row r="619" spans="1:30" ht="12.5" x14ac:dyDescent="0.25">
      <c r="A619" s="1" t="s">
        <v>2459</v>
      </c>
      <c r="B619" s="1" t="s">
        <v>2460</v>
      </c>
      <c r="C619" s="1" t="str">
        <v>Jordan Gordon</v>
      </c>
      <c r="D619" s="1" t="s">
        <v>2461</v>
      </c>
      <c r="E619" s="1" t="str">
        <v>bruce78@jones-johnson.com</v>
      </c>
      <c r="F619" t="str">
        <f t="shared" si="119"/>
        <v>Valid</v>
      </c>
      <c r="G619" s="1" t="s">
        <v>17</v>
      </c>
      <c r="H619" s="1" t="str">
        <f t="shared" si="120"/>
        <v>Female</v>
      </c>
      <c r="I619" s="1" t="s">
        <v>51</v>
      </c>
      <c r="J619" t="str">
        <f t="shared" si="121"/>
        <v>UK</v>
      </c>
      <c r="K619" s="14">
        <v>42</v>
      </c>
      <c r="L619" s="1">
        <f t="shared" si="122"/>
        <v>42</v>
      </c>
      <c r="M619" s="1" t="str">
        <f t="shared" si="123"/>
        <v>Senior</v>
      </c>
      <c r="N619" s="9">
        <v>44972</v>
      </c>
      <c r="O619" s="1" t="s">
        <v>158</v>
      </c>
      <c r="P619" s="1" t="s">
        <v>59</v>
      </c>
      <c r="Q619" s="4">
        <v>73</v>
      </c>
      <c r="R619" s="13">
        <f t="shared" si="124"/>
        <v>73</v>
      </c>
      <c r="S619" s="6">
        <f t="shared" si="118"/>
        <v>0.73</v>
      </c>
      <c r="T619" s="1" t="s">
        <v>64</v>
      </c>
      <c r="U619" s="1">
        <f t="shared" si="125"/>
        <v>2</v>
      </c>
      <c r="V619" s="1">
        <f t="shared" si="126"/>
        <v>51.699999999999996</v>
      </c>
      <c r="W619" s="10" t="str">
        <f t="shared" si="127"/>
        <v>Medium</v>
      </c>
      <c r="X619" s="1">
        <v>1</v>
      </c>
      <c r="Y619" s="1" t="str">
        <f t="shared" si="128"/>
        <v>Yes</v>
      </c>
      <c r="Z619" s="14">
        <v>2</v>
      </c>
      <c r="AA619" s="18">
        <f t="shared" si="129"/>
        <v>2</v>
      </c>
      <c r="AB619" s="18" t="str">
        <f t="shared" si="130"/>
        <v>No</v>
      </c>
      <c r="AC619" s="9" t="s">
        <v>2462</v>
      </c>
      <c r="AD619">
        <f>IF(AC619="",0,LEN(AC619)-LEN(SUBSTITUTE(AC619,",",""))+1)</f>
        <v>5</v>
      </c>
    </row>
    <row r="620" spans="1:30" ht="12.5" x14ac:dyDescent="0.25">
      <c r="A620" s="1" t="s">
        <v>2463</v>
      </c>
      <c r="B620" s="1" t="s">
        <v>2464</v>
      </c>
      <c r="C620" s="1" t="str">
        <v>Danielle Peters</v>
      </c>
      <c r="D620" s="1" t="s">
        <v>2465</v>
      </c>
      <c r="E620" s="1" t="str">
        <v>ashley71@mason.net</v>
      </c>
      <c r="F620" t="str">
        <f t="shared" si="119"/>
        <v>Valid</v>
      </c>
      <c r="G620" s="1" t="s">
        <v>57</v>
      </c>
      <c r="H620" s="1" t="str">
        <f t="shared" si="120"/>
        <v>Female</v>
      </c>
      <c r="I620" s="1" t="s">
        <v>136</v>
      </c>
      <c r="J620" t="str">
        <f t="shared" si="121"/>
        <v>UK</v>
      </c>
      <c r="L620" s="1">
        <f t="shared" si="122"/>
        <v>19</v>
      </c>
      <c r="M620" s="1" t="str">
        <f t="shared" si="123"/>
        <v>Student</v>
      </c>
      <c r="N620" s="2">
        <v>44686</v>
      </c>
      <c r="O620" s="1" t="s">
        <v>36</v>
      </c>
      <c r="P620" s="1" t="s">
        <v>37</v>
      </c>
      <c r="Q620" s="4">
        <v>0.43</v>
      </c>
      <c r="R620" s="13">
        <f t="shared" si="124"/>
        <v>43</v>
      </c>
      <c r="S620" s="6">
        <f t="shared" si="118"/>
        <v>0.43</v>
      </c>
      <c r="T620" s="1" t="s">
        <v>64</v>
      </c>
      <c r="U620" s="1">
        <f t="shared" si="125"/>
        <v>2</v>
      </c>
      <c r="V620" s="1">
        <f t="shared" si="126"/>
        <v>30.7</v>
      </c>
      <c r="W620" s="10" t="str">
        <f t="shared" si="127"/>
        <v>Low</v>
      </c>
      <c r="X620" s="1" t="s">
        <v>22</v>
      </c>
      <c r="Y620" s="1" t="str">
        <f t="shared" si="128"/>
        <v>No</v>
      </c>
      <c r="Z620" s="14">
        <v>4</v>
      </c>
      <c r="AA620" s="18">
        <f t="shared" si="129"/>
        <v>4</v>
      </c>
      <c r="AB620" s="18" t="str">
        <f t="shared" si="130"/>
        <v>No</v>
      </c>
      <c r="AC620" s="9">
        <v>44686</v>
      </c>
      <c r="AD620">
        <f>IF(AC620="",0,LEN(AC620)-LEN(SUBSTITUTE(AC620,",",""))+1)</f>
        <v>1</v>
      </c>
    </row>
    <row r="621" spans="1:30" ht="12.5" x14ac:dyDescent="0.25">
      <c r="A621" s="1" t="s">
        <v>2466</v>
      </c>
      <c r="B621" s="1" t="s">
        <v>2467</v>
      </c>
      <c r="C621" s="1" t="str">
        <v>Thomas Hayes</v>
      </c>
      <c r="D621" s="1" t="s">
        <v>2468</v>
      </c>
      <c r="E621" s="1" t="str">
        <v>nwoodward@delgado-jackson.com</v>
      </c>
      <c r="F621" t="str">
        <f t="shared" si="119"/>
        <v>Valid</v>
      </c>
      <c r="G621" s="1" t="s">
        <v>17</v>
      </c>
      <c r="H621" s="1" t="str">
        <f t="shared" si="120"/>
        <v>Female</v>
      </c>
      <c r="I621" s="1" t="s">
        <v>44</v>
      </c>
      <c r="J621" t="str">
        <f t="shared" si="121"/>
        <v>CANADA</v>
      </c>
      <c r="K621" s="14">
        <v>25</v>
      </c>
      <c r="L621" s="1">
        <f t="shared" si="122"/>
        <v>25</v>
      </c>
      <c r="M621" s="1" t="str">
        <f t="shared" si="123"/>
        <v>Early Career</v>
      </c>
      <c r="N621" s="9">
        <v>44919</v>
      </c>
      <c r="O621" s="1" t="s">
        <v>158</v>
      </c>
      <c r="P621" s="1" t="s">
        <v>59</v>
      </c>
      <c r="Q621" s="4">
        <v>0.1</v>
      </c>
      <c r="R621" s="13">
        <f t="shared" si="124"/>
        <v>10</v>
      </c>
      <c r="S621" s="6">
        <f t="shared" si="118"/>
        <v>0.1</v>
      </c>
      <c r="T621" s="1" t="s">
        <v>46</v>
      </c>
      <c r="U621" s="1">
        <f t="shared" si="125"/>
        <v>1</v>
      </c>
      <c r="V621" s="1">
        <f t="shared" si="126"/>
        <v>7.3</v>
      </c>
      <c r="W621" s="10" t="str">
        <f t="shared" si="127"/>
        <v>Low</v>
      </c>
      <c r="X621" s="1" t="s">
        <v>32</v>
      </c>
      <c r="Y621" s="1" t="str">
        <f t="shared" si="128"/>
        <v>Yes</v>
      </c>
      <c r="Z621" s="14">
        <v>3</v>
      </c>
      <c r="AA621" s="18">
        <f t="shared" si="129"/>
        <v>3</v>
      </c>
      <c r="AB621" s="18" t="str">
        <f t="shared" si="130"/>
        <v>No</v>
      </c>
      <c r="AC621" s="9" t="s">
        <v>2469</v>
      </c>
      <c r="AD621">
        <f>IF(AC621="",0,LEN(AC621)-LEN(SUBSTITUTE(AC621,",",""))+1)</f>
        <v>5</v>
      </c>
    </row>
    <row r="622" spans="1:30" ht="12.5" x14ac:dyDescent="0.25">
      <c r="A622" s="1" t="s">
        <v>2470</v>
      </c>
      <c r="B622" s="1" t="s">
        <v>2471</v>
      </c>
      <c r="C622" s="1" t="str">
        <v>Yvonne Kirby</v>
      </c>
      <c r="D622" s="1" t="s">
        <v>2472</v>
      </c>
      <c r="E622" s="1" t="str">
        <v>brandon89@turner.com</v>
      </c>
      <c r="F622" t="str">
        <f t="shared" si="119"/>
        <v>Valid</v>
      </c>
      <c r="G622" s="1" t="s">
        <v>27</v>
      </c>
      <c r="H622" s="1" t="str">
        <f t="shared" si="120"/>
        <v>Male</v>
      </c>
      <c r="I622" s="1" t="s">
        <v>89</v>
      </c>
      <c r="J622" t="str">
        <f t="shared" si="121"/>
        <v>GERMANY</v>
      </c>
      <c r="K622" s="14">
        <v>0</v>
      </c>
      <c r="L622" s="1">
        <f t="shared" si="122"/>
        <v>19</v>
      </c>
      <c r="M622" s="1" t="str">
        <f t="shared" si="123"/>
        <v>Student</v>
      </c>
      <c r="N622" s="9">
        <v>45407</v>
      </c>
      <c r="O622" s="1" t="s">
        <v>45</v>
      </c>
      <c r="P622" s="1" t="s">
        <v>20</v>
      </c>
      <c r="Q622" s="4">
        <v>0.42</v>
      </c>
      <c r="R622" s="13">
        <f t="shared" si="124"/>
        <v>42</v>
      </c>
      <c r="S622" s="6">
        <f t="shared" si="118"/>
        <v>0.42</v>
      </c>
      <c r="T622" s="1">
        <v>2</v>
      </c>
      <c r="U622" s="1">
        <f t="shared" si="125"/>
        <v>2</v>
      </c>
      <c r="V622" s="1">
        <f t="shared" si="126"/>
        <v>30</v>
      </c>
      <c r="W622" s="10" t="str">
        <f t="shared" si="127"/>
        <v>Low</v>
      </c>
      <c r="X622" s="1">
        <v>0</v>
      </c>
      <c r="Y622" s="1" t="str">
        <f t="shared" si="128"/>
        <v>No</v>
      </c>
      <c r="Z622" s="14">
        <v>3</v>
      </c>
      <c r="AA622" s="18">
        <f t="shared" si="129"/>
        <v>3</v>
      </c>
      <c r="AB622" s="18" t="str">
        <f t="shared" si="130"/>
        <v>No</v>
      </c>
      <c r="AC622" s="9" t="s">
        <v>2473</v>
      </c>
      <c r="AD622">
        <f>IF(AC622="",0,LEN(AC622)-LEN(SUBSTITUTE(AC622,",",""))+1)</f>
        <v>4</v>
      </c>
    </row>
    <row r="623" spans="1:30" ht="12.5" x14ac:dyDescent="0.25">
      <c r="A623" s="1" t="s">
        <v>2474</v>
      </c>
      <c r="B623" s="1" t="s">
        <v>2475</v>
      </c>
      <c r="C623" s="1" t="str">
        <v>Christine Wagner</v>
      </c>
      <c r="D623" s="1" t="s">
        <v>2476</v>
      </c>
      <c r="E623" s="1" t="str">
        <v>cynthia74@gmail.com</v>
      </c>
      <c r="F623" t="str">
        <f t="shared" si="119"/>
        <v>Valid</v>
      </c>
      <c r="G623" s="1" t="s">
        <v>95</v>
      </c>
      <c r="H623" s="1" t="str">
        <f t="shared" si="120"/>
        <v>Male</v>
      </c>
      <c r="I623" s="1" t="s">
        <v>136</v>
      </c>
      <c r="J623" t="str">
        <f t="shared" si="121"/>
        <v>UK</v>
      </c>
      <c r="K623" s="14">
        <v>0</v>
      </c>
      <c r="L623" s="1">
        <f t="shared" si="122"/>
        <v>19</v>
      </c>
      <c r="M623" s="1" t="str">
        <f t="shared" si="123"/>
        <v>Student</v>
      </c>
      <c r="N623" s="2">
        <v>44815</v>
      </c>
      <c r="O623" s="1" t="s">
        <v>69</v>
      </c>
      <c r="P623" s="1" t="s">
        <v>31</v>
      </c>
      <c r="Q623" s="4">
        <v>0.44</v>
      </c>
      <c r="R623" s="13">
        <f t="shared" si="124"/>
        <v>44</v>
      </c>
      <c r="S623" s="6">
        <f t="shared" si="118"/>
        <v>0.44</v>
      </c>
      <c r="T623" s="1">
        <v>2</v>
      </c>
      <c r="U623" s="1">
        <f t="shared" si="125"/>
        <v>2</v>
      </c>
      <c r="V623" s="1">
        <f t="shared" si="126"/>
        <v>31.4</v>
      </c>
      <c r="W623" s="10" t="str">
        <f t="shared" si="127"/>
        <v>Low</v>
      </c>
      <c r="X623" s="1" t="s">
        <v>22</v>
      </c>
      <c r="Y623" s="1" t="str">
        <f t="shared" si="128"/>
        <v>No</v>
      </c>
      <c r="Z623" s="14">
        <v>6</v>
      </c>
      <c r="AA623" s="18">
        <f t="shared" si="129"/>
        <v>6</v>
      </c>
      <c r="AB623" s="18" t="str">
        <f t="shared" si="130"/>
        <v>No</v>
      </c>
      <c r="AC623" s="9">
        <v>44815</v>
      </c>
      <c r="AD623">
        <f>IF(AC623="",0,LEN(AC623)-LEN(SUBSTITUTE(AC623,",",""))+1)</f>
        <v>1</v>
      </c>
    </row>
    <row r="624" spans="1:30" ht="12.5" x14ac:dyDescent="0.25">
      <c r="A624" s="1" t="s">
        <v>2477</v>
      </c>
      <c r="B624" s="1" t="s">
        <v>2478</v>
      </c>
      <c r="C624" s="1" t="str">
        <v>Kyle Smith</v>
      </c>
      <c r="D624" s="1" t="s">
        <v>2479</v>
      </c>
      <c r="E624" s="1" t="str">
        <v>lynchadam@chambers.net</v>
      </c>
      <c r="F624" t="str">
        <f t="shared" si="119"/>
        <v>Valid</v>
      </c>
      <c r="G624" s="1" t="s">
        <v>119</v>
      </c>
      <c r="H624" s="1" t="str">
        <f t="shared" si="120"/>
        <v>Female</v>
      </c>
      <c r="I624" s="1" t="s">
        <v>136</v>
      </c>
      <c r="J624" t="str">
        <f t="shared" si="121"/>
        <v>UK</v>
      </c>
      <c r="K624" s="14">
        <v>28</v>
      </c>
      <c r="L624" s="1">
        <f t="shared" si="122"/>
        <v>28</v>
      </c>
      <c r="M624" s="1" t="str">
        <f t="shared" si="123"/>
        <v>Early Career</v>
      </c>
      <c r="N624" s="9">
        <v>45686</v>
      </c>
      <c r="O624" s="1" t="s">
        <v>158</v>
      </c>
      <c r="P624" s="1" t="s">
        <v>59</v>
      </c>
      <c r="Q624" s="4">
        <v>60</v>
      </c>
      <c r="R624" s="13">
        <f t="shared" si="124"/>
        <v>60</v>
      </c>
      <c r="S624" s="6">
        <f t="shared" si="118"/>
        <v>0.6</v>
      </c>
      <c r="T624" s="1" t="s">
        <v>46</v>
      </c>
      <c r="U624" s="1">
        <f t="shared" si="125"/>
        <v>1</v>
      </c>
      <c r="V624" s="1">
        <f t="shared" si="126"/>
        <v>42.3</v>
      </c>
      <c r="W624" s="10" t="str">
        <f t="shared" si="127"/>
        <v>Medium</v>
      </c>
      <c r="X624" s="1" t="s">
        <v>22</v>
      </c>
      <c r="Y624" s="1" t="str">
        <f t="shared" si="128"/>
        <v>No</v>
      </c>
      <c r="Z624" s="14">
        <v>2</v>
      </c>
      <c r="AA624" s="18">
        <f t="shared" si="129"/>
        <v>2</v>
      </c>
      <c r="AB624" s="18" t="str">
        <f t="shared" si="130"/>
        <v>No</v>
      </c>
      <c r="AC624" s="9" t="s">
        <v>2480</v>
      </c>
      <c r="AD624">
        <f>IF(AC624="",0,LEN(AC624)-LEN(SUBSTITUTE(AC624,",",""))+1)</f>
        <v>4</v>
      </c>
    </row>
    <row r="625" spans="1:30" ht="12.5" x14ac:dyDescent="0.25">
      <c r="A625" s="1" t="s">
        <v>2481</v>
      </c>
      <c r="B625" s="1" t="s">
        <v>2482</v>
      </c>
      <c r="C625" s="1" t="str">
        <v>Rachel Banks</v>
      </c>
      <c r="D625" s="1" t="s">
        <v>2483</v>
      </c>
      <c r="E625" s="1" t="str">
        <v>staffordlisa@chambers-gomez.biz</v>
      </c>
      <c r="F625" t="str">
        <f t="shared" si="119"/>
        <v>Valid</v>
      </c>
      <c r="G625" s="1" t="s">
        <v>109</v>
      </c>
      <c r="H625" s="1" t="str">
        <f t="shared" si="120"/>
        <v>Male</v>
      </c>
      <c r="I625" s="1" t="s">
        <v>44</v>
      </c>
      <c r="J625" t="str">
        <f t="shared" si="121"/>
        <v>CANADA</v>
      </c>
      <c r="K625" s="14">
        <v>41</v>
      </c>
      <c r="L625" s="1">
        <f t="shared" si="122"/>
        <v>41</v>
      </c>
      <c r="M625" s="1" t="str">
        <f t="shared" si="123"/>
        <v>Senior</v>
      </c>
      <c r="N625" s="9">
        <v>45739</v>
      </c>
      <c r="O625" s="1" t="s">
        <v>114</v>
      </c>
      <c r="P625" s="1" t="s">
        <v>59</v>
      </c>
      <c r="Q625" s="4">
        <v>0.71</v>
      </c>
      <c r="R625" s="13">
        <f t="shared" si="124"/>
        <v>71</v>
      </c>
      <c r="S625" s="6">
        <f t="shared" si="118"/>
        <v>0.71</v>
      </c>
      <c r="T625" s="1" t="s">
        <v>21</v>
      </c>
      <c r="U625" s="1">
        <f t="shared" si="125"/>
        <v>1.5</v>
      </c>
      <c r="V625" s="1">
        <f t="shared" si="126"/>
        <v>50.15</v>
      </c>
      <c r="W625" s="10" t="str">
        <f t="shared" si="127"/>
        <v>Medium</v>
      </c>
      <c r="X625" s="1">
        <v>0</v>
      </c>
      <c r="Y625" s="1" t="str">
        <f t="shared" si="128"/>
        <v>No</v>
      </c>
      <c r="Z625" s="14">
        <v>1</v>
      </c>
      <c r="AA625" s="18">
        <f t="shared" si="129"/>
        <v>1</v>
      </c>
      <c r="AB625" s="18" t="str">
        <f t="shared" si="130"/>
        <v>No</v>
      </c>
      <c r="AC625" s="9" t="s">
        <v>2484</v>
      </c>
      <c r="AD625">
        <f>IF(AC625="",0,LEN(AC625)-LEN(SUBSTITUTE(AC625,",",""))+1)</f>
        <v>7</v>
      </c>
    </row>
    <row r="626" spans="1:30" ht="12.5" x14ac:dyDescent="0.25">
      <c r="A626" s="1" t="s">
        <v>2485</v>
      </c>
      <c r="B626" s="1" t="s">
        <v>2486</v>
      </c>
      <c r="C626" s="1" t="str">
        <v>Melissa Smith</v>
      </c>
      <c r="D626" s="1" t="s">
        <v>2487</v>
      </c>
      <c r="E626" s="1" t="str">
        <v>sharon70@gmail.com</v>
      </c>
      <c r="F626" t="str">
        <f t="shared" si="119"/>
        <v>Valid</v>
      </c>
      <c r="G626" s="1" t="s">
        <v>27</v>
      </c>
      <c r="H626" s="1" t="str">
        <f t="shared" si="120"/>
        <v>Male</v>
      </c>
      <c r="I626" s="1" t="s">
        <v>156</v>
      </c>
      <c r="J626" t="str">
        <f t="shared" si="121"/>
        <v>IN</v>
      </c>
      <c r="K626" s="14">
        <v>36</v>
      </c>
      <c r="L626" s="1">
        <f t="shared" si="122"/>
        <v>36</v>
      </c>
      <c r="M626" s="1" t="str">
        <f t="shared" si="123"/>
        <v>Mid Career</v>
      </c>
      <c r="N626" s="9">
        <v>45592</v>
      </c>
      <c r="O626" s="1" t="s">
        <v>52</v>
      </c>
      <c r="P626" s="1" t="s">
        <v>37</v>
      </c>
      <c r="Q626" s="4">
        <v>0.96</v>
      </c>
      <c r="R626" s="13">
        <f t="shared" si="124"/>
        <v>96</v>
      </c>
      <c r="S626" s="6">
        <f t="shared" si="118"/>
        <v>0.96</v>
      </c>
      <c r="T626" s="1" t="s">
        <v>64</v>
      </c>
      <c r="U626" s="1">
        <f t="shared" si="125"/>
        <v>2</v>
      </c>
      <c r="V626" s="1">
        <f t="shared" si="126"/>
        <v>67.799999999999983</v>
      </c>
      <c r="W626" s="10" t="str">
        <f t="shared" si="127"/>
        <v>Medium</v>
      </c>
      <c r="X626" s="1" t="s">
        <v>76</v>
      </c>
      <c r="Y626" s="1" t="str">
        <f t="shared" si="128"/>
        <v>Yes</v>
      </c>
      <c r="Z626" s="14">
        <v>4</v>
      </c>
      <c r="AA626" s="18">
        <f t="shared" si="129"/>
        <v>4</v>
      </c>
      <c r="AB626" s="18" t="str">
        <f t="shared" si="130"/>
        <v>High Performer</v>
      </c>
      <c r="AC626" s="9" t="s">
        <v>2426</v>
      </c>
      <c r="AD626">
        <f>IF(AC626="",0,LEN(AC626)-LEN(SUBSTITUTE(AC626,",",""))+1)</f>
        <v>4</v>
      </c>
    </row>
    <row r="627" spans="1:30" ht="12.5" x14ac:dyDescent="0.25">
      <c r="A627" s="1" t="s">
        <v>2488</v>
      </c>
      <c r="B627" s="1" t="s">
        <v>2489</v>
      </c>
      <c r="C627" s="1" t="str">
        <v>Cheryl Velasquez</v>
      </c>
      <c r="D627" s="1" t="s">
        <v>2490</v>
      </c>
      <c r="E627" s="1" t="str">
        <v>jimsnyder@yahoo.com</v>
      </c>
      <c r="F627" t="str">
        <f t="shared" si="119"/>
        <v>Valid</v>
      </c>
      <c r="G627" s="1" t="s">
        <v>88</v>
      </c>
      <c r="H627" s="1" t="str">
        <f t="shared" si="120"/>
        <v>Male</v>
      </c>
      <c r="I627" s="1" t="s">
        <v>89</v>
      </c>
      <c r="J627" t="str">
        <f t="shared" si="121"/>
        <v>GERMANY</v>
      </c>
      <c r="K627" s="14">
        <v>30</v>
      </c>
      <c r="L627" s="1">
        <f t="shared" si="122"/>
        <v>30</v>
      </c>
      <c r="M627" s="1" t="str">
        <f t="shared" si="123"/>
        <v>Early Career</v>
      </c>
      <c r="N627" s="2">
        <v>44747</v>
      </c>
      <c r="O627" s="1" t="s">
        <v>235</v>
      </c>
      <c r="P627" s="1" t="s">
        <v>147</v>
      </c>
      <c r="Q627" s="4">
        <v>0.77</v>
      </c>
      <c r="R627" s="13">
        <f t="shared" si="124"/>
        <v>77</v>
      </c>
      <c r="S627" s="6">
        <f t="shared" si="118"/>
        <v>0.77</v>
      </c>
      <c r="T627" s="1">
        <v>45</v>
      </c>
      <c r="U627" s="1">
        <f t="shared" si="125"/>
        <v>45</v>
      </c>
      <c r="V627" s="1">
        <f t="shared" si="126"/>
        <v>67.400000000000006</v>
      </c>
      <c r="W627" s="10" t="str">
        <f t="shared" si="127"/>
        <v>Medium</v>
      </c>
      <c r="X627" s="1" t="s">
        <v>22</v>
      </c>
      <c r="Y627" s="1" t="str">
        <f t="shared" si="128"/>
        <v>No</v>
      </c>
      <c r="Z627" s="14">
        <v>5</v>
      </c>
      <c r="AA627" s="18">
        <f t="shared" si="129"/>
        <v>5</v>
      </c>
      <c r="AB627" s="18" t="str">
        <f t="shared" si="130"/>
        <v>No</v>
      </c>
      <c r="AC627" s="9" t="s">
        <v>2491</v>
      </c>
      <c r="AD627">
        <f>IF(AC627="",0,LEN(AC627)-LEN(SUBSTITUTE(AC627,",",""))+1)</f>
        <v>6</v>
      </c>
    </row>
    <row r="628" spans="1:30" ht="12.5" x14ac:dyDescent="0.25">
      <c r="A628" s="1" t="s">
        <v>2492</v>
      </c>
      <c r="B628" s="1" t="s">
        <v>2493</v>
      </c>
      <c r="C628" s="1" t="str">
        <v>Christine Gonzalez</v>
      </c>
      <c r="D628" s="1" t="s">
        <v>2494</v>
      </c>
      <c r="E628" s="1" t="str">
        <v>kaneashley@yahoo.com</v>
      </c>
      <c r="F628" t="str">
        <f t="shared" si="119"/>
        <v>Valid</v>
      </c>
      <c r="G628" s="1" t="s">
        <v>109</v>
      </c>
      <c r="H628" s="1" t="str">
        <f t="shared" si="120"/>
        <v>Male</v>
      </c>
      <c r="I628" s="1" t="s">
        <v>28</v>
      </c>
      <c r="J628" t="str">
        <f t="shared" si="121"/>
        <v>INDIA</v>
      </c>
      <c r="K628" s="14">
        <v>0</v>
      </c>
      <c r="L628" s="1">
        <f t="shared" si="122"/>
        <v>19</v>
      </c>
      <c r="M628" s="1" t="str">
        <f t="shared" si="123"/>
        <v>Student</v>
      </c>
      <c r="N628" s="2">
        <v>44626</v>
      </c>
      <c r="O628" s="1" t="s">
        <v>158</v>
      </c>
      <c r="P628" s="1" t="s">
        <v>59</v>
      </c>
      <c r="Q628" s="4">
        <v>81</v>
      </c>
      <c r="R628" s="13">
        <f t="shared" si="124"/>
        <v>81</v>
      </c>
      <c r="S628" s="6">
        <f t="shared" si="118"/>
        <v>0.81</v>
      </c>
      <c r="T628" s="1">
        <v>45</v>
      </c>
      <c r="U628" s="1">
        <f t="shared" si="125"/>
        <v>45</v>
      </c>
      <c r="V628" s="1">
        <f t="shared" si="126"/>
        <v>70.199999999999989</v>
      </c>
      <c r="W628" s="10" t="str">
        <f t="shared" si="127"/>
        <v>Medium</v>
      </c>
      <c r="X628" s="1" t="s">
        <v>76</v>
      </c>
      <c r="Y628" s="1" t="str">
        <f t="shared" si="128"/>
        <v>Yes</v>
      </c>
      <c r="Z628" s="14">
        <v>3</v>
      </c>
      <c r="AA628" s="18">
        <f t="shared" si="129"/>
        <v>3</v>
      </c>
      <c r="AB628" s="18" t="str">
        <f t="shared" si="130"/>
        <v>No</v>
      </c>
      <c r="AC628" s="9" t="s">
        <v>1927</v>
      </c>
      <c r="AD628">
        <f>IF(AC628="",0,LEN(AC628)-LEN(SUBSTITUTE(AC628,",",""))+1)</f>
        <v>6</v>
      </c>
    </row>
    <row r="629" spans="1:30" ht="12.5" x14ac:dyDescent="0.25">
      <c r="A629" s="1" t="s">
        <v>2495</v>
      </c>
      <c r="B629" s="1" t="s">
        <v>2496</v>
      </c>
      <c r="C629" s="1" t="str">
        <v>Melanie Cunningham</v>
      </c>
      <c r="D629" s="1" t="s">
        <v>2497</v>
      </c>
      <c r="E629" s="1" t="str">
        <v>julieanderson@foley.com</v>
      </c>
      <c r="F629" t="str">
        <f t="shared" si="119"/>
        <v>Valid</v>
      </c>
      <c r="G629" s="1" t="s">
        <v>95</v>
      </c>
      <c r="H629" s="1" t="str">
        <f t="shared" si="120"/>
        <v>Male</v>
      </c>
      <c r="I629" s="1" t="s">
        <v>156</v>
      </c>
      <c r="J629" t="str">
        <f t="shared" si="121"/>
        <v>IN</v>
      </c>
      <c r="K629" s="14">
        <v>34</v>
      </c>
      <c r="L629" s="1">
        <f t="shared" si="122"/>
        <v>34</v>
      </c>
      <c r="M629" s="1" t="str">
        <f t="shared" si="123"/>
        <v>Mid Career</v>
      </c>
      <c r="N629" s="9">
        <v>44922</v>
      </c>
      <c r="O629" s="1" t="s">
        <v>235</v>
      </c>
      <c r="P629" s="1" t="s">
        <v>147</v>
      </c>
      <c r="Q629" s="4">
        <v>0.28999999999999998</v>
      </c>
      <c r="R629" s="13">
        <f t="shared" si="124"/>
        <v>28.999999999999996</v>
      </c>
      <c r="S629" s="6">
        <f t="shared" si="118"/>
        <v>0.28999999999999998</v>
      </c>
      <c r="T629" s="1" t="s">
        <v>64</v>
      </c>
      <c r="U629" s="1">
        <f t="shared" si="125"/>
        <v>2</v>
      </c>
      <c r="V629" s="1">
        <f t="shared" si="126"/>
        <v>20.9</v>
      </c>
      <c r="W629" s="10" t="str">
        <f t="shared" si="127"/>
        <v>Low</v>
      </c>
      <c r="X629" s="1" t="s">
        <v>38</v>
      </c>
      <c r="Y629" s="1" t="str">
        <f t="shared" si="128"/>
        <v>No</v>
      </c>
      <c r="Z629" s="14">
        <v>3</v>
      </c>
      <c r="AA629" s="18">
        <f t="shared" si="129"/>
        <v>3</v>
      </c>
      <c r="AB629" s="18" t="str">
        <f t="shared" si="130"/>
        <v>No</v>
      </c>
      <c r="AC629" s="9" t="s">
        <v>2498</v>
      </c>
      <c r="AD629">
        <f>IF(AC629="",0,LEN(AC629)-LEN(SUBSTITUTE(AC629,",",""))+1)</f>
        <v>2</v>
      </c>
    </row>
    <row r="630" spans="1:30" ht="12.5" x14ac:dyDescent="0.25">
      <c r="A630" s="1" t="s">
        <v>2499</v>
      </c>
      <c r="B630" s="1" t="s">
        <v>2500</v>
      </c>
      <c r="C630" s="1" t="str">
        <v>Megan Mendez</v>
      </c>
      <c r="D630" s="1" t="s">
        <v>2501</v>
      </c>
      <c r="E630" s="1" t="str">
        <v>pacedanielle@hotmail.com</v>
      </c>
      <c r="F630" t="str">
        <f t="shared" si="119"/>
        <v>Valid</v>
      </c>
      <c r="G630" s="1" t="s">
        <v>43</v>
      </c>
      <c r="H630" s="1" t="str">
        <f t="shared" si="120"/>
        <v>Female</v>
      </c>
      <c r="I630" s="1" t="s">
        <v>51</v>
      </c>
      <c r="J630" t="str">
        <f t="shared" si="121"/>
        <v>UK</v>
      </c>
      <c r="K630" s="14">
        <v>45</v>
      </c>
      <c r="L630" s="1">
        <f t="shared" si="122"/>
        <v>45</v>
      </c>
      <c r="M630" s="1" t="str">
        <f t="shared" si="123"/>
        <v>Senior</v>
      </c>
      <c r="N630" s="9">
        <v>44956</v>
      </c>
      <c r="O630" s="1" t="s">
        <v>158</v>
      </c>
      <c r="P630" s="1" t="s">
        <v>59</v>
      </c>
      <c r="Q630" s="4">
        <v>0.61</v>
      </c>
      <c r="R630" s="13">
        <f t="shared" si="124"/>
        <v>61</v>
      </c>
      <c r="S630" s="6">
        <f t="shared" si="118"/>
        <v>0.61</v>
      </c>
      <c r="T630" s="1" t="s">
        <v>21</v>
      </c>
      <c r="U630" s="1">
        <f t="shared" si="125"/>
        <v>1.5</v>
      </c>
      <c r="V630" s="1">
        <f t="shared" si="126"/>
        <v>43.15</v>
      </c>
      <c r="W630" s="10" t="str">
        <f t="shared" si="127"/>
        <v>Medium</v>
      </c>
      <c r="X630" s="1">
        <v>0</v>
      </c>
      <c r="Y630" s="1" t="str">
        <f t="shared" si="128"/>
        <v>No</v>
      </c>
      <c r="AA630" s="18" t="str">
        <f t="shared" si="129"/>
        <v>Invalid</v>
      </c>
      <c r="AB630" s="18" t="str">
        <f t="shared" si="130"/>
        <v>No</v>
      </c>
      <c r="AC630" s="9" t="s">
        <v>2502</v>
      </c>
      <c r="AD630">
        <f>IF(AC630="",0,LEN(AC630)-LEN(SUBSTITUTE(AC630,",",""))+1)</f>
        <v>2</v>
      </c>
    </row>
    <row r="631" spans="1:30" ht="12.5" x14ac:dyDescent="0.25">
      <c r="A631" s="1" t="s">
        <v>2503</v>
      </c>
      <c r="B631" s="1" t="s">
        <v>2504</v>
      </c>
      <c r="C631" s="1" t="str">
        <v>Jennifer Martinez</v>
      </c>
      <c r="D631" s="1" t="s">
        <v>2505</v>
      </c>
      <c r="E631" s="1" t="str">
        <v>wward@gmail.com</v>
      </c>
      <c r="F631" t="str">
        <f t="shared" si="119"/>
        <v>Valid</v>
      </c>
      <c r="G631" s="1" t="s">
        <v>109</v>
      </c>
      <c r="H631" s="1" t="str">
        <f t="shared" si="120"/>
        <v>Male</v>
      </c>
      <c r="I631" s="1" t="s">
        <v>136</v>
      </c>
      <c r="J631" t="str">
        <f t="shared" si="121"/>
        <v>UK</v>
      </c>
      <c r="L631" s="1">
        <f t="shared" si="122"/>
        <v>19</v>
      </c>
      <c r="M631" s="1" t="str">
        <f t="shared" si="123"/>
        <v>Student</v>
      </c>
      <c r="N631" s="9">
        <v>44738</v>
      </c>
      <c r="O631" s="1" t="s">
        <v>158</v>
      </c>
      <c r="P631" s="1" t="s">
        <v>59</v>
      </c>
      <c r="Q631" s="4">
        <v>0.91</v>
      </c>
      <c r="R631" s="13">
        <f t="shared" si="124"/>
        <v>91</v>
      </c>
      <c r="S631" s="6">
        <f t="shared" si="118"/>
        <v>0.91</v>
      </c>
      <c r="T631" s="1">
        <v>45</v>
      </c>
      <c r="U631" s="1">
        <f t="shared" si="125"/>
        <v>45</v>
      </c>
      <c r="V631" s="1">
        <f t="shared" si="126"/>
        <v>77.199999999999989</v>
      </c>
      <c r="W631" s="10" t="str">
        <f t="shared" si="127"/>
        <v>High</v>
      </c>
      <c r="X631" s="1" t="s">
        <v>22</v>
      </c>
      <c r="Y631" s="1" t="str">
        <f t="shared" si="128"/>
        <v>No</v>
      </c>
      <c r="AA631" s="18" t="str">
        <f t="shared" si="129"/>
        <v>Invalid</v>
      </c>
      <c r="AB631" s="18" t="str">
        <f t="shared" si="130"/>
        <v>No</v>
      </c>
      <c r="AC631" s="9" t="s">
        <v>2506</v>
      </c>
      <c r="AD631">
        <f>IF(AC631="",0,LEN(AC631)-LEN(SUBSTITUTE(AC631,",",""))+1)</f>
        <v>5</v>
      </c>
    </row>
    <row r="632" spans="1:30" ht="12.5" x14ac:dyDescent="0.25">
      <c r="A632" s="1" t="s">
        <v>2507</v>
      </c>
      <c r="B632" s="1" t="s">
        <v>2508</v>
      </c>
      <c r="C632" s="1" t="str">
        <v>Emily Myers</v>
      </c>
      <c r="D632" s="1" t="s">
        <v>2509</v>
      </c>
      <c r="E632" s="1" t="str">
        <v>beardlindsey@hotmail.com</v>
      </c>
      <c r="F632" t="str">
        <f t="shared" si="119"/>
        <v>Valid</v>
      </c>
      <c r="G632" s="1" t="s">
        <v>119</v>
      </c>
      <c r="H632" s="1" t="str">
        <f t="shared" si="120"/>
        <v>Female</v>
      </c>
      <c r="I632" s="1" t="s">
        <v>156</v>
      </c>
      <c r="J632" t="str">
        <f t="shared" si="121"/>
        <v>IN</v>
      </c>
      <c r="K632" s="14">
        <v>0</v>
      </c>
      <c r="L632" s="1">
        <f t="shared" si="122"/>
        <v>19</v>
      </c>
      <c r="M632" s="1" t="str">
        <f t="shared" si="123"/>
        <v>Student</v>
      </c>
      <c r="N632" s="9">
        <v>45006</v>
      </c>
      <c r="O632" s="1" t="s">
        <v>69</v>
      </c>
      <c r="P632" s="1" t="s">
        <v>31</v>
      </c>
      <c r="Q632" s="4">
        <v>0.05</v>
      </c>
      <c r="R632" s="13">
        <f t="shared" si="124"/>
        <v>5</v>
      </c>
      <c r="S632" s="6">
        <f t="shared" si="118"/>
        <v>0.05</v>
      </c>
      <c r="T632" s="1" t="s">
        <v>64</v>
      </c>
      <c r="U632" s="1">
        <f t="shared" si="125"/>
        <v>2</v>
      </c>
      <c r="V632" s="1">
        <f t="shared" si="126"/>
        <v>4.0999999999999996</v>
      </c>
      <c r="W632" s="10" t="str">
        <f t="shared" si="127"/>
        <v>Low</v>
      </c>
      <c r="X632" s="1" t="s">
        <v>38</v>
      </c>
      <c r="Y632" s="1" t="str">
        <f t="shared" si="128"/>
        <v>No</v>
      </c>
      <c r="AA632" s="18" t="str">
        <f t="shared" si="129"/>
        <v>Invalid</v>
      </c>
      <c r="AB632" s="18" t="str">
        <f t="shared" si="130"/>
        <v>No</v>
      </c>
      <c r="AC632" s="9" t="s">
        <v>2510</v>
      </c>
      <c r="AD632">
        <f>IF(AC632="",0,LEN(AC632)-LEN(SUBSTITUTE(AC632,",",""))+1)</f>
        <v>8</v>
      </c>
    </row>
    <row r="633" spans="1:30" ht="12.5" x14ac:dyDescent="0.25">
      <c r="A633" s="1" t="s">
        <v>2511</v>
      </c>
      <c r="B633" s="1" t="s">
        <v>2512</v>
      </c>
      <c r="C633" s="1" t="str">
        <v>David Martin</v>
      </c>
      <c r="D633" s="1" t="s">
        <v>2513</v>
      </c>
      <c r="E633" s="1" t="str">
        <v>garrettcolin@yahoo.com</v>
      </c>
      <c r="F633" t="str">
        <f t="shared" si="119"/>
        <v>Valid</v>
      </c>
      <c r="G633" s="1" t="s">
        <v>109</v>
      </c>
      <c r="H633" s="1" t="str">
        <f t="shared" si="120"/>
        <v>Male</v>
      </c>
      <c r="I633" s="1" t="s">
        <v>74</v>
      </c>
      <c r="J633" t="str">
        <f t="shared" si="121"/>
        <v>USA</v>
      </c>
      <c r="K633" s="14">
        <v>0</v>
      </c>
      <c r="L633" s="1">
        <f t="shared" si="122"/>
        <v>19</v>
      </c>
      <c r="M633" s="1" t="str">
        <f t="shared" si="123"/>
        <v>Student</v>
      </c>
      <c r="N633" s="9">
        <v>45008</v>
      </c>
      <c r="O633" s="1" t="s">
        <v>90</v>
      </c>
      <c r="P633" s="1" t="s">
        <v>31</v>
      </c>
      <c r="Q633" s="4">
        <v>0.79</v>
      </c>
      <c r="R633" s="13">
        <f t="shared" si="124"/>
        <v>79</v>
      </c>
      <c r="S633" s="6">
        <f t="shared" si="118"/>
        <v>0.79</v>
      </c>
      <c r="T633" s="1" t="s">
        <v>21</v>
      </c>
      <c r="U633" s="1">
        <f t="shared" si="125"/>
        <v>1.5</v>
      </c>
      <c r="V633" s="1">
        <f t="shared" si="126"/>
        <v>55.75</v>
      </c>
      <c r="W633" s="10" t="str">
        <f t="shared" si="127"/>
        <v>Medium</v>
      </c>
      <c r="X633" s="1" t="s">
        <v>22</v>
      </c>
      <c r="Y633" s="1" t="str">
        <f t="shared" si="128"/>
        <v>No</v>
      </c>
      <c r="AA633" s="18" t="str">
        <f t="shared" si="129"/>
        <v>Invalid</v>
      </c>
      <c r="AB633" s="18" t="str">
        <f t="shared" si="130"/>
        <v>No</v>
      </c>
      <c r="AC633" s="9" t="s">
        <v>2514</v>
      </c>
      <c r="AD633">
        <f>IF(AC633="",0,LEN(AC633)-LEN(SUBSTITUTE(AC633,",",""))+1)</f>
        <v>7</v>
      </c>
    </row>
    <row r="634" spans="1:30" ht="12.5" x14ac:dyDescent="0.25">
      <c r="A634" s="1" t="s">
        <v>2515</v>
      </c>
      <c r="B634" s="1" t="s">
        <v>2516</v>
      </c>
      <c r="C634" s="1" t="str">
        <v>Felicia Wright</v>
      </c>
      <c r="D634" s="1" t="s">
        <v>2517</v>
      </c>
      <c r="E634" s="1" t="str">
        <v>vallen@underwood.com</v>
      </c>
      <c r="F634" t="str">
        <f t="shared" si="119"/>
        <v>Valid</v>
      </c>
      <c r="G634" s="1" t="s">
        <v>119</v>
      </c>
      <c r="H634" s="1" t="str">
        <f t="shared" si="120"/>
        <v>Female</v>
      </c>
      <c r="I634" s="1" t="s">
        <v>18</v>
      </c>
      <c r="J634" t="str">
        <f t="shared" si="121"/>
        <v>US</v>
      </c>
      <c r="K634" s="14">
        <v>0</v>
      </c>
      <c r="L634" s="1">
        <f t="shared" si="122"/>
        <v>19</v>
      </c>
      <c r="M634" s="1" t="str">
        <f t="shared" si="123"/>
        <v>Student</v>
      </c>
      <c r="N634" s="2">
        <v>45475</v>
      </c>
      <c r="O634" s="1" t="s">
        <v>170</v>
      </c>
      <c r="P634" s="1" t="s">
        <v>147</v>
      </c>
      <c r="Q634" s="4">
        <v>89</v>
      </c>
      <c r="R634" s="13">
        <f t="shared" si="124"/>
        <v>89</v>
      </c>
      <c r="S634" s="6">
        <f t="shared" si="118"/>
        <v>0.89</v>
      </c>
      <c r="T634" s="1" t="s">
        <v>46</v>
      </c>
      <c r="U634" s="1">
        <f t="shared" si="125"/>
        <v>1</v>
      </c>
      <c r="V634" s="1">
        <f t="shared" si="126"/>
        <v>62.599999999999994</v>
      </c>
      <c r="W634" s="10" t="str">
        <f t="shared" si="127"/>
        <v>Medium</v>
      </c>
      <c r="X634" s="1" t="s">
        <v>32</v>
      </c>
      <c r="Y634" s="1" t="str">
        <f t="shared" si="128"/>
        <v>Yes</v>
      </c>
      <c r="AA634" s="18" t="str">
        <f t="shared" si="129"/>
        <v>Invalid</v>
      </c>
      <c r="AB634" s="18" t="str">
        <f t="shared" si="130"/>
        <v>High Performer</v>
      </c>
      <c r="AC634" s="9" t="s">
        <v>2518</v>
      </c>
      <c r="AD634">
        <f>IF(AC634="",0,LEN(AC634)-LEN(SUBSTITUTE(AC634,",",""))+1)</f>
        <v>5</v>
      </c>
    </row>
    <row r="635" spans="1:30" ht="12.5" x14ac:dyDescent="0.25">
      <c r="A635" s="1" t="s">
        <v>2519</v>
      </c>
      <c r="B635" s="1" t="s">
        <v>2520</v>
      </c>
      <c r="C635" s="1" t="str">
        <v>Lori Riley</v>
      </c>
      <c r="D635" s="1" t="s">
        <v>2521</v>
      </c>
      <c r="E635" s="1" t="str">
        <v>rangelnicholas@brown.info</v>
      </c>
      <c r="F635" t="str">
        <f t="shared" si="119"/>
        <v>Valid</v>
      </c>
      <c r="G635" s="1" t="s">
        <v>17</v>
      </c>
      <c r="H635" s="1" t="str">
        <f t="shared" si="120"/>
        <v>Female</v>
      </c>
      <c r="I635" s="1" t="s">
        <v>136</v>
      </c>
      <c r="J635" t="str">
        <f t="shared" si="121"/>
        <v>UK</v>
      </c>
      <c r="L635" s="1">
        <f t="shared" si="122"/>
        <v>19</v>
      </c>
      <c r="M635" s="1" t="str">
        <f t="shared" si="123"/>
        <v>Student</v>
      </c>
      <c r="N635" s="9">
        <v>44771</v>
      </c>
      <c r="O635" s="1" t="s">
        <v>19</v>
      </c>
      <c r="P635" s="1" t="s">
        <v>20</v>
      </c>
      <c r="Q635" s="4">
        <v>0.32</v>
      </c>
      <c r="R635" s="13">
        <f t="shared" si="124"/>
        <v>32</v>
      </c>
      <c r="S635" s="6">
        <f t="shared" si="118"/>
        <v>0.32</v>
      </c>
      <c r="T635" s="1" t="s">
        <v>64</v>
      </c>
      <c r="U635" s="1">
        <f t="shared" si="125"/>
        <v>2</v>
      </c>
      <c r="V635" s="1">
        <f t="shared" si="126"/>
        <v>23</v>
      </c>
      <c r="W635" s="10" t="str">
        <f t="shared" si="127"/>
        <v>Low</v>
      </c>
      <c r="X635" s="1" t="s">
        <v>22</v>
      </c>
      <c r="Y635" s="1" t="str">
        <f t="shared" si="128"/>
        <v>No</v>
      </c>
      <c r="Z635" s="14">
        <v>2</v>
      </c>
      <c r="AA635" s="18">
        <f t="shared" si="129"/>
        <v>2</v>
      </c>
      <c r="AB635" s="18" t="str">
        <f t="shared" si="130"/>
        <v>No</v>
      </c>
      <c r="AC635" s="9" t="s">
        <v>2522</v>
      </c>
      <c r="AD635">
        <f>IF(AC635="",0,LEN(AC635)-LEN(SUBSTITUTE(AC635,",",""))+1)</f>
        <v>6</v>
      </c>
    </row>
    <row r="636" spans="1:30" ht="12.5" x14ac:dyDescent="0.25">
      <c r="A636" s="1" t="s">
        <v>2523</v>
      </c>
      <c r="B636" s="1" t="s">
        <v>2524</v>
      </c>
      <c r="C636" s="1" t="str">
        <v>Michael Hansen</v>
      </c>
      <c r="D636" s="1" t="s">
        <v>2525</v>
      </c>
      <c r="E636" s="1" t="str">
        <v>nmorales@yahoo.com</v>
      </c>
      <c r="F636" t="str">
        <f t="shared" si="119"/>
        <v>Valid</v>
      </c>
      <c r="G636" s="1" t="s">
        <v>119</v>
      </c>
      <c r="H636" s="1" t="str">
        <f t="shared" si="120"/>
        <v>Female</v>
      </c>
      <c r="I636" s="1" t="s">
        <v>74</v>
      </c>
      <c r="J636" t="str">
        <f t="shared" si="121"/>
        <v>USA</v>
      </c>
      <c r="K636" s="14">
        <v>0</v>
      </c>
      <c r="L636" s="1">
        <f t="shared" si="122"/>
        <v>19</v>
      </c>
      <c r="M636" s="1" t="str">
        <f t="shared" si="123"/>
        <v>Student</v>
      </c>
      <c r="N636" s="2">
        <v>44568</v>
      </c>
      <c r="O636" s="1" t="s">
        <v>158</v>
      </c>
      <c r="P636" s="1" t="s">
        <v>59</v>
      </c>
      <c r="Q636" s="4">
        <v>0.17</v>
      </c>
      <c r="R636" s="13">
        <f t="shared" si="124"/>
        <v>17</v>
      </c>
      <c r="S636" s="6">
        <f t="shared" si="118"/>
        <v>0.17</v>
      </c>
      <c r="T636" s="1">
        <v>2</v>
      </c>
      <c r="U636" s="1">
        <f t="shared" si="125"/>
        <v>2</v>
      </c>
      <c r="V636" s="1">
        <f t="shared" si="126"/>
        <v>12.499999999999998</v>
      </c>
      <c r="W636" s="10" t="str">
        <f t="shared" si="127"/>
        <v>Low</v>
      </c>
      <c r="X636" s="1">
        <v>0</v>
      </c>
      <c r="Y636" s="1" t="str">
        <f t="shared" si="128"/>
        <v>No</v>
      </c>
      <c r="Z636" s="14">
        <v>3</v>
      </c>
      <c r="AA636" s="18">
        <f t="shared" si="129"/>
        <v>3</v>
      </c>
      <c r="AB636" s="18" t="str">
        <f t="shared" si="130"/>
        <v>No</v>
      </c>
      <c r="AC636" s="9">
        <v>44568</v>
      </c>
      <c r="AD636">
        <f>IF(AC636="",0,LEN(AC636)-LEN(SUBSTITUTE(AC636,",",""))+1)</f>
        <v>1</v>
      </c>
    </row>
    <row r="637" spans="1:30" ht="12.5" x14ac:dyDescent="0.25">
      <c r="A637" s="1" t="s">
        <v>2526</v>
      </c>
      <c r="B637" s="1" t="s">
        <v>2527</v>
      </c>
      <c r="C637" s="1" t="str">
        <v>Jody Marshall</v>
      </c>
      <c r="D637" s="1" t="s">
        <v>2528</v>
      </c>
      <c r="E637" s="1" t="str">
        <v>morgansharon@gmail.com</v>
      </c>
      <c r="F637" t="str">
        <f t="shared" si="119"/>
        <v>Valid</v>
      </c>
      <c r="G637" s="1" t="s">
        <v>27</v>
      </c>
      <c r="H637" s="1" t="str">
        <f t="shared" si="120"/>
        <v>Male</v>
      </c>
      <c r="I637" s="1" t="s">
        <v>74</v>
      </c>
      <c r="J637" t="str">
        <f t="shared" si="121"/>
        <v>USA</v>
      </c>
      <c r="K637" s="14">
        <v>0</v>
      </c>
      <c r="L637" s="1">
        <f t="shared" si="122"/>
        <v>19</v>
      </c>
      <c r="M637" s="1" t="str">
        <f t="shared" si="123"/>
        <v>Student</v>
      </c>
      <c r="N637" s="2">
        <v>45020</v>
      </c>
      <c r="O637" s="1" t="s">
        <v>158</v>
      </c>
      <c r="P637" s="1" t="s">
        <v>59</v>
      </c>
      <c r="Q637" s="4">
        <v>21</v>
      </c>
      <c r="R637" s="13">
        <f t="shared" si="124"/>
        <v>21</v>
      </c>
      <c r="S637" s="6">
        <f t="shared" si="118"/>
        <v>0.21</v>
      </c>
      <c r="T637" s="1">
        <v>2</v>
      </c>
      <c r="U637" s="1">
        <f t="shared" si="125"/>
        <v>2</v>
      </c>
      <c r="V637" s="1">
        <f t="shared" si="126"/>
        <v>15.299999999999999</v>
      </c>
      <c r="W637" s="10" t="str">
        <f t="shared" si="127"/>
        <v>Low</v>
      </c>
      <c r="X637" s="1" t="s">
        <v>76</v>
      </c>
      <c r="Y637" s="1" t="str">
        <f t="shared" si="128"/>
        <v>Yes</v>
      </c>
      <c r="Z637" s="14">
        <v>6</v>
      </c>
      <c r="AA637" s="18">
        <f t="shared" si="129"/>
        <v>6</v>
      </c>
      <c r="AB637" s="18" t="str">
        <f t="shared" si="130"/>
        <v>High Performer</v>
      </c>
      <c r="AC637" s="9" t="s">
        <v>2529</v>
      </c>
      <c r="AD637">
        <f>IF(AC637="",0,LEN(AC637)-LEN(SUBSTITUTE(AC637,",",""))+1)</f>
        <v>8</v>
      </c>
    </row>
    <row r="638" spans="1:30" ht="12.5" x14ac:dyDescent="0.25">
      <c r="A638" s="1" t="s">
        <v>2530</v>
      </c>
      <c r="B638" s="1" t="s">
        <v>2531</v>
      </c>
      <c r="C638" s="1" t="str">
        <v>Adam Reeves</v>
      </c>
      <c r="D638" s="1" t="s">
        <v>2532</v>
      </c>
      <c r="E638" s="1" t="str">
        <v>danascott@olson-oliver.com</v>
      </c>
      <c r="F638" t="str">
        <f t="shared" si="119"/>
        <v>Valid</v>
      </c>
      <c r="G638" s="1" t="s">
        <v>43</v>
      </c>
      <c r="H638" s="1" t="str">
        <f t="shared" si="120"/>
        <v>Female</v>
      </c>
      <c r="I638" s="1" t="s">
        <v>136</v>
      </c>
      <c r="J638" t="str">
        <f t="shared" si="121"/>
        <v>UK</v>
      </c>
      <c r="K638" s="14">
        <v>40</v>
      </c>
      <c r="L638" s="1">
        <f t="shared" si="122"/>
        <v>40</v>
      </c>
      <c r="M638" s="1" t="str">
        <f t="shared" si="123"/>
        <v>Mid Career</v>
      </c>
      <c r="N638" s="2">
        <v>45629</v>
      </c>
      <c r="O638" s="1" t="s">
        <v>45</v>
      </c>
      <c r="P638" s="1" t="s">
        <v>20</v>
      </c>
      <c r="Q638" s="4">
        <v>0.22</v>
      </c>
      <c r="R638" s="13">
        <f t="shared" si="124"/>
        <v>22</v>
      </c>
      <c r="S638" s="6">
        <f t="shared" si="118"/>
        <v>0.22</v>
      </c>
      <c r="T638" s="1" t="s">
        <v>21</v>
      </c>
      <c r="U638" s="1">
        <f t="shared" si="125"/>
        <v>1.5</v>
      </c>
      <c r="V638" s="1">
        <f t="shared" si="126"/>
        <v>15.849999999999998</v>
      </c>
      <c r="W638" s="10" t="str">
        <f t="shared" si="127"/>
        <v>Low</v>
      </c>
      <c r="X638" s="1">
        <v>1</v>
      </c>
      <c r="Y638" s="1" t="str">
        <f t="shared" si="128"/>
        <v>Yes</v>
      </c>
      <c r="Z638" s="14">
        <v>2</v>
      </c>
      <c r="AA638" s="18">
        <f t="shared" si="129"/>
        <v>2</v>
      </c>
      <c r="AB638" s="18" t="str">
        <f t="shared" si="130"/>
        <v>No</v>
      </c>
      <c r="AC638" s="9" t="s">
        <v>2533</v>
      </c>
      <c r="AD638">
        <f>IF(AC638="",0,LEN(AC638)-LEN(SUBSTITUTE(AC638,",",""))+1)</f>
        <v>5</v>
      </c>
    </row>
    <row r="639" spans="1:30" ht="12.5" x14ac:dyDescent="0.25">
      <c r="A639" s="1" t="s">
        <v>2534</v>
      </c>
      <c r="B639" s="1" t="s">
        <v>2535</v>
      </c>
      <c r="C639" s="1" t="str">
        <v>Kevin Palmer</v>
      </c>
      <c r="D639" s="1" t="s">
        <v>2536</v>
      </c>
      <c r="E639" s="1" t="str">
        <v>brandy82@gmail.com</v>
      </c>
      <c r="F639" t="str">
        <f t="shared" si="119"/>
        <v>Valid</v>
      </c>
      <c r="G639" s="1" t="s">
        <v>43</v>
      </c>
      <c r="H639" s="1" t="str">
        <f t="shared" si="120"/>
        <v>Female</v>
      </c>
      <c r="I639" s="1" t="s">
        <v>156</v>
      </c>
      <c r="J639" t="str">
        <f t="shared" si="121"/>
        <v>IN</v>
      </c>
      <c r="K639" s="14">
        <v>25</v>
      </c>
      <c r="L639" s="1">
        <f t="shared" si="122"/>
        <v>25</v>
      </c>
      <c r="M639" s="1" t="str">
        <f t="shared" si="123"/>
        <v>Early Career</v>
      </c>
      <c r="N639" s="9">
        <v>45035</v>
      </c>
      <c r="O639" s="1" t="s">
        <v>301</v>
      </c>
      <c r="P639" s="1" t="s">
        <v>20</v>
      </c>
      <c r="Q639" s="4">
        <v>0</v>
      </c>
      <c r="R639" s="13">
        <f t="shared" si="124"/>
        <v>0</v>
      </c>
      <c r="S639" s="6">
        <f t="shared" si="118"/>
        <v>0</v>
      </c>
      <c r="T639" s="1" t="s">
        <v>64</v>
      </c>
      <c r="U639" s="1">
        <f t="shared" si="125"/>
        <v>2</v>
      </c>
      <c r="V639" s="1">
        <f t="shared" si="126"/>
        <v>0.6</v>
      </c>
      <c r="W639" s="10" t="str">
        <f t="shared" si="127"/>
        <v>Low</v>
      </c>
      <c r="X639" s="1" t="s">
        <v>38</v>
      </c>
      <c r="Y639" s="1" t="str">
        <f t="shared" si="128"/>
        <v>No</v>
      </c>
      <c r="Z639" s="14">
        <v>1</v>
      </c>
      <c r="AA639" s="18">
        <f t="shared" si="129"/>
        <v>1</v>
      </c>
      <c r="AB639" s="18" t="str">
        <f t="shared" si="130"/>
        <v>No</v>
      </c>
      <c r="AC639" s="9" t="s">
        <v>2537</v>
      </c>
      <c r="AD639">
        <f>IF(AC639="",0,LEN(AC639)-LEN(SUBSTITUTE(AC639,",",""))+1)</f>
        <v>5</v>
      </c>
    </row>
    <row r="640" spans="1:30" ht="12.5" x14ac:dyDescent="0.25">
      <c r="A640" s="1" t="s">
        <v>2538</v>
      </c>
      <c r="B640" s="1" t="s">
        <v>2539</v>
      </c>
      <c r="C640" s="1" t="str">
        <v>Adam Willis</v>
      </c>
      <c r="D640" s="1" t="s">
        <v>2540</v>
      </c>
      <c r="E640" s="1" t="str">
        <v>younglori@trevino.com</v>
      </c>
      <c r="F640" t="str">
        <f t="shared" si="119"/>
        <v>Valid</v>
      </c>
      <c r="G640" s="1" t="s">
        <v>109</v>
      </c>
      <c r="H640" s="1" t="str">
        <f t="shared" si="120"/>
        <v>Male</v>
      </c>
      <c r="I640" s="1" t="s">
        <v>51</v>
      </c>
      <c r="J640" t="str">
        <f t="shared" si="121"/>
        <v>UK</v>
      </c>
      <c r="L640" s="1">
        <f t="shared" si="122"/>
        <v>19</v>
      </c>
      <c r="M640" s="1" t="str">
        <f t="shared" si="123"/>
        <v>Student</v>
      </c>
      <c r="N640" s="2">
        <v>45416</v>
      </c>
      <c r="O640" s="1" t="s">
        <v>19</v>
      </c>
      <c r="P640" s="1" t="s">
        <v>20</v>
      </c>
      <c r="Q640" s="4">
        <v>0.08</v>
      </c>
      <c r="R640" s="13">
        <f t="shared" si="124"/>
        <v>8</v>
      </c>
      <c r="S640" s="6">
        <f t="shared" si="118"/>
        <v>0.08</v>
      </c>
      <c r="T640" s="1" t="s">
        <v>21</v>
      </c>
      <c r="U640" s="1">
        <f t="shared" si="125"/>
        <v>1.5</v>
      </c>
      <c r="V640" s="1">
        <f t="shared" si="126"/>
        <v>6.05</v>
      </c>
      <c r="W640" s="10" t="str">
        <f t="shared" si="127"/>
        <v>Low</v>
      </c>
      <c r="X640" s="1" t="s">
        <v>32</v>
      </c>
      <c r="Y640" s="1" t="str">
        <f t="shared" si="128"/>
        <v>Yes</v>
      </c>
      <c r="Z640" s="14">
        <v>2</v>
      </c>
      <c r="AA640" s="18">
        <f t="shared" si="129"/>
        <v>2</v>
      </c>
      <c r="AB640" s="18" t="str">
        <f t="shared" si="130"/>
        <v>No</v>
      </c>
      <c r="AC640" s="9" t="s">
        <v>2541</v>
      </c>
      <c r="AD640">
        <f>IF(AC640="",0,LEN(AC640)-LEN(SUBSTITUTE(AC640,",",""))+1)</f>
        <v>6</v>
      </c>
    </row>
    <row r="641" spans="1:30" ht="12.5" x14ac:dyDescent="0.25">
      <c r="A641" s="1" t="s">
        <v>2542</v>
      </c>
      <c r="B641" s="1" t="s">
        <v>2543</v>
      </c>
      <c r="C641" s="1" t="str">
        <v>Michael Neal</v>
      </c>
      <c r="D641" s="1" t="s">
        <v>2544</v>
      </c>
      <c r="E641" s="1" t="str">
        <v>melissa95@hotmail.com</v>
      </c>
      <c r="F641" t="str">
        <f t="shared" si="119"/>
        <v>Valid</v>
      </c>
      <c r="G641" s="1" t="s">
        <v>43</v>
      </c>
      <c r="H641" s="1" t="str">
        <f t="shared" si="120"/>
        <v>Female</v>
      </c>
      <c r="I641" s="1" t="s">
        <v>74</v>
      </c>
      <c r="J641" t="str">
        <f t="shared" si="121"/>
        <v>USA</v>
      </c>
      <c r="L641" s="1">
        <f t="shared" si="122"/>
        <v>19</v>
      </c>
      <c r="M641" s="1" t="str">
        <f t="shared" si="123"/>
        <v>Student</v>
      </c>
      <c r="N641" s="9">
        <v>45653</v>
      </c>
      <c r="O641" s="1" t="s">
        <v>75</v>
      </c>
      <c r="P641" s="1" t="s">
        <v>37</v>
      </c>
      <c r="Q641" s="4">
        <v>0.69</v>
      </c>
      <c r="R641" s="13">
        <f t="shared" si="124"/>
        <v>69</v>
      </c>
      <c r="S641" s="6">
        <f t="shared" si="118"/>
        <v>0.69</v>
      </c>
      <c r="T641" s="1">
        <v>45</v>
      </c>
      <c r="U641" s="1">
        <f t="shared" si="125"/>
        <v>45</v>
      </c>
      <c r="V641" s="1">
        <f t="shared" si="126"/>
        <v>61.8</v>
      </c>
      <c r="W641" s="10" t="str">
        <f t="shared" si="127"/>
        <v>Medium</v>
      </c>
      <c r="X641" s="1" t="s">
        <v>38</v>
      </c>
      <c r="Y641" s="1" t="str">
        <f t="shared" si="128"/>
        <v>No</v>
      </c>
      <c r="Z641" s="14">
        <v>4</v>
      </c>
      <c r="AA641" s="18">
        <f t="shared" si="129"/>
        <v>4</v>
      </c>
      <c r="AB641" s="18" t="str">
        <f t="shared" si="130"/>
        <v>No</v>
      </c>
      <c r="AC641" s="9" t="s">
        <v>2545</v>
      </c>
      <c r="AD641">
        <f>IF(AC641="",0,LEN(AC641)-LEN(SUBSTITUTE(AC641,",",""))+1)</f>
        <v>4</v>
      </c>
    </row>
    <row r="642" spans="1:30" ht="12.5" x14ac:dyDescent="0.25">
      <c r="A642" s="1" t="s">
        <v>2546</v>
      </c>
      <c r="B642" s="1" t="s">
        <v>2547</v>
      </c>
      <c r="C642" s="1" t="str">
        <v>Richard Williams</v>
      </c>
      <c r="D642" s="1" t="s">
        <v>2548</v>
      </c>
      <c r="E642" s="1" t="str">
        <v>fowlerheather@hanson-allen.com</v>
      </c>
      <c r="F642" t="str">
        <f t="shared" si="119"/>
        <v>Valid</v>
      </c>
      <c r="G642" s="1" t="s">
        <v>57</v>
      </c>
      <c r="H642" s="1" t="str">
        <f t="shared" si="120"/>
        <v>Female</v>
      </c>
      <c r="I642" s="1" t="s">
        <v>28</v>
      </c>
      <c r="J642" t="str">
        <f t="shared" si="121"/>
        <v>INDIA</v>
      </c>
      <c r="K642" s="14">
        <v>20</v>
      </c>
      <c r="L642" s="1">
        <f t="shared" si="122"/>
        <v>20</v>
      </c>
      <c r="M642" s="1" t="str">
        <f t="shared" si="123"/>
        <v>Student</v>
      </c>
      <c r="N642" s="9">
        <v>45123</v>
      </c>
      <c r="O642" s="1" t="s">
        <v>36</v>
      </c>
      <c r="P642" s="1" t="s">
        <v>37</v>
      </c>
      <c r="Q642" s="4">
        <v>0.08</v>
      </c>
      <c r="R642" s="13">
        <f t="shared" si="124"/>
        <v>8</v>
      </c>
      <c r="S642" s="6">
        <f t="shared" ref="S642:S705" si="131">R642/100</f>
        <v>0.08</v>
      </c>
      <c r="T642" s="1" t="s">
        <v>21</v>
      </c>
      <c r="U642" s="1">
        <f t="shared" si="125"/>
        <v>1.5</v>
      </c>
      <c r="V642" s="1">
        <f t="shared" si="126"/>
        <v>6.05</v>
      </c>
      <c r="W642" s="10" t="str">
        <f t="shared" si="127"/>
        <v>Low</v>
      </c>
      <c r="X642" s="1">
        <v>1</v>
      </c>
      <c r="Y642" s="1" t="str">
        <f t="shared" si="128"/>
        <v>Yes</v>
      </c>
      <c r="AA642" s="18" t="str">
        <f t="shared" si="129"/>
        <v>Invalid</v>
      </c>
      <c r="AB642" s="18" t="str">
        <f t="shared" si="130"/>
        <v>High Performer</v>
      </c>
      <c r="AC642" s="9" t="s">
        <v>2549</v>
      </c>
      <c r="AD642">
        <f>IF(AC642="",0,LEN(AC642)-LEN(SUBSTITUTE(AC642,",",""))+1)</f>
        <v>7</v>
      </c>
    </row>
    <row r="643" spans="1:30" ht="12.5" x14ac:dyDescent="0.25">
      <c r="A643" s="1" t="s">
        <v>2550</v>
      </c>
      <c r="B643" s="1" t="s">
        <v>2551</v>
      </c>
      <c r="C643" s="1" t="str">
        <v>Heidi Jones Md</v>
      </c>
      <c r="D643" s="1" t="s">
        <v>2552</v>
      </c>
      <c r="E643" s="1" t="str">
        <v>kellylee@durham.com</v>
      </c>
      <c r="F643" t="str">
        <f t="shared" ref="F643:F706" si="132">IF(ISNUMBER(SEARCH("@", E643)), "Valid", "Invalid")</f>
        <v>Valid</v>
      </c>
      <c r="G643" s="1" t="s">
        <v>109</v>
      </c>
      <c r="H643" s="1" t="str">
        <f t="shared" ref="H643:H706" si="133">IF(OR(LOWER(G643)="m", LOWER(G643)="male"), "Male", IF(OR(LOWER(G643)="f", LOWER(G643)="female"), "Female","Other"))</f>
        <v>Male</v>
      </c>
      <c r="I643" s="1" t="s">
        <v>156</v>
      </c>
      <c r="J643" t="str">
        <f t="shared" ref="J643:J706" si="134">UPPER(TRIM(I643))</f>
        <v>IN</v>
      </c>
      <c r="K643" s="14">
        <v>0</v>
      </c>
      <c r="L643" s="1">
        <f t="shared" ref="L643:L706" si="135">IF(OR(K643=0,K643&lt;10,K643&gt;100), $L$1202, K643)</f>
        <v>19</v>
      </c>
      <c r="M643" s="1" t="str">
        <f t="shared" ref="M643:M706" si="136">IF(K643&lt;22,"Student",
IF(K643&lt;=30,"Early Career",
IF(K643&lt;=40,"Mid Career",
IF(K643&lt;=50,"Senior","Expert"))))</f>
        <v>Student</v>
      </c>
      <c r="N643" s="3">
        <v>45241</v>
      </c>
      <c r="O643" s="1" t="s">
        <v>158</v>
      </c>
      <c r="P643" s="1" t="s">
        <v>59</v>
      </c>
      <c r="Q643" s="4">
        <v>76</v>
      </c>
      <c r="R643" s="13">
        <f t="shared" ref="R643:R706" si="137">IF(Q643&lt;=1, Q643*100, Q643)</f>
        <v>76</v>
      </c>
      <c r="S643" s="6">
        <f t="shared" si="131"/>
        <v>0.76</v>
      </c>
      <c r="T643" s="1">
        <v>2</v>
      </c>
      <c r="U643" s="1">
        <f t="shared" ref="U643:U706" si="138">IF(ISNUMBER(T643), T643,
IF(ISNUMBER(SEARCH("min", T643)), VALUE(LEFT(T643, FIND(" ", T643)-1))/60,
IF(ISNUMBER(SEARCH("hour", T643)), VALUE(LEFT(T643, FIND(" ", T643)-1)),
"")))</f>
        <v>2</v>
      </c>
      <c r="V643" s="1">
        <f t="shared" ref="V643:V706" si="139">MIN( (0.7*R643 + 0.3*(U643)), 100 )</f>
        <v>53.8</v>
      </c>
      <c r="W643" s="10" t="str">
        <f t="shared" ref="W643:W706" si="140">IF(V643&lt;41,"Low",IF(V643&lt;71,"Medium","High"))</f>
        <v>Medium</v>
      </c>
      <c r="X643" s="1">
        <v>0</v>
      </c>
      <c r="Y643" s="1" t="str">
        <f t="shared" ref="Y643:Y706" si="141">IF(OR(X643="Yes", X643="Y", X643=1), "Yes", "No")</f>
        <v>No</v>
      </c>
      <c r="Z643" s="14">
        <v>3</v>
      </c>
      <c r="AA643" s="18">
        <f t="shared" ref="AA643:AA706" si="142">IF(AND(Z643&gt;=1,Z643&lt;=6),Z643,"Invalid")</f>
        <v>3</v>
      </c>
      <c r="AB643" s="18" t="str">
        <f t="shared" ref="AB643:AB706" si="143">IF(AND(Y643="Yes",AA643&gt;=4),"High Performer","No")</f>
        <v>No</v>
      </c>
      <c r="AC643" s="9" t="s">
        <v>2553</v>
      </c>
      <c r="AD643">
        <f>IF(AC643="",0,LEN(AC643)-LEN(SUBSTITUTE(AC643,",",""))+1)</f>
        <v>3</v>
      </c>
    </row>
    <row r="644" spans="1:30" ht="12.5" x14ac:dyDescent="0.25">
      <c r="A644" s="1" t="s">
        <v>2554</v>
      </c>
      <c r="B644" s="1" t="s">
        <v>2555</v>
      </c>
      <c r="C644" s="1" t="str">
        <v>Christopher Abbott</v>
      </c>
      <c r="D644" s="1" t="s">
        <v>2556</v>
      </c>
      <c r="E644" s="1" t="str">
        <v>jamesthompson@lozano-smith.com</v>
      </c>
      <c r="F644" t="str">
        <f t="shared" si="132"/>
        <v>Valid</v>
      </c>
      <c r="G644" s="1" t="s">
        <v>43</v>
      </c>
      <c r="H644" s="1" t="str">
        <f t="shared" si="133"/>
        <v>Female</v>
      </c>
      <c r="I644" s="1" t="s">
        <v>96</v>
      </c>
      <c r="J644" t="str">
        <f t="shared" si="134"/>
        <v>INDIA</v>
      </c>
      <c r="K644" s="14">
        <v>0</v>
      </c>
      <c r="L644" s="1">
        <f t="shared" si="135"/>
        <v>19</v>
      </c>
      <c r="M644" s="1" t="str">
        <f t="shared" si="136"/>
        <v>Student</v>
      </c>
      <c r="N644" s="2">
        <v>45140</v>
      </c>
      <c r="O644" s="1" t="s">
        <v>75</v>
      </c>
      <c r="P644" s="1" t="s">
        <v>37</v>
      </c>
      <c r="Q644" s="4">
        <v>0.77</v>
      </c>
      <c r="R644" s="13">
        <f t="shared" si="137"/>
        <v>77</v>
      </c>
      <c r="S644" s="6">
        <f t="shared" si="131"/>
        <v>0.77</v>
      </c>
      <c r="T644" s="1">
        <v>1.5</v>
      </c>
      <c r="U644" s="1">
        <f t="shared" si="138"/>
        <v>1.5</v>
      </c>
      <c r="V644" s="1">
        <f t="shared" si="139"/>
        <v>54.35</v>
      </c>
      <c r="W644" s="10" t="str">
        <f t="shared" si="140"/>
        <v>Medium</v>
      </c>
      <c r="X644" s="1" t="s">
        <v>22</v>
      </c>
      <c r="Y644" s="1" t="str">
        <f t="shared" si="141"/>
        <v>No</v>
      </c>
      <c r="Z644" s="14">
        <v>5</v>
      </c>
      <c r="AA644" s="18">
        <f t="shared" si="142"/>
        <v>5</v>
      </c>
      <c r="AB644" s="18" t="str">
        <f t="shared" si="143"/>
        <v>No</v>
      </c>
      <c r="AC644" s="9" t="s">
        <v>2557</v>
      </c>
      <c r="AD644">
        <f>IF(AC644="",0,LEN(AC644)-LEN(SUBSTITUTE(AC644,",",""))+1)</f>
        <v>8</v>
      </c>
    </row>
    <row r="645" spans="1:30" ht="12.5" x14ac:dyDescent="0.25">
      <c r="A645" s="1" t="s">
        <v>2558</v>
      </c>
      <c r="B645" s="1" t="s">
        <v>2559</v>
      </c>
      <c r="C645" s="1" t="str">
        <v>Daniel Bryant</v>
      </c>
      <c r="D645" s="1" t="s">
        <v>2560</v>
      </c>
      <c r="E645" s="1" t="str">
        <v>donna89@yahoo.com</v>
      </c>
      <c r="F645" t="str">
        <f t="shared" si="132"/>
        <v>Valid</v>
      </c>
      <c r="G645" s="1" t="s">
        <v>109</v>
      </c>
      <c r="H645" s="1" t="str">
        <f t="shared" si="133"/>
        <v>Male</v>
      </c>
      <c r="I645" s="1" t="s">
        <v>156</v>
      </c>
      <c r="J645" t="str">
        <f t="shared" si="134"/>
        <v>IN</v>
      </c>
      <c r="L645" s="1">
        <f t="shared" si="135"/>
        <v>19</v>
      </c>
      <c r="M645" s="1" t="str">
        <f t="shared" si="136"/>
        <v>Student</v>
      </c>
      <c r="N645" s="9">
        <v>45246</v>
      </c>
      <c r="O645" s="1" t="s">
        <v>45</v>
      </c>
      <c r="P645" s="1" t="s">
        <v>20</v>
      </c>
      <c r="Q645" s="4">
        <v>0.54</v>
      </c>
      <c r="R645" s="13">
        <f t="shared" si="137"/>
        <v>54</v>
      </c>
      <c r="S645" s="6">
        <f t="shared" si="131"/>
        <v>0.54</v>
      </c>
      <c r="T645" s="1">
        <v>2</v>
      </c>
      <c r="U645" s="1">
        <f t="shared" si="138"/>
        <v>2</v>
      </c>
      <c r="V645" s="1">
        <f t="shared" si="139"/>
        <v>38.4</v>
      </c>
      <c r="W645" s="10" t="str">
        <f t="shared" si="140"/>
        <v>Low</v>
      </c>
      <c r="X645" s="1" t="s">
        <v>38</v>
      </c>
      <c r="Y645" s="1" t="str">
        <f t="shared" si="141"/>
        <v>No</v>
      </c>
      <c r="Z645" s="14">
        <v>6</v>
      </c>
      <c r="AA645" s="18">
        <f t="shared" si="142"/>
        <v>6</v>
      </c>
      <c r="AB645" s="18" t="str">
        <f t="shared" si="143"/>
        <v>No</v>
      </c>
      <c r="AC645" s="9" t="s">
        <v>2561</v>
      </c>
      <c r="AD645">
        <f>IF(AC645="",0,LEN(AC645)-LEN(SUBSTITUTE(AC645,",",""))+1)</f>
        <v>2</v>
      </c>
    </row>
    <row r="646" spans="1:30" ht="12.5" x14ac:dyDescent="0.25">
      <c r="A646" s="1" t="s">
        <v>2562</v>
      </c>
      <c r="B646" s="1" t="s">
        <v>2563</v>
      </c>
      <c r="C646" s="1" t="str">
        <v>Colton Patel</v>
      </c>
      <c r="D646" s="1" t="s">
        <v>2564</v>
      </c>
      <c r="E646" s="1" t="str">
        <v>carol30@hotmail.com</v>
      </c>
      <c r="F646" t="str">
        <f t="shared" si="132"/>
        <v>Valid</v>
      </c>
      <c r="G646" s="1" t="s">
        <v>27</v>
      </c>
      <c r="H646" s="1" t="str">
        <f t="shared" si="133"/>
        <v>Male</v>
      </c>
      <c r="I646" s="1" t="s">
        <v>156</v>
      </c>
      <c r="J646" t="str">
        <f t="shared" si="134"/>
        <v>IN</v>
      </c>
      <c r="K646" s="14">
        <v>38</v>
      </c>
      <c r="L646" s="1">
        <f t="shared" si="135"/>
        <v>38</v>
      </c>
      <c r="M646" s="1" t="str">
        <f t="shared" si="136"/>
        <v>Mid Career</v>
      </c>
      <c r="N646" s="9">
        <v>44759</v>
      </c>
      <c r="O646" s="1" t="s">
        <v>146</v>
      </c>
      <c r="P646" s="1" t="s">
        <v>147</v>
      </c>
      <c r="Q646" s="4">
        <v>76</v>
      </c>
      <c r="R646" s="13">
        <f t="shared" si="137"/>
        <v>76</v>
      </c>
      <c r="S646" s="6">
        <f t="shared" si="131"/>
        <v>0.76</v>
      </c>
      <c r="T646" s="1" t="s">
        <v>21</v>
      </c>
      <c r="U646" s="1">
        <f t="shared" si="138"/>
        <v>1.5</v>
      </c>
      <c r="V646" s="1">
        <f t="shared" si="139"/>
        <v>53.65</v>
      </c>
      <c r="W646" s="10" t="str">
        <f t="shared" si="140"/>
        <v>Medium</v>
      </c>
      <c r="X646" s="1" t="s">
        <v>38</v>
      </c>
      <c r="Y646" s="1" t="str">
        <f t="shared" si="141"/>
        <v>No</v>
      </c>
      <c r="Z646" s="14">
        <v>4</v>
      </c>
      <c r="AA646" s="18">
        <f t="shared" si="142"/>
        <v>4</v>
      </c>
      <c r="AB646" s="18" t="str">
        <f t="shared" si="143"/>
        <v>No</v>
      </c>
      <c r="AC646" s="9" t="s">
        <v>2565</v>
      </c>
      <c r="AD646">
        <f>IF(AC646="",0,LEN(AC646)-LEN(SUBSTITUTE(AC646,",",""))+1)</f>
        <v>1</v>
      </c>
    </row>
    <row r="647" spans="1:30" ht="12.5" x14ac:dyDescent="0.25">
      <c r="A647" s="1" t="s">
        <v>2566</v>
      </c>
      <c r="B647" s="1" t="s">
        <v>2567</v>
      </c>
      <c r="C647" s="1" t="str">
        <v>Erin Brown</v>
      </c>
      <c r="D647" s="1" t="s">
        <v>2568</v>
      </c>
      <c r="E647" s="1" t="str">
        <v>melissaschmitt@yahoo.com</v>
      </c>
      <c r="F647" t="str">
        <f t="shared" si="132"/>
        <v>Valid</v>
      </c>
      <c r="G647" s="1" t="s">
        <v>43</v>
      </c>
      <c r="H647" s="1" t="str">
        <f t="shared" si="133"/>
        <v>Female</v>
      </c>
      <c r="I647" s="1" t="s">
        <v>89</v>
      </c>
      <c r="J647" t="str">
        <f t="shared" si="134"/>
        <v>GERMANY</v>
      </c>
      <c r="L647" s="1">
        <f t="shared" si="135"/>
        <v>19</v>
      </c>
      <c r="M647" s="1" t="str">
        <f t="shared" si="136"/>
        <v>Student</v>
      </c>
      <c r="N647" s="2">
        <v>45422</v>
      </c>
      <c r="O647" s="1" t="s">
        <v>36</v>
      </c>
      <c r="P647" s="1" t="s">
        <v>37</v>
      </c>
      <c r="Q647" s="4">
        <v>0.31</v>
      </c>
      <c r="R647" s="13">
        <f t="shared" si="137"/>
        <v>31</v>
      </c>
      <c r="S647" s="6">
        <f t="shared" si="131"/>
        <v>0.31</v>
      </c>
      <c r="T647" s="1" t="s">
        <v>46</v>
      </c>
      <c r="U647" s="1">
        <f t="shared" si="138"/>
        <v>1</v>
      </c>
      <c r="V647" s="1">
        <f t="shared" si="139"/>
        <v>22</v>
      </c>
      <c r="W647" s="10" t="str">
        <f t="shared" si="140"/>
        <v>Low</v>
      </c>
      <c r="X647" s="1" t="s">
        <v>22</v>
      </c>
      <c r="Y647" s="1" t="str">
        <f t="shared" si="141"/>
        <v>No</v>
      </c>
      <c r="Z647" s="14">
        <v>2</v>
      </c>
      <c r="AA647" s="18">
        <f t="shared" si="142"/>
        <v>2</v>
      </c>
      <c r="AB647" s="18" t="str">
        <f t="shared" si="143"/>
        <v>No</v>
      </c>
      <c r="AC647" s="9" t="s">
        <v>2569</v>
      </c>
      <c r="AD647">
        <f>IF(AC647="",0,LEN(AC647)-LEN(SUBSTITUTE(AC647,",",""))+1)</f>
        <v>4</v>
      </c>
    </row>
    <row r="648" spans="1:30" ht="12.5" x14ac:dyDescent="0.25">
      <c r="A648" s="1" t="s">
        <v>2570</v>
      </c>
      <c r="B648" s="1" t="s">
        <v>2571</v>
      </c>
      <c r="C648" s="1" t="str">
        <v>Lisa Jackson</v>
      </c>
      <c r="D648" s="1" t="s">
        <v>2572</v>
      </c>
      <c r="E648" s="1" t="str">
        <v>victor72@yahoo.com</v>
      </c>
      <c r="F648" t="str">
        <f t="shared" si="132"/>
        <v>Valid</v>
      </c>
      <c r="G648" s="1" t="s">
        <v>43</v>
      </c>
      <c r="H648" s="1" t="str">
        <f t="shared" si="133"/>
        <v>Female</v>
      </c>
      <c r="I648" s="1" t="s">
        <v>51</v>
      </c>
      <c r="J648" t="str">
        <f t="shared" si="134"/>
        <v>UK</v>
      </c>
      <c r="K648" s="14">
        <v>20</v>
      </c>
      <c r="L648" s="1">
        <f t="shared" si="135"/>
        <v>20</v>
      </c>
      <c r="M648" s="1" t="str">
        <f t="shared" si="136"/>
        <v>Student</v>
      </c>
      <c r="N648" s="9">
        <v>44983</v>
      </c>
      <c r="O648" s="1" t="s">
        <v>114</v>
      </c>
      <c r="P648" s="1" t="s">
        <v>59</v>
      </c>
      <c r="Q648" s="4">
        <v>8</v>
      </c>
      <c r="R648" s="13">
        <f t="shared" si="137"/>
        <v>8</v>
      </c>
      <c r="S648" s="6">
        <f t="shared" si="131"/>
        <v>0.08</v>
      </c>
      <c r="T648" s="1">
        <v>1.5</v>
      </c>
      <c r="U648" s="1">
        <f t="shared" si="138"/>
        <v>1.5</v>
      </c>
      <c r="V648" s="1">
        <f t="shared" si="139"/>
        <v>6.05</v>
      </c>
      <c r="W648" s="10" t="str">
        <f t="shared" si="140"/>
        <v>Low</v>
      </c>
      <c r="X648" s="1" t="s">
        <v>22</v>
      </c>
      <c r="Y648" s="1" t="str">
        <f t="shared" si="141"/>
        <v>No</v>
      </c>
      <c r="Z648" s="14">
        <v>2</v>
      </c>
      <c r="AA648" s="18">
        <f t="shared" si="142"/>
        <v>2</v>
      </c>
      <c r="AB648" s="18" t="str">
        <f t="shared" si="143"/>
        <v>No</v>
      </c>
      <c r="AC648" s="9" t="s">
        <v>2573</v>
      </c>
      <c r="AD648">
        <f>IF(AC648="",0,LEN(AC648)-LEN(SUBSTITUTE(AC648,",",""))+1)</f>
        <v>1</v>
      </c>
    </row>
    <row r="649" spans="1:30" ht="12.5" x14ac:dyDescent="0.25">
      <c r="A649" s="1" t="s">
        <v>2574</v>
      </c>
      <c r="B649" s="1" t="s">
        <v>2575</v>
      </c>
      <c r="C649" s="1" t="str">
        <v>Kara Perkins</v>
      </c>
      <c r="D649" s="1" t="s">
        <v>2576</v>
      </c>
      <c r="E649" s="1" t="str">
        <v>jeffreyharris@foster.biz</v>
      </c>
      <c r="F649" t="str">
        <f t="shared" si="132"/>
        <v>Valid</v>
      </c>
      <c r="G649" s="1" t="s">
        <v>109</v>
      </c>
      <c r="H649" s="1" t="str">
        <f t="shared" si="133"/>
        <v>Male</v>
      </c>
      <c r="I649" s="1" t="s">
        <v>89</v>
      </c>
      <c r="J649" t="str">
        <f t="shared" si="134"/>
        <v>GERMANY</v>
      </c>
      <c r="L649" s="1">
        <f t="shared" si="135"/>
        <v>19</v>
      </c>
      <c r="M649" s="1" t="str">
        <f t="shared" si="136"/>
        <v>Student</v>
      </c>
      <c r="N649" s="2">
        <v>45149</v>
      </c>
      <c r="O649" s="1" t="s">
        <v>146</v>
      </c>
      <c r="P649" s="1" t="s">
        <v>147</v>
      </c>
      <c r="Q649" s="4">
        <v>39</v>
      </c>
      <c r="R649" s="13">
        <f t="shared" si="137"/>
        <v>39</v>
      </c>
      <c r="S649" s="6">
        <f t="shared" si="131"/>
        <v>0.39</v>
      </c>
      <c r="T649" s="1" t="s">
        <v>64</v>
      </c>
      <c r="U649" s="1">
        <f t="shared" si="138"/>
        <v>2</v>
      </c>
      <c r="V649" s="1">
        <f t="shared" si="139"/>
        <v>27.9</v>
      </c>
      <c r="W649" s="10" t="str">
        <f t="shared" si="140"/>
        <v>Low</v>
      </c>
      <c r="X649" s="1">
        <v>0</v>
      </c>
      <c r="Y649" s="1" t="str">
        <f t="shared" si="141"/>
        <v>No</v>
      </c>
      <c r="Z649" s="14">
        <v>2</v>
      </c>
      <c r="AA649" s="18">
        <f t="shared" si="142"/>
        <v>2</v>
      </c>
      <c r="AB649" s="18" t="str">
        <f t="shared" si="143"/>
        <v>No</v>
      </c>
      <c r="AC649" s="9" t="s">
        <v>2577</v>
      </c>
      <c r="AD649">
        <f>IF(AC649="",0,LEN(AC649)-LEN(SUBSTITUTE(AC649,",",""))+1)</f>
        <v>2</v>
      </c>
    </row>
    <row r="650" spans="1:30" ht="12.5" x14ac:dyDescent="0.25">
      <c r="A650" s="1" t="s">
        <v>2578</v>
      </c>
      <c r="B650" s="1" t="s">
        <v>2579</v>
      </c>
      <c r="C650" s="1" t="str">
        <v>Joshua Taylor</v>
      </c>
      <c r="D650" s="1" t="s">
        <v>2580</v>
      </c>
      <c r="E650" s="1" t="str">
        <v>sean53@williams.info</v>
      </c>
      <c r="F650" t="str">
        <f t="shared" si="132"/>
        <v>Valid</v>
      </c>
      <c r="G650" s="1" t="s">
        <v>88</v>
      </c>
      <c r="H650" s="1" t="str">
        <f t="shared" si="133"/>
        <v>Male</v>
      </c>
      <c r="I650" s="1" t="s">
        <v>96</v>
      </c>
      <c r="J650" t="str">
        <f t="shared" si="134"/>
        <v>INDIA</v>
      </c>
      <c r="K650" s="14">
        <v>0</v>
      </c>
      <c r="L650" s="1">
        <f t="shared" si="135"/>
        <v>19</v>
      </c>
      <c r="M650" s="1" t="str">
        <f t="shared" si="136"/>
        <v>Student</v>
      </c>
      <c r="N650" s="9">
        <v>45243</v>
      </c>
      <c r="O650" s="1" t="s">
        <v>170</v>
      </c>
      <c r="P650" s="1" t="s">
        <v>147</v>
      </c>
      <c r="Q650" s="4">
        <v>46</v>
      </c>
      <c r="R650" s="13">
        <f t="shared" si="137"/>
        <v>46</v>
      </c>
      <c r="S650" s="6">
        <f t="shared" si="131"/>
        <v>0.46</v>
      </c>
      <c r="T650" s="1">
        <v>1.5</v>
      </c>
      <c r="U650" s="1">
        <f t="shared" si="138"/>
        <v>1.5</v>
      </c>
      <c r="V650" s="1">
        <f t="shared" si="139"/>
        <v>32.65</v>
      </c>
      <c r="W650" s="10" t="str">
        <f t="shared" si="140"/>
        <v>Low</v>
      </c>
      <c r="X650" s="1" t="s">
        <v>22</v>
      </c>
      <c r="Y650" s="1" t="str">
        <f t="shared" si="141"/>
        <v>No</v>
      </c>
      <c r="Z650" s="14">
        <v>4</v>
      </c>
      <c r="AA650" s="18">
        <f t="shared" si="142"/>
        <v>4</v>
      </c>
      <c r="AB650" s="18" t="str">
        <f t="shared" si="143"/>
        <v>No</v>
      </c>
      <c r="AC650" s="9" t="s">
        <v>2581</v>
      </c>
      <c r="AD650">
        <f>IF(AC650="",0,LEN(AC650)-LEN(SUBSTITUTE(AC650,",",""))+1)</f>
        <v>8</v>
      </c>
    </row>
    <row r="651" spans="1:30" ht="12.5" x14ac:dyDescent="0.25">
      <c r="A651" s="1" t="s">
        <v>2582</v>
      </c>
      <c r="B651" s="1" t="s">
        <v>2583</v>
      </c>
      <c r="C651" s="1" t="str">
        <v>Mr. Alexander Alexander Iii</v>
      </c>
      <c r="D651" s="1" t="s">
        <v>2584</v>
      </c>
      <c r="E651" s="1" t="str">
        <v>rachel48@payne.com</v>
      </c>
      <c r="F651" t="str">
        <f t="shared" si="132"/>
        <v>Valid</v>
      </c>
      <c r="G651" s="1" t="s">
        <v>109</v>
      </c>
      <c r="H651" s="1" t="str">
        <f t="shared" si="133"/>
        <v>Male</v>
      </c>
      <c r="I651" s="1" t="s">
        <v>44</v>
      </c>
      <c r="J651" t="str">
        <f t="shared" si="134"/>
        <v>CANADA</v>
      </c>
      <c r="L651" s="1">
        <f t="shared" si="135"/>
        <v>19</v>
      </c>
      <c r="M651" s="1" t="str">
        <f t="shared" si="136"/>
        <v>Student</v>
      </c>
      <c r="N651" s="2">
        <v>45326</v>
      </c>
      <c r="O651" s="1" t="s">
        <v>158</v>
      </c>
      <c r="P651" s="1" t="s">
        <v>59</v>
      </c>
      <c r="Q651" s="4">
        <v>97</v>
      </c>
      <c r="R651" s="13">
        <f t="shared" si="137"/>
        <v>97</v>
      </c>
      <c r="S651" s="6">
        <f t="shared" si="131"/>
        <v>0.97</v>
      </c>
      <c r="T651" s="1" t="s">
        <v>64</v>
      </c>
      <c r="U651" s="1">
        <f t="shared" si="138"/>
        <v>2</v>
      </c>
      <c r="V651" s="1">
        <f t="shared" si="139"/>
        <v>68.499999999999986</v>
      </c>
      <c r="W651" s="10" t="str">
        <f t="shared" si="140"/>
        <v>Medium</v>
      </c>
      <c r="X651" s="1" t="s">
        <v>32</v>
      </c>
      <c r="Y651" s="1" t="str">
        <f t="shared" si="141"/>
        <v>Yes</v>
      </c>
      <c r="Z651" s="14">
        <v>3</v>
      </c>
      <c r="AA651" s="18">
        <f t="shared" si="142"/>
        <v>3</v>
      </c>
      <c r="AB651" s="18" t="str">
        <f t="shared" si="143"/>
        <v>No</v>
      </c>
      <c r="AC651" s="9" t="s">
        <v>2585</v>
      </c>
      <c r="AD651">
        <f>IF(AC651="",0,LEN(AC651)-LEN(SUBSTITUTE(AC651,",",""))+1)</f>
        <v>7</v>
      </c>
    </row>
    <row r="652" spans="1:30" ht="12.5" x14ac:dyDescent="0.25">
      <c r="A652" s="1" t="s">
        <v>2586</v>
      </c>
      <c r="B652" s="1" t="s">
        <v>2587</v>
      </c>
      <c r="C652" s="1" t="str">
        <v>Felicia Leonard</v>
      </c>
      <c r="D652" s="1" t="s">
        <v>2588</v>
      </c>
      <c r="E652" s="1" t="str">
        <v>julie43@hotmail.com</v>
      </c>
      <c r="F652" t="str">
        <f t="shared" si="132"/>
        <v>Valid</v>
      </c>
      <c r="G652" s="1" t="s">
        <v>95</v>
      </c>
      <c r="H652" s="1" t="str">
        <f t="shared" si="133"/>
        <v>Male</v>
      </c>
      <c r="I652" s="1" t="s">
        <v>28</v>
      </c>
      <c r="J652" t="str">
        <f t="shared" si="134"/>
        <v>INDIA</v>
      </c>
      <c r="K652" s="14">
        <v>0</v>
      </c>
      <c r="L652" s="1">
        <f t="shared" si="135"/>
        <v>19</v>
      </c>
      <c r="M652" s="1" t="str">
        <f t="shared" si="136"/>
        <v>Student</v>
      </c>
      <c r="N652" s="2">
        <v>44721</v>
      </c>
      <c r="O652" s="1" t="s">
        <v>114</v>
      </c>
      <c r="P652" s="1" t="s">
        <v>59</v>
      </c>
      <c r="Q652" s="4">
        <v>0.91</v>
      </c>
      <c r="R652" s="13">
        <f t="shared" si="137"/>
        <v>91</v>
      </c>
      <c r="S652" s="6">
        <f t="shared" si="131"/>
        <v>0.91</v>
      </c>
      <c r="T652" s="1">
        <v>1.5</v>
      </c>
      <c r="U652" s="1">
        <f t="shared" si="138"/>
        <v>1.5</v>
      </c>
      <c r="V652" s="1">
        <f t="shared" si="139"/>
        <v>64.149999999999991</v>
      </c>
      <c r="W652" s="10" t="str">
        <f t="shared" si="140"/>
        <v>Medium</v>
      </c>
      <c r="X652" s="1" t="s">
        <v>32</v>
      </c>
      <c r="Y652" s="1" t="str">
        <f t="shared" si="141"/>
        <v>Yes</v>
      </c>
      <c r="Z652" s="14">
        <v>4</v>
      </c>
      <c r="AA652" s="18">
        <f t="shared" si="142"/>
        <v>4</v>
      </c>
      <c r="AB652" s="18" t="str">
        <f t="shared" si="143"/>
        <v>High Performer</v>
      </c>
      <c r="AC652" s="9" t="s">
        <v>2589</v>
      </c>
      <c r="AD652">
        <f>IF(AC652="",0,LEN(AC652)-LEN(SUBSTITUTE(AC652,",",""))+1)</f>
        <v>8</v>
      </c>
    </row>
    <row r="653" spans="1:30" ht="12.5" x14ac:dyDescent="0.25">
      <c r="A653" s="1" t="s">
        <v>2590</v>
      </c>
      <c r="B653" s="1" t="s">
        <v>2591</v>
      </c>
      <c r="C653" s="1" t="str">
        <v>Nancy Gaines</v>
      </c>
      <c r="D653" s="1" t="s">
        <v>2592</v>
      </c>
      <c r="E653" s="1" t="str">
        <v>juan56@underwood-todd.com</v>
      </c>
      <c r="F653" t="str">
        <f t="shared" si="132"/>
        <v>Valid</v>
      </c>
      <c r="G653" s="1" t="s">
        <v>17</v>
      </c>
      <c r="H653" s="1" t="str">
        <f t="shared" si="133"/>
        <v>Female</v>
      </c>
      <c r="I653" s="1" t="s">
        <v>18</v>
      </c>
      <c r="J653" t="str">
        <f t="shared" si="134"/>
        <v>US</v>
      </c>
      <c r="K653" s="14">
        <v>19</v>
      </c>
      <c r="L653" s="1">
        <f t="shared" si="135"/>
        <v>19</v>
      </c>
      <c r="M653" s="1" t="str">
        <f t="shared" si="136"/>
        <v>Student</v>
      </c>
      <c r="N653" s="9">
        <v>45596</v>
      </c>
      <c r="O653" s="1" t="s">
        <v>58</v>
      </c>
      <c r="P653" s="1" t="s">
        <v>59</v>
      </c>
      <c r="Q653" s="4">
        <v>47</v>
      </c>
      <c r="R653" s="13">
        <f t="shared" si="137"/>
        <v>47</v>
      </c>
      <c r="S653" s="6">
        <f t="shared" si="131"/>
        <v>0.47</v>
      </c>
      <c r="T653" s="1" t="s">
        <v>64</v>
      </c>
      <c r="U653" s="1">
        <f t="shared" si="138"/>
        <v>2</v>
      </c>
      <c r="V653" s="1">
        <f t="shared" si="139"/>
        <v>33.5</v>
      </c>
      <c r="W653" s="10" t="str">
        <f t="shared" si="140"/>
        <v>Low</v>
      </c>
      <c r="X653" s="1">
        <v>1</v>
      </c>
      <c r="Y653" s="1" t="str">
        <f t="shared" si="141"/>
        <v>Yes</v>
      </c>
      <c r="Z653" s="14">
        <v>4</v>
      </c>
      <c r="AA653" s="18">
        <f t="shared" si="142"/>
        <v>4</v>
      </c>
      <c r="AB653" s="18" t="str">
        <f t="shared" si="143"/>
        <v>High Performer</v>
      </c>
      <c r="AC653" s="9" t="s">
        <v>2593</v>
      </c>
      <c r="AD653">
        <f>IF(AC653="",0,LEN(AC653)-LEN(SUBSTITUTE(AC653,",",""))+1)</f>
        <v>7</v>
      </c>
    </row>
    <row r="654" spans="1:30" ht="12.5" x14ac:dyDescent="0.25">
      <c r="A654" s="1" t="s">
        <v>2594</v>
      </c>
      <c r="B654" s="1" t="s">
        <v>2595</v>
      </c>
      <c r="C654" s="1" t="str">
        <v>Sharon Perez</v>
      </c>
      <c r="D654" s="1" t="s">
        <v>2596</v>
      </c>
      <c r="E654" s="1" t="str">
        <v>lhall@todd.com</v>
      </c>
      <c r="F654" t="str">
        <f t="shared" si="132"/>
        <v>Valid</v>
      </c>
      <c r="G654" s="1" t="s">
        <v>57</v>
      </c>
      <c r="H654" s="1" t="str">
        <f t="shared" si="133"/>
        <v>Female</v>
      </c>
      <c r="I654" s="1" t="s">
        <v>28</v>
      </c>
      <c r="J654" t="str">
        <f t="shared" si="134"/>
        <v>INDIA</v>
      </c>
      <c r="L654" s="1">
        <f t="shared" si="135"/>
        <v>19</v>
      </c>
      <c r="M654" s="1" t="str">
        <f t="shared" si="136"/>
        <v>Student</v>
      </c>
      <c r="N654" s="2">
        <v>45539</v>
      </c>
      <c r="O654" s="1" t="s">
        <v>235</v>
      </c>
      <c r="P654" s="1" t="s">
        <v>147</v>
      </c>
      <c r="Q654" s="4">
        <v>96</v>
      </c>
      <c r="R654" s="13">
        <f t="shared" si="137"/>
        <v>96</v>
      </c>
      <c r="S654" s="6">
        <f t="shared" si="131"/>
        <v>0.96</v>
      </c>
      <c r="T654" s="1">
        <v>2</v>
      </c>
      <c r="U654" s="1">
        <f t="shared" si="138"/>
        <v>2</v>
      </c>
      <c r="V654" s="1">
        <f t="shared" si="139"/>
        <v>67.799999999999983</v>
      </c>
      <c r="W654" s="10" t="str">
        <f t="shared" si="140"/>
        <v>Medium</v>
      </c>
      <c r="X654" s="1">
        <v>0</v>
      </c>
      <c r="Y654" s="1" t="str">
        <f t="shared" si="141"/>
        <v>No</v>
      </c>
      <c r="AA654" s="18" t="str">
        <f t="shared" si="142"/>
        <v>Invalid</v>
      </c>
      <c r="AB654" s="18" t="str">
        <f t="shared" si="143"/>
        <v>No</v>
      </c>
      <c r="AC654" s="9" t="s">
        <v>2597</v>
      </c>
      <c r="AD654">
        <f>IF(AC654="",0,LEN(AC654)-LEN(SUBSTITUTE(AC654,",",""))+1)</f>
        <v>7</v>
      </c>
    </row>
    <row r="655" spans="1:30" ht="12.5" x14ac:dyDescent="0.25">
      <c r="A655" s="1" t="s">
        <v>2598</v>
      </c>
      <c r="B655" s="1" t="s">
        <v>2599</v>
      </c>
      <c r="C655" s="1" t="str">
        <v>Jennifer Gonzales</v>
      </c>
      <c r="D655" s="1" t="s">
        <v>127</v>
      </c>
      <c r="E655" s="1" t="str">
        <v>invalid-email</v>
      </c>
      <c r="F655" t="str">
        <f t="shared" si="132"/>
        <v>Invalid</v>
      </c>
      <c r="G655" s="1" t="s">
        <v>109</v>
      </c>
      <c r="H655" s="1" t="str">
        <f t="shared" si="133"/>
        <v>Male</v>
      </c>
      <c r="I655" s="1" t="s">
        <v>44</v>
      </c>
      <c r="J655" t="str">
        <f t="shared" si="134"/>
        <v>CANADA</v>
      </c>
      <c r="L655" s="1">
        <f t="shared" si="135"/>
        <v>19</v>
      </c>
      <c r="M655" s="1" t="str">
        <f t="shared" si="136"/>
        <v>Student</v>
      </c>
      <c r="N655" s="2">
        <v>45085</v>
      </c>
      <c r="O655" s="1" t="s">
        <v>235</v>
      </c>
      <c r="P655" s="1" t="s">
        <v>147</v>
      </c>
      <c r="Q655" s="4">
        <v>46</v>
      </c>
      <c r="R655" s="13">
        <f t="shared" si="137"/>
        <v>46</v>
      </c>
      <c r="S655" s="6">
        <f t="shared" si="131"/>
        <v>0.46</v>
      </c>
      <c r="T655" s="1">
        <v>1.5</v>
      </c>
      <c r="U655" s="1">
        <f t="shared" si="138"/>
        <v>1.5</v>
      </c>
      <c r="V655" s="1">
        <f t="shared" si="139"/>
        <v>32.65</v>
      </c>
      <c r="W655" s="10" t="str">
        <f t="shared" si="140"/>
        <v>Low</v>
      </c>
      <c r="X655" s="1" t="s">
        <v>22</v>
      </c>
      <c r="Y655" s="1" t="str">
        <f t="shared" si="141"/>
        <v>No</v>
      </c>
      <c r="AA655" s="18" t="str">
        <f t="shared" si="142"/>
        <v>Invalid</v>
      </c>
      <c r="AB655" s="18" t="str">
        <f t="shared" si="143"/>
        <v>No</v>
      </c>
      <c r="AC655" s="9" t="s">
        <v>2600</v>
      </c>
      <c r="AD655">
        <f>IF(AC655="",0,LEN(AC655)-LEN(SUBSTITUTE(AC655,",",""))+1)</f>
        <v>8</v>
      </c>
    </row>
    <row r="656" spans="1:30" ht="12.5" x14ac:dyDescent="0.25">
      <c r="A656" s="1" t="s">
        <v>2601</v>
      </c>
      <c r="B656" s="1" t="s">
        <v>2602</v>
      </c>
      <c r="C656" s="1" t="str">
        <v>Elizabeth Rojas</v>
      </c>
      <c r="D656" s="1" t="s">
        <v>2603</v>
      </c>
      <c r="E656" s="1" t="str">
        <v>matthew66@hotmail.com</v>
      </c>
      <c r="F656" t="str">
        <f t="shared" si="132"/>
        <v>Valid</v>
      </c>
      <c r="G656" s="1" t="s">
        <v>17</v>
      </c>
      <c r="H656" s="1" t="str">
        <f t="shared" si="133"/>
        <v>Female</v>
      </c>
      <c r="I656" s="1" t="s">
        <v>96</v>
      </c>
      <c r="J656" t="str">
        <f t="shared" si="134"/>
        <v>INDIA</v>
      </c>
      <c r="L656" s="1">
        <f t="shared" si="135"/>
        <v>19</v>
      </c>
      <c r="M656" s="1" t="str">
        <f t="shared" si="136"/>
        <v>Student</v>
      </c>
      <c r="N656" s="9">
        <v>45525</v>
      </c>
      <c r="O656" s="1" t="s">
        <v>36</v>
      </c>
      <c r="P656" s="1" t="s">
        <v>37</v>
      </c>
      <c r="Q656" s="4">
        <v>0.11</v>
      </c>
      <c r="R656" s="13">
        <f t="shared" si="137"/>
        <v>11</v>
      </c>
      <c r="S656" s="6">
        <f t="shared" si="131"/>
        <v>0.11</v>
      </c>
      <c r="T656" s="1">
        <v>1.5</v>
      </c>
      <c r="U656" s="1">
        <f t="shared" si="138"/>
        <v>1.5</v>
      </c>
      <c r="V656" s="1">
        <f t="shared" si="139"/>
        <v>8.1499999999999986</v>
      </c>
      <c r="W656" s="10" t="str">
        <f t="shared" si="140"/>
        <v>Low</v>
      </c>
      <c r="X656" s="1" t="s">
        <v>38</v>
      </c>
      <c r="Y656" s="1" t="str">
        <f t="shared" si="141"/>
        <v>No</v>
      </c>
      <c r="AA656" s="18" t="str">
        <f t="shared" si="142"/>
        <v>Invalid</v>
      </c>
      <c r="AB656" s="18" t="str">
        <f t="shared" si="143"/>
        <v>No</v>
      </c>
      <c r="AC656" s="9" t="s">
        <v>2604</v>
      </c>
      <c r="AD656">
        <f>IF(AC656="",0,LEN(AC656)-LEN(SUBSTITUTE(AC656,",",""))+1)</f>
        <v>3</v>
      </c>
    </row>
    <row r="657" spans="1:30" ht="12.5" x14ac:dyDescent="0.25">
      <c r="A657" s="1" t="s">
        <v>2605</v>
      </c>
      <c r="B657" s="1" t="s">
        <v>2606</v>
      </c>
      <c r="C657" s="1" t="str">
        <v>Kevin Bradley</v>
      </c>
      <c r="D657" s="1" t="s">
        <v>2607</v>
      </c>
      <c r="E657" s="1" t="str">
        <v>ericcisneros@carroll-lloyd.org</v>
      </c>
      <c r="F657" t="str">
        <f t="shared" si="132"/>
        <v>Valid</v>
      </c>
      <c r="G657" s="1" t="s">
        <v>17</v>
      </c>
      <c r="H657" s="1" t="str">
        <f t="shared" si="133"/>
        <v>Female</v>
      </c>
      <c r="I657" s="1" t="s">
        <v>74</v>
      </c>
      <c r="J657" t="str">
        <f t="shared" si="134"/>
        <v>USA</v>
      </c>
      <c r="K657" s="14">
        <v>0</v>
      </c>
      <c r="L657" s="1">
        <f t="shared" si="135"/>
        <v>19</v>
      </c>
      <c r="M657" s="1" t="str">
        <f t="shared" si="136"/>
        <v>Student</v>
      </c>
      <c r="N657" s="9">
        <v>45284</v>
      </c>
      <c r="O657" s="1" t="s">
        <v>75</v>
      </c>
      <c r="P657" s="1" t="s">
        <v>37</v>
      </c>
      <c r="Q657" s="4">
        <v>84</v>
      </c>
      <c r="R657" s="13">
        <f t="shared" si="137"/>
        <v>84</v>
      </c>
      <c r="S657" s="6">
        <f t="shared" si="131"/>
        <v>0.84</v>
      </c>
      <c r="T657" s="1">
        <v>45</v>
      </c>
      <c r="U657" s="1">
        <f t="shared" si="138"/>
        <v>45</v>
      </c>
      <c r="V657" s="1">
        <f t="shared" si="139"/>
        <v>72.3</v>
      </c>
      <c r="W657" s="10" t="str">
        <f t="shared" si="140"/>
        <v>High</v>
      </c>
      <c r="X657" s="1" t="s">
        <v>32</v>
      </c>
      <c r="Y657" s="1" t="str">
        <f t="shared" si="141"/>
        <v>Yes</v>
      </c>
      <c r="Z657" s="14">
        <v>4</v>
      </c>
      <c r="AA657" s="18">
        <f t="shared" si="142"/>
        <v>4</v>
      </c>
      <c r="AB657" s="18" t="str">
        <f t="shared" si="143"/>
        <v>High Performer</v>
      </c>
      <c r="AC657" s="9" t="s">
        <v>2608</v>
      </c>
      <c r="AD657">
        <f>IF(AC657="",0,LEN(AC657)-LEN(SUBSTITUTE(AC657,",",""))+1)</f>
        <v>5</v>
      </c>
    </row>
    <row r="658" spans="1:30" ht="12.5" x14ac:dyDescent="0.25">
      <c r="A658" s="1" t="s">
        <v>2609</v>
      </c>
      <c r="B658" s="1" t="s">
        <v>2610</v>
      </c>
      <c r="C658" s="1" t="str">
        <v>James Ferguson</v>
      </c>
      <c r="D658" s="1" t="s">
        <v>2611</v>
      </c>
      <c r="E658" s="1" t="str">
        <v>krodriguez@fowler-torres.com</v>
      </c>
      <c r="F658" t="str">
        <f t="shared" si="132"/>
        <v>Valid</v>
      </c>
      <c r="G658" s="1" t="s">
        <v>95</v>
      </c>
      <c r="H658" s="1" t="str">
        <f t="shared" si="133"/>
        <v>Male</v>
      </c>
      <c r="I658" s="1" t="s">
        <v>74</v>
      </c>
      <c r="J658" t="str">
        <f t="shared" si="134"/>
        <v>USA</v>
      </c>
      <c r="K658" s="14">
        <v>0</v>
      </c>
      <c r="L658" s="1">
        <f t="shared" si="135"/>
        <v>19</v>
      </c>
      <c r="M658" s="1" t="str">
        <f t="shared" si="136"/>
        <v>Student</v>
      </c>
      <c r="N658" s="9">
        <v>45549</v>
      </c>
      <c r="O658" s="1" t="s">
        <v>170</v>
      </c>
      <c r="P658" s="1" t="s">
        <v>147</v>
      </c>
      <c r="Q658" s="4">
        <v>0.39</v>
      </c>
      <c r="R658" s="13">
        <f t="shared" si="137"/>
        <v>39</v>
      </c>
      <c r="S658" s="6">
        <f t="shared" si="131"/>
        <v>0.39</v>
      </c>
      <c r="T658" s="1" t="s">
        <v>46</v>
      </c>
      <c r="U658" s="1">
        <f t="shared" si="138"/>
        <v>1</v>
      </c>
      <c r="V658" s="1">
        <f t="shared" si="139"/>
        <v>27.599999999999998</v>
      </c>
      <c r="W658" s="10" t="str">
        <f t="shared" si="140"/>
        <v>Low</v>
      </c>
      <c r="X658" s="1" t="s">
        <v>38</v>
      </c>
      <c r="Y658" s="1" t="str">
        <f t="shared" si="141"/>
        <v>No</v>
      </c>
      <c r="Z658" s="14">
        <v>1</v>
      </c>
      <c r="AA658" s="18">
        <f t="shared" si="142"/>
        <v>1</v>
      </c>
      <c r="AB658" s="18" t="str">
        <f t="shared" si="143"/>
        <v>No</v>
      </c>
      <c r="AC658" s="9" t="s">
        <v>2612</v>
      </c>
      <c r="AD658">
        <f>IF(AC658="",0,LEN(AC658)-LEN(SUBSTITUTE(AC658,",",""))+1)</f>
        <v>4</v>
      </c>
    </row>
    <row r="659" spans="1:30" ht="12.5" x14ac:dyDescent="0.25">
      <c r="A659" s="1" t="s">
        <v>2613</v>
      </c>
      <c r="B659" s="1" t="s">
        <v>2614</v>
      </c>
      <c r="C659" s="1" t="str">
        <v>Lindsey Johnson</v>
      </c>
      <c r="D659" s="1" t="s">
        <v>2615</v>
      </c>
      <c r="E659" s="1" t="str">
        <v>pruittpaul@hall.net</v>
      </c>
      <c r="F659" t="str">
        <f t="shared" si="132"/>
        <v>Valid</v>
      </c>
      <c r="G659" s="1" t="s">
        <v>17</v>
      </c>
      <c r="H659" s="1" t="str">
        <f t="shared" si="133"/>
        <v>Female</v>
      </c>
      <c r="I659" s="1" t="s">
        <v>136</v>
      </c>
      <c r="J659" t="str">
        <f t="shared" si="134"/>
        <v>UK</v>
      </c>
      <c r="K659" s="14">
        <v>36</v>
      </c>
      <c r="L659" s="1">
        <f t="shared" si="135"/>
        <v>36</v>
      </c>
      <c r="M659" s="1" t="str">
        <f t="shared" si="136"/>
        <v>Mid Career</v>
      </c>
      <c r="N659" s="9">
        <v>44820</v>
      </c>
      <c r="O659" s="1" t="s">
        <v>75</v>
      </c>
      <c r="P659" s="1" t="s">
        <v>37</v>
      </c>
      <c r="Q659" s="4">
        <v>0.23</v>
      </c>
      <c r="R659" s="13">
        <f t="shared" si="137"/>
        <v>23</v>
      </c>
      <c r="S659" s="6">
        <f t="shared" si="131"/>
        <v>0.23</v>
      </c>
      <c r="T659" s="1" t="s">
        <v>21</v>
      </c>
      <c r="U659" s="1">
        <f t="shared" si="138"/>
        <v>1.5</v>
      </c>
      <c r="V659" s="1">
        <f t="shared" si="139"/>
        <v>16.549999999999997</v>
      </c>
      <c r="W659" s="10" t="str">
        <f t="shared" si="140"/>
        <v>Low</v>
      </c>
      <c r="X659" s="1" t="s">
        <v>76</v>
      </c>
      <c r="Y659" s="1" t="str">
        <f t="shared" si="141"/>
        <v>Yes</v>
      </c>
      <c r="AA659" s="18" t="str">
        <f t="shared" si="142"/>
        <v>Invalid</v>
      </c>
      <c r="AB659" s="18" t="str">
        <f t="shared" si="143"/>
        <v>High Performer</v>
      </c>
      <c r="AC659" s="9" t="s">
        <v>2616</v>
      </c>
      <c r="AD659">
        <f>IF(AC659="",0,LEN(AC659)-LEN(SUBSTITUTE(AC659,",",""))+1)</f>
        <v>7</v>
      </c>
    </row>
    <row r="660" spans="1:30" ht="12.5" x14ac:dyDescent="0.25">
      <c r="A660" s="1" t="s">
        <v>2617</v>
      </c>
      <c r="B660" s="1" t="s">
        <v>2618</v>
      </c>
      <c r="C660" s="1" t="str">
        <v>Gabriel Browning</v>
      </c>
      <c r="D660" s="1" t="s">
        <v>2619</v>
      </c>
      <c r="E660" s="1" t="str">
        <v>veronicaanderson@yahoo.com</v>
      </c>
      <c r="F660" t="str">
        <f t="shared" si="132"/>
        <v>Valid</v>
      </c>
      <c r="G660" s="1" t="s">
        <v>27</v>
      </c>
      <c r="H660" s="1" t="str">
        <f t="shared" si="133"/>
        <v>Male</v>
      </c>
      <c r="I660" s="1" t="s">
        <v>74</v>
      </c>
      <c r="J660" t="str">
        <f t="shared" si="134"/>
        <v>USA</v>
      </c>
      <c r="K660" s="14">
        <v>30</v>
      </c>
      <c r="L660" s="1">
        <f t="shared" si="135"/>
        <v>30</v>
      </c>
      <c r="M660" s="1" t="str">
        <f t="shared" si="136"/>
        <v>Early Career</v>
      </c>
      <c r="N660" s="9">
        <v>44766</v>
      </c>
      <c r="O660" s="1" t="s">
        <v>235</v>
      </c>
      <c r="P660" s="1" t="s">
        <v>147</v>
      </c>
      <c r="Q660" s="4">
        <v>0.79</v>
      </c>
      <c r="R660" s="13">
        <f t="shared" si="137"/>
        <v>79</v>
      </c>
      <c r="S660" s="6">
        <f t="shared" si="131"/>
        <v>0.79</v>
      </c>
      <c r="T660" s="1" t="s">
        <v>64</v>
      </c>
      <c r="U660" s="1">
        <f t="shared" si="138"/>
        <v>2</v>
      </c>
      <c r="V660" s="1">
        <f t="shared" si="139"/>
        <v>55.9</v>
      </c>
      <c r="W660" s="10" t="str">
        <f t="shared" si="140"/>
        <v>Medium</v>
      </c>
      <c r="X660" s="1" t="s">
        <v>32</v>
      </c>
      <c r="Y660" s="1" t="str">
        <f t="shared" si="141"/>
        <v>Yes</v>
      </c>
      <c r="Z660" s="14">
        <v>1</v>
      </c>
      <c r="AA660" s="18">
        <f t="shared" si="142"/>
        <v>1</v>
      </c>
      <c r="AB660" s="18" t="str">
        <f t="shared" si="143"/>
        <v>No</v>
      </c>
      <c r="AC660" s="9" t="s">
        <v>2620</v>
      </c>
      <c r="AD660">
        <f>IF(AC660="",0,LEN(AC660)-LEN(SUBSTITUTE(AC660,",",""))+1)</f>
        <v>5</v>
      </c>
    </row>
    <row r="661" spans="1:30" ht="12.5" x14ac:dyDescent="0.25">
      <c r="A661" s="1" t="s">
        <v>2621</v>
      </c>
      <c r="B661" s="1" t="s">
        <v>2622</v>
      </c>
      <c r="C661" s="1" t="str">
        <v>Christine Harrell</v>
      </c>
      <c r="D661" s="1" t="s">
        <v>2623</v>
      </c>
      <c r="E661" s="1" t="str">
        <v>qmeyers@yahoo.com</v>
      </c>
      <c r="F661" t="str">
        <f t="shared" si="132"/>
        <v>Valid</v>
      </c>
      <c r="G661" s="1" t="s">
        <v>95</v>
      </c>
      <c r="H661" s="1" t="str">
        <f t="shared" si="133"/>
        <v>Male</v>
      </c>
      <c r="I661" s="1" t="s">
        <v>28</v>
      </c>
      <c r="J661" t="str">
        <f t="shared" si="134"/>
        <v>INDIA</v>
      </c>
      <c r="K661" s="14">
        <v>21</v>
      </c>
      <c r="L661" s="1">
        <f t="shared" si="135"/>
        <v>21</v>
      </c>
      <c r="M661" s="1" t="str">
        <f t="shared" si="136"/>
        <v>Student</v>
      </c>
      <c r="N661" s="9">
        <v>45400</v>
      </c>
      <c r="O661" s="1" t="s">
        <v>45</v>
      </c>
      <c r="P661" s="1" t="s">
        <v>20</v>
      </c>
      <c r="Q661" s="4">
        <v>0.97</v>
      </c>
      <c r="R661" s="13">
        <f t="shared" si="137"/>
        <v>97</v>
      </c>
      <c r="S661" s="6">
        <f t="shared" si="131"/>
        <v>0.97</v>
      </c>
      <c r="T661" s="1" t="s">
        <v>64</v>
      </c>
      <c r="U661" s="1">
        <f t="shared" si="138"/>
        <v>2</v>
      </c>
      <c r="V661" s="1">
        <f t="shared" si="139"/>
        <v>68.499999999999986</v>
      </c>
      <c r="W661" s="10" t="str">
        <f t="shared" si="140"/>
        <v>Medium</v>
      </c>
      <c r="X661" s="1" t="s">
        <v>76</v>
      </c>
      <c r="Y661" s="1" t="str">
        <f t="shared" si="141"/>
        <v>Yes</v>
      </c>
      <c r="Z661" s="14">
        <v>1</v>
      </c>
      <c r="AA661" s="18">
        <f t="shared" si="142"/>
        <v>1</v>
      </c>
      <c r="AB661" s="18" t="str">
        <f t="shared" si="143"/>
        <v>No</v>
      </c>
      <c r="AC661" s="9" t="s">
        <v>2624</v>
      </c>
      <c r="AD661">
        <f>IF(AC661="",0,LEN(AC661)-LEN(SUBSTITUTE(AC661,",",""))+1)</f>
        <v>4</v>
      </c>
    </row>
    <row r="662" spans="1:30" ht="12.5" x14ac:dyDescent="0.25">
      <c r="A662" s="1" t="s">
        <v>2625</v>
      </c>
      <c r="B662" s="1" t="s">
        <v>2626</v>
      </c>
      <c r="C662" s="1" t="str">
        <v>Kathryn Cohen</v>
      </c>
      <c r="D662" s="1" t="s">
        <v>2627</v>
      </c>
      <c r="E662" s="1" t="str">
        <v>adrianthomas@gmail.com</v>
      </c>
      <c r="F662" t="str">
        <f t="shared" si="132"/>
        <v>Valid</v>
      </c>
      <c r="G662" s="1" t="s">
        <v>57</v>
      </c>
      <c r="H662" s="1" t="str">
        <f t="shared" si="133"/>
        <v>Female</v>
      </c>
      <c r="I662" s="1" t="s">
        <v>156</v>
      </c>
      <c r="J662" t="str">
        <f t="shared" si="134"/>
        <v>IN</v>
      </c>
      <c r="K662" s="14">
        <v>44</v>
      </c>
      <c r="L662" s="1">
        <f t="shared" si="135"/>
        <v>44</v>
      </c>
      <c r="M662" s="1" t="str">
        <f t="shared" si="136"/>
        <v>Senior</v>
      </c>
      <c r="N662" s="2">
        <v>44816</v>
      </c>
      <c r="O662" s="1" t="s">
        <v>114</v>
      </c>
      <c r="P662" s="1" t="s">
        <v>59</v>
      </c>
      <c r="Q662" s="4">
        <v>0.43</v>
      </c>
      <c r="R662" s="13">
        <f t="shared" si="137"/>
        <v>43</v>
      </c>
      <c r="S662" s="6">
        <f t="shared" si="131"/>
        <v>0.43</v>
      </c>
      <c r="T662" s="1" t="s">
        <v>64</v>
      </c>
      <c r="U662" s="1">
        <f t="shared" si="138"/>
        <v>2</v>
      </c>
      <c r="V662" s="1">
        <f t="shared" si="139"/>
        <v>30.7</v>
      </c>
      <c r="W662" s="10" t="str">
        <f t="shared" si="140"/>
        <v>Low</v>
      </c>
      <c r="X662" s="1">
        <v>0</v>
      </c>
      <c r="Y662" s="1" t="str">
        <f t="shared" si="141"/>
        <v>No</v>
      </c>
      <c r="Z662" s="14">
        <v>5</v>
      </c>
      <c r="AA662" s="18">
        <f t="shared" si="142"/>
        <v>5</v>
      </c>
      <c r="AB662" s="18" t="str">
        <f t="shared" si="143"/>
        <v>No</v>
      </c>
      <c r="AC662" s="9" t="s">
        <v>2628</v>
      </c>
      <c r="AD662">
        <f>IF(AC662="",0,LEN(AC662)-LEN(SUBSTITUTE(AC662,",",""))+1)</f>
        <v>5</v>
      </c>
    </row>
    <row r="663" spans="1:30" ht="12.5" x14ac:dyDescent="0.25">
      <c r="A663" s="1" t="s">
        <v>2629</v>
      </c>
      <c r="B663" s="1" t="s">
        <v>2630</v>
      </c>
      <c r="C663" s="1" t="str">
        <v>Keith Henry</v>
      </c>
      <c r="D663" s="1" t="s">
        <v>2631</v>
      </c>
      <c r="E663" s="1" t="str">
        <v>mclaughlinkeith@yahoo.com</v>
      </c>
      <c r="F663" t="str">
        <f t="shared" si="132"/>
        <v>Valid</v>
      </c>
      <c r="G663" s="1" t="s">
        <v>109</v>
      </c>
      <c r="H663" s="1" t="str">
        <f t="shared" si="133"/>
        <v>Male</v>
      </c>
      <c r="I663" s="1" t="s">
        <v>28</v>
      </c>
      <c r="J663" t="str">
        <f t="shared" si="134"/>
        <v>INDIA</v>
      </c>
      <c r="K663" s="14">
        <v>37</v>
      </c>
      <c r="L663" s="1">
        <f t="shared" si="135"/>
        <v>37</v>
      </c>
      <c r="M663" s="1" t="str">
        <f t="shared" si="136"/>
        <v>Mid Career</v>
      </c>
      <c r="N663" s="9">
        <v>45278</v>
      </c>
      <c r="O663" s="1" t="s">
        <v>58</v>
      </c>
      <c r="P663" s="1" t="s">
        <v>59</v>
      </c>
      <c r="Q663" s="4">
        <v>12</v>
      </c>
      <c r="R663" s="13">
        <f t="shared" si="137"/>
        <v>12</v>
      </c>
      <c r="S663" s="6">
        <f t="shared" si="131"/>
        <v>0.12</v>
      </c>
      <c r="T663" s="1">
        <v>2</v>
      </c>
      <c r="U663" s="1">
        <f t="shared" si="138"/>
        <v>2</v>
      </c>
      <c r="V663" s="1">
        <f t="shared" si="139"/>
        <v>8.9999999999999982</v>
      </c>
      <c r="W663" s="10" t="str">
        <f t="shared" si="140"/>
        <v>Low</v>
      </c>
      <c r="X663" s="1" t="s">
        <v>32</v>
      </c>
      <c r="Y663" s="1" t="str">
        <f t="shared" si="141"/>
        <v>Yes</v>
      </c>
      <c r="Z663" s="14">
        <v>1</v>
      </c>
      <c r="AA663" s="18">
        <f t="shared" si="142"/>
        <v>1</v>
      </c>
      <c r="AB663" s="18" t="str">
        <f t="shared" si="143"/>
        <v>No</v>
      </c>
      <c r="AC663" s="9" t="s">
        <v>2632</v>
      </c>
      <c r="AD663">
        <f>IF(AC663="",0,LEN(AC663)-LEN(SUBSTITUTE(AC663,",",""))+1)</f>
        <v>1</v>
      </c>
    </row>
    <row r="664" spans="1:30" ht="12.5" x14ac:dyDescent="0.25">
      <c r="A664" s="1" t="s">
        <v>2633</v>
      </c>
      <c r="B664" s="1" t="s">
        <v>2634</v>
      </c>
      <c r="C664" s="1" t="str">
        <v>Louis Patrick</v>
      </c>
      <c r="D664" s="1" t="s">
        <v>2635</v>
      </c>
      <c r="E664" s="1" t="str">
        <v>nwright@reynolds.org</v>
      </c>
      <c r="F664" t="str">
        <f t="shared" si="132"/>
        <v>Valid</v>
      </c>
      <c r="G664" s="1" t="s">
        <v>57</v>
      </c>
      <c r="H664" s="1" t="str">
        <f t="shared" si="133"/>
        <v>Female</v>
      </c>
      <c r="I664" s="1" t="s">
        <v>28</v>
      </c>
      <c r="J664" t="str">
        <f t="shared" si="134"/>
        <v>INDIA</v>
      </c>
      <c r="L664" s="1">
        <f t="shared" si="135"/>
        <v>19</v>
      </c>
      <c r="M664" s="1" t="str">
        <f t="shared" si="136"/>
        <v>Student</v>
      </c>
      <c r="N664" s="9">
        <v>45196</v>
      </c>
      <c r="O664" s="1" t="s">
        <v>170</v>
      </c>
      <c r="P664" s="1" t="s">
        <v>147</v>
      </c>
      <c r="Q664" s="4">
        <v>0.6</v>
      </c>
      <c r="R664" s="13">
        <f t="shared" si="137"/>
        <v>60</v>
      </c>
      <c r="S664" s="6">
        <f t="shared" si="131"/>
        <v>0.6</v>
      </c>
      <c r="T664" s="1">
        <v>45</v>
      </c>
      <c r="U664" s="1">
        <f t="shared" si="138"/>
        <v>45</v>
      </c>
      <c r="V664" s="1">
        <f t="shared" si="139"/>
        <v>55.5</v>
      </c>
      <c r="W664" s="10" t="str">
        <f t="shared" si="140"/>
        <v>Medium</v>
      </c>
      <c r="X664" s="1">
        <v>0</v>
      </c>
      <c r="Y664" s="1" t="str">
        <f t="shared" si="141"/>
        <v>No</v>
      </c>
      <c r="Z664" s="14">
        <v>5</v>
      </c>
      <c r="AA664" s="18">
        <f t="shared" si="142"/>
        <v>5</v>
      </c>
      <c r="AB664" s="18" t="str">
        <f t="shared" si="143"/>
        <v>No</v>
      </c>
      <c r="AC664" s="9" t="s">
        <v>2636</v>
      </c>
      <c r="AD664">
        <f>IF(AC664="",0,LEN(AC664)-LEN(SUBSTITUTE(AC664,",",""))+1)</f>
        <v>8</v>
      </c>
    </row>
    <row r="665" spans="1:30" ht="12.5" x14ac:dyDescent="0.25">
      <c r="A665" s="1" t="s">
        <v>2637</v>
      </c>
      <c r="B665" s="1" t="s">
        <v>2638</v>
      </c>
      <c r="C665" s="1" t="str">
        <v>Seth Hill</v>
      </c>
      <c r="D665" s="1" t="s">
        <v>2639</v>
      </c>
      <c r="E665" s="1" t="str">
        <v>wolfejennifer@gmail.com</v>
      </c>
      <c r="F665" t="str">
        <f t="shared" si="132"/>
        <v>Valid</v>
      </c>
      <c r="G665" s="1" t="s">
        <v>88</v>
      </c>
      <c r="H665" s="1" t="str">
        <f t="shared" si="133"/>
        <v>Male</v>
      </c>
      <c r="I665" s="1" t="s">
        <v>136</v>
      </c>
      <c r="J665" t="str">
        <f t="shared" si="134"/>
        <v>UK</v>
      </c>
      <c r="K665" s="14">
        <v>0</v>
      </c>
      <c r="L665" s="1">
        <f t="shared" si="135"/>
        <v>19</v>
      </c>
      <c r="M665" s="1" t="str">
        <f t="shared" si="136"/>
        <v>Student</v>
      </c>
      <c r="N665" s="2">
        <v>44601</v>
      </c>
      <c r="O665" s="1" t="s">
        <v>75</v>
      </c>
      <c r="P665" s="1" t="s">
        <v>37</v>
      </c>
      <c r="Q665" s="4">
        <v>0.51</v>
      </c>
      <c r="R665" s="13">
        <f t="shared" si="137"/>
        <v>51</v>
      </c>
      <c r="S665" s="6">
        <f t="shared" si="131"/>
        <v>0.51</v>
      </c>
      <c r="T665" s="1" t="s">
        <v>21</v>
      </c>
      <c r="U665" s="1">
        <f t="shared" si="138"/>
        <v>1.5</v>
      </c>
      <c r="V665" s="1">
        <f t="shared" si="139"/>
        <v>36.15</v>
      </c>
      <c r="W665" s="10" t="str">
        <f t="shared" si="140"/>
        <v>Low</v>
      </c>
      <c r="X665" s="1">
        <v>0</v>
      </c>
      <c r="Y665" s="1" t="str">
        <f t="shared" si="141"/>
        <v>No</v>
      </c>
      <c r="AA665" s="18" t="str">
        <f t="shared" si="142"/>
        <v>Invalid</v>
      </c>
      <c r="AB665" s="18" t="str">
        <f t="shared" si="143"/>
        <v>No</v>
      </c>
      <c r="AC665" s="9" t="s">
        <v>2640</v>
      </c>
      <c r="AD665">
        <f>IF(AC665="",0,LEN(AC665)-LEN(SUBSTITUTE(AC665,",",""))+1)</f>
        <v>8</v>
      </c>
    </row>
    <row r="666" spans="1:30" ht="12.5" x14ac:dyDescent="0.25">
      <c r="A666" s="1" t="s">
        <v>2641</v>
      </c>
      <c r="B666" s="1" t="s">
        <v>2642</v>
      </c>
      <c r="C666" s="1" t="str">
        <v>Jacob Campos</v>
      </c>
      <c r="D666" s="1" t="s">
        <v>2643</v>
      </c>
      <c r="E666" s="1" t="str">
        <v>qhayes@gmail.com</v>
      </c>
      <c r="F666" t="str">
        <f t="shared" si="132"/>
        <v>Valid</v>
      </c>
      <c r="G666" s="1" t="s">
        <v>95</v>
      </c>
      <c r="H666" s="1" t="str">
        <f t="shared" si="133"/>
        <v>Male</v>
      </c>
      <c r="I666" s="1" t="s">
        <v>51</v>
      </c>
      <c r="J666" t="str">
        <f t="shared" si="134"/>
        <v>UK</v>
      </c>
      <c r="K666" s="14">
        <v>33</v>
      </c>
      <c r="L666" s="1">
        <f t="shared" si="135"/>
        <v>33</v>
      </c>
      <c r="M666" s="1" t="str">
        <f t="shared" si="136"/>
        <v>Mid Career</v>
      </c>
      <c r="N666" s="2">
        <v>45631</v>
      </c>
      <c r="O666" s="1" t="s">
        <v>58</v>
      </c>
      <c r="P666" s="1" t="s">
        <v>59</v>
      </c>
      <c r="Q666" s="4">
        <v>0.66</v>
      </c>
      <c r="R666" s="13">
        <f t="shared" si="137"/>
        <v>66</v>
      </c>
      <c r="S666" s="6">
        <f t="shared" si="131"/>
        <v>0.66</v>
      </c>
      <c r="T666" s="1" t="s">
        <v>46</v>
      </c>
      <c r="U666" s="1">
        <f t="shared" si="138"/>
        <v>1</v>
      </c>
      <c r="V666" s="1">
        <f t="shared" si="139"/>
        <v>46.499999999999993</v>
      </c>
      <c r="W666" s="10" t="str">
        <f t="shared" si="140"/>
        <v>Medium</v>
      </c>
      <c r="X666" s="1">
        <v>0</v>
      </c>
      <c r="Y666" s="1" t="str">
        <f t="shared" si="141"/>
        <v>No</v>
      </c>
      <c r="Z666" s="14">
        <v>5</v>
      </c>
      <c r="AA666" s="18">
        <f t="shared" si="142"/>
        <v>5</v>
      </c>
      <c r="AB666" s="18" t="str">
        <f t="shared" si="143"/>
        <v>No</v>
      </c>
      <c r="AC666" s="9" t="s">
        <v>2644</v>
      </c>
      <c r="AD666">
        <f>IF(AC666="",0,LEN(AC666)-LEN(SUBSTITUTE(AC666,",",""))+1)</f>
        <v>4</v>
      </c>
    </row>
    <row r="667" spans="1:30" ht="12.5" x14ac:dyDescent="0.25">
      <c r="A667" s="1" t="s">
        <v>2645</v>
      </c>
      <c r="B667" s="1" t="s">
        <v>2646</v>
      </c>
      <c r="C667" s="1" t="str">
        <v>Megan Murray</v>
      </c>
      <c r="D667" s="1" t="s">
        <v>2647</v>
      </c>
      <c r="E667" s="1" t="str">
        <v>zfoley@gmail.com</v>
      </c>
      <c r="F667" t="str">
        <f t="shared" si="132"/>
        <v>Valid</v>
      </c>
      <c r="G667" s="1" t="s">
        <v>109</v>
      </c>
      <c r="H667" s="1" t="str">
        <f t="shared" si="133"/>
        <v>Male</v>
      </c>
      <c r="I667" s="1" t="s">
        <v>74</v>
      </c>
      <c r="J667" t="str">
        <f t="shared" si="134"/>
        <v>USA</v>
      </c>
      <c r="L667" s="1">
        <f t="shared" si="135"/>
        <v>19</v>
      </c>
      <c r="M667" s="1" t="str">
        <f t="shared" si="136"/>
        <v>Student</v>
      </c>
      <c r="N667" s="2">
        <v>45297</v>
      </c>
      <c r="O667" s="1" t="s">
        <v>69</v>
      </c>
      <c r="P667" s="1" t="s">
        <v>31</v>
      </c>
      <c r="Q667" s="4">
        <v>61</v>
      </c>
      <c r="R667" s="13">
        <f t="shared" si="137"/>
        <v>61</v>
      </c>
      <c r="S667" s="6">
        <f t="shared" si="131"/>
        <v>0.61</v>
      </c>
      <c r="T667" s="1" t="s">
        <v>64</v>
      </c>
      <c r="U667" s="1">
        <f t="shared" si="138"/>
        <v>2</v>
      </c>
      <c r="V667" s="1">
        <f t="shared" si="139"/>
        <v>43.3</v>
      </c>
      <c r="W667" s="10" t="str">
        <f t="shared" si="140"/>
        <v>Medium</v>
      </c>
      <c r="X667" s="1" t="s">
        <v>76</v>
      </c>
      <c r="Y667" s="1" t="str">
        <f t="shared" si="141"/>
        <v>Yes</v>
      </c>
      <c r="AA667" s="18" t="str">
        <f t="shared" si="142"/>
        <v>Invalid</v>
      </c>
      <c r="AB667" s="18" t="str">
        <f t="shared" si="143"/>
        <v>High Performer</v>
      </c>
      <c r="AC667" s="9" t="s">
        <v>2648</v>
      </c>
      <c r="AD667">
        <f>IF(AC667="",0,LEN(AC667)-LEN(SUBSTITUTE(AC667,",",""))+1)</f>
        <v>3</v>
      </c>
    </row>
    <row r="668" spans="1:30" ht="12.5" x14ac:dyDescent="0.25">
      <c r="A668" s="1" t="s">
        <v>2649</v>
      </c>
      <c r="B668" s="1" t="s">
        <v>2650</v>
      </c>
      <c r="C668" s="1" t="str">
        <v>Michael Marshall</v>
      </c>
      <c r="D668" s="1" t="s">
        <v>2651</v>
      </c>
      <c r="E668" s="1" t="str">
        <v>millerdiane@hotmail.com</v>
      </c>
      <c r="F668" t="str">
        <f t="shared" si="132"/>
        <v>Valid</v>
      </c>
      <c r="G668" s="1" t="s">
        <v>17</v>
      </c>
      <c r="H668" s="1" t="str">
        <f t="shared" si="133"/>
        <v>Female</v>
      </c>
      <c r="I668" s="1" t="s">
        <v>51</v>
      </c>
      <c r="J668" t="str">
        <f t="shared" si="134"/>
        <v>UK</v>
      </c>
      <c r="K668" s="14">
        <v>0</v>
      </c>
      <c r="L668" s="1">
        <f t="shared" si="135"/>
        <v>19</v>
      </c>
      <c r="M668" s="1" t="str">
        <f t="shared" si="136"/>
        <v>Student</v>
      </c>
      <c r="N668" s="9">
        <v>44674</v>
      </c>
      <c r="O668" s="1" t="s">
        <v>170</v>
      </c>
      <c r="P668" s="1" t="s">
        <v>147</v>
      </c>
      <c r="Q668" s="4">
        <v>0.32</v>
      </c>
      <c r="R668" s="13">
        <f t="shared" si="137"/>
        <v>32</v>
      </c>
      <c r="S668" s="6">
        <f t="shared" si="131"/>
        <v>0.32</v>
      </c>
      <c r="T668" s="1">
        <v>2</v>
      </c>
      <c r="U668" s="1">
        <f t="shared" si="138"/>
        <v>2</v>
      </c>
      <c r="V668" s="1">
        <f t="shared" si="139"/>
        <v>23</v>
      </c>
      <c r="W668" s="10" t="str">
        <f t="shared" si="140"/>
        <v>Low</v>
      </c>
      <c r="X668" s="1" t="s">
        <v>76</v>
      </c>
      <c r="Y668" s="1" t="str">
        <f t="shared" si="141"/>
        <v>Yes</v>
      </c>
      <c r="AA668" s="18" t="str">
        <f t="shared" si="142"/>
        <v>Invalid</v>
      </c>
      <c r="AB668" s="18" t="str">
        <f t="shared" si="143"/>
        <v>High Performer</v>
      </c>
      <c r="AC668" s="9" t="s">
        <v>2652</v>
      </c>
      <c r="AD668">
        <f>IF(AC668="",0,LEN(AC668)-LEN(SUBSTITUTE(AC668,",",""))+1)</f>
        <v>7</v>
      </c>
    </row>
    <row r="669" spans="1:30" ht="12.5" x14ac:dyDescent="0.25">
      <c r="A669" s="1" t="s">
        <v>2653</v>
      </c>
      <c r="B669" s="1" t="s">
        <v>2654</v>
      </c>
      <c r="C669" s="1" t="str">
        <v>Carolyn Smith</v>
      </c>
      <c r="D669" s="1" t="s">
        <v>2655</v>
      </c>
      <c r="E669" s="1" t="str">
        <v>kellynichols@jackson-powers.com</v>
      </c>
      <c r="F669" t="str">
        <f t="shared" si="132"/>
        <v>Valid</v>
      </c>
      <c r="G669" s="1" t="s">
        <v>88</v>
      </c>
      <c r="H669" s="1" t="str">
        <f t="shared" si="133"/>
        <v>Male</v>
      </c>
      <c r="I669" s="1" t="s">
        <v>89</v>
      </c>
      <c r="J669" t="str">
        <f t="shared" si="134"/>
        <v>GERMANY</v>
      </c>
      <c r="L669" s="1">
        <f t="shared" si="135"/>
        <v>19</v>
      </c>
      <c r="M669" s="1" t="str">
        <f t="shared" si="136"/>
        <v>Student</v>
      </c>
      <c r="N669" s="9">
        <v>45337</v>
      </c>
      <c r="O669" s="1" t="s">
        <v>36</v>
      </c>
      <c r="P669" s="1" t="s">
        <v>37</v>
      </c>
      <c r="Q669" s="4">
        <v>0.91</v>
      </c>
      <c r="R669" s="13">
        <f t="shared" si="137"/>
        <v>91</v>
      </c>
      <c r="S669" s="6">
        <f t="shared" si="131"/>
        <v>0.91</v>
      </c>
      <c r="T669" s="1" t="s">
        <v>46</v>
      </c>
      <c r="U669" s="1">
        <f t="shared" si="138"/>
        <v>1</v>
      </c>
      <c r="V669" s="1">
        <f t="shared" si="139"/>
        <v>63.999999999999993</v>
      </c>
      <c r="W669" s="10" t="str">
        <f t="shared" si="140"/>
        <v>Medium</v>
      </c>
      <c r="X669" s="1" t="s">
        <v>76</v>
      </c>
      <c r="Y669" s="1" t="str">
        <f t="shared" si="141"/>
        <v>Yes</v>
      </c>
      <c r="AA669" s="18" t="str">
        <f t="shared" si="142"/>
        <v>Invalid</v>
      </c>
      <c r="AB669" s="18" t="str">
        <f t="shared" si="143"/>
        <v>High Performer</v>
      </c>
      <c r="AC669" s="9" t="s">
        <v>2656</v>
      </c>
      <c r="AD669">
        <f>IF(AC669="",0,LEN(AC669)-LEN(SUBSTITUTE(AC669,",",""))+1)</f>
        <v>2</v>
      </c>
    </row>
    <row r="670" spans="1:30" ht="12.5" x14ac:dyDescent="0.25">
      <c r="A670" s="1" t="s">
        <v>2657</v>
      </c>
      <c r="B670" s="1" t="s">
        <v>2658</v>
      </c>
      <c r="C670" s="1" t="str">
        <v>Miguel Stafford</v>
      </c>
      <c r="D670" s="1" t="s">
        <v>2659</v>
      </c>
      <c r="E670" s="1" t="str">
        <v>ohorton@davidson.biz</v>
      </c>
      <c r="F670" t="str">
        <f t="shared" si="132"/>
        <v>Valid</v>
      </c>
      <c r="G670" s="1" t="s">
        <v>109</v>
      </c>
      <c r="H670" s="1" t="str">
        <f t="shared" si="133"/>
        <v>Male</v>
      </c>
      <c r="I670" s="1" t="s">
        <v>156</v>
      </c>
      <c r="J670" t="str">
        <f t="shared" si="134"/>
        <v>IN</v>
      </c>
      <c r="K670" s="14">
        <v>0</v>
      </c>
      <c r="L670" s="1">
        <f t="shared" si="135"/>
        <v>19</v>
      </c>
      <c r="M670" s="1" t="str">
        <f t="shared" si="136"/>
        <v>Student</v>
      </c>
      <c r="N670" s="9">
        <v>45710</v>
      </c>
      <c r="O670" s="1" t="s">
        <v>19</v>
      </c>
      <c r="P670" s="1" t="s">
        <v>20</v>
      </c>
      <c r="Q670" s="4">
        <v>0.24</v>
      </c>
      <c r="R670" s="13">
        <f t="shared" si="137"/>
        <v>24</v>
      </c>
      <c r="S670" s="6">
        <f t="shared" si="131"/>
        <v>0.24</v>
      </c>
      <c r="T670" s="1" t="s">
        <v>46</v>
      </c>
      <c r="U670" s="1">
        <f t="shared" si="138"/>
        <v>1</v>
      </c>
      <c r="V670" s="1">
        <f t="shared" si="139"/>
        <v>17.099999999999998</v>
      </c>
      <c r="W670" s="10" t="str">
        <f t="shared" si="140"/>
        <v>Low</v>
      </c>
      <c r="X670" s="1" t="s">
        <v>32</v>
      </c>
      <c r="Y670" s="1" t="str">
        <f t="shared" si="141"/>
        <v>Yes</v>
      </c>
      <c r="AA670" s="18" t="str">
        <f t="shared" si="142"/>
        <v>Invalid</v>
      </c>
      <c r="AB670" s="18" t="str">
        <f t="shared" si="143"/>
        <v>High Performer</v>
      </c>
      <c r="AC670" s="9" t="s">
        <v>2660</v>
      </c>
      <c r="AD670">
        <f>IF(AC670="",0,LEN(AC670)-LEN(SUBSTITUTE(AC670,",",""))+1)</f>
        <v>6</v>
      </c>
    </row>
    <row r="671" spans="1:30" ht="12.5" x14ac:dyDescent="0.25">
      <c r="A671" s="1" t="s">
        <v>2661</v>
      </c>
      <c r="B671" s="1" t="s">
        <v>2662</v>
      </c>
      <c r="C671" s="1" t="str">
        <v>Raymond Wang</v>
      </c>
      <c r="D671" s="1" t="s">
        <v>2663</v>
      </c>
      <c r="E671" s="1" t="str">
        <v>regina31@fisher.com</v>
      </c>
      <c r="F671" t="str">
        <f t="shared" si="132"/>
        <v>Valid</v>
      </c>
      <c r="G671" s="1" t="s">
        <v>109</v>
      </c>
      <c r="H671" s="1" t="str">
        <f t="shared" si="133"/>
        <v>Male</v>
      </c>
      <c r="I671" s="1" t="s">
        <v>96</v>
      </c>
      <c r="J671" t="str">
        <f t="shared" si="134"/>
        <v>INDIA</v>
      </c>
      <c r="K671" s="14">
        <v>0</v>
      </c>
      <c r="L671" s="1">
        <f t="shared" si="135"/>
        <v>19</v>
      </c>
      <c r="M671" s="1" t="str">
        <f t="shared" si="136"/>
        <v>Student</v>
      </c>
      <c r="N671" s="9">
        <v>45730</v>
      </c>
      <c r="O671" s="1" t="s">
        <v>45</v>
      </c>
      <c r="P671" s="1" t="s">
        <v>20</v>
      </c>
      <c r="Q671" s="4">
        <v>40</v>
      </c>
      <c r="R671" s="13">
        <f t="shared" si="137"/>
        <v>40</v>
      </c>
      <c r="S671" s="6">
        <f t="shared" si="131"/>
        <v>0.4</v>
      </c>
      <c r="T671" s="1" t="s">
        <v>64</v>
      </c>
      <c r="U671" s="1">
        <f t="shared" si="138"/>
        <v>2</v>
      </c>
      <c r="V671" s="1">
        <f t="shared" si="139"/>
        <v>28.6</v>
      </c>
      <c r="W671" s="10" t="str">
        <f t="shared" si="140"/>
        <v>Low</v>
      </c>
      <c r="X671" s="1" t="s">
        <v>76</v>
      </c>
      <c r="Y671" s="1" t="str">
        <f t="shared" si="141"/>
        <v>Yes</v>
      </c>
      <c r="Z671" s="14">
        <v>6</v>
      </c>
      <c r="AA671" s="18">
        <f t="shared" si="142"/>
        <v>6</v>
      </c>
      <c r="AB671" s="18" t="str">
        <f t="shared" si="143"/>
        <v>High Performer</v>
      </c>
      <c r="AC671" s="9" t="s">
        <v>2664</v>
      </c>
      <c r="AD671">
        <f>IF(AC671="",0,LEN(AC671)-LEN(SUBSTITUTE(AC671,",",""))+1)</f>
        <v>4</v>
      </c>
    </row>
    <row r="672" spans="1:30" ht="12.5" x14ac:dyDescent="0.25">
      <c r="A672" s="1" t="s">
        <v>2665</v>
      </c>
      <c r="B672" s="1" t="s">
        <v>2666</v>
      </c>
      <c r="C672" s="1" t="str">
        <v>Anne Conley</v>
      </c>
      <c r="D672" s="1" t="s">
        <v>2667</v>
      </c>
      <c r="E672" s="1" t="str">
        <v>bradleyhunt@morris-sims.org</v>
      </c>
      <c r="F672" t="str">
        <f t="shared" si="132"/>
        <v>Valid</v>
      </c>
      <c r="G672" s="1" t="s">
        <v>109</v>
      </c>
      <c r="H672" s="1" t="str">
        <f t="shared" si="133"/>
        <v>Male</v>
      </c>
      <c r="I672" s="1" t="s">
        <v>44</v>
      </c>
      <c r="J672" t="str">
        <f t="shared" si="134"/>
        <v>CANADA</v>
      </c>
      <c r="K672" s="14">
        <v>0</v>
      </c>
      <c r="L672" s="1">
        <f t="shared" si="135"/>
        <v>19</v>
      </c>
      <c r="M672" s="1" t="str">
        <f t="shared" si="136"/>
        <v>Student</v>
      </c>
      <c r="N672" s="9">
        <v>44956</v>
      </c>
      <c r="O672" s="1" t="s">
        <v>158</v>
      </c>
      <c r="P672" s="1" t="s">
        <v>59</v>
      </c>
      <c r="Q672" s="4">
        <v>0.37</v>
      </c>
      <c r="R672" s="13">
        <f t="shared" si="137"/>
        <v>37</v>
      </c>
      <c r="S672" s="6">
        <f t="shared" si="131"/>
        <v>0.37</v>
      </c>
      <c r="T672" s="1">
        <v>2</v>
      </c>
      <c r="U672" s="1">
        <f t="shared" si="138"/>
        <v>2</v>
      </c>
      <c r="V672" s="1">
        <f t="shared" si="139"/>
        <v>26.5</v>
      </c>
      <c r="W672" s="10" t="str">
        <f t="shared" si="140"/>
        <v>Low</v>
      </c>
      <c r="X672" s="1">
        <v>0</v>
      </c>
      <c r="Y672" s="1" t="str">
        <f t="shared" si="141"/>
        <v>No</v>
      </c>
      <c r="Z672" s="14">
        <v>6</v>
      </c>
      <c r="AA672" s="18">
        <f t="shared" si="142"/>
        <v>6</v>
      </c>
      <c r="AB672" s="18" t="str">
        <f t="shared" si="143"/>
        <v>No</v>
      </c>
      <c r="AC672" s="9" t="s">
        <v>2668</v>
      </c>
      <c r="AD672">
        <f>IF(AC672="",0,LEN(AC672)-LEN(SUBSTITUTE(AC672,",",""))+1)</f>
        <v>8</v>
      </c>
    </row>
    <row r="673" spans="1:30" ht="12.5" x14ac:dyDescent="0.25">
      <c r="A673" s="1" t="s">
        <v>2669</v>
      </c>
      <c r="B673" s="1" t="s">
        <v>2670</v>
      </c>
      <c r="C673" s="1" t="str">
        <v>David Rodriguez</v>
      </c>
      <c r="D673" s="1" t="s">
        <v>2671</v>
      </c>
      <c r="E673" s="1" t="str">
        <v>alexisvaldez@gmail.com</v>
      </c>
      <c r="F673" t="str">
        <f t="shared" si="132"/>
        <v>Valid</v>
      </c>
      <c r="G673" s="1" t="s">
        <v>119</v>
      </c>
      <c r="H673" s="1" t="str">
        <f t="shared" si="133"/>
        <v>Female</v>
      </c>
      <c r="I673" s="1" t="s">
        <v>89</v>
      </c>
      <c r="J673" t="str">
        <f t="shared" si="134"/>
        <v>GERMANY</v>
      </c>
      <c r="L673" s="1">
        <f t="shared" si="135"/>
        <v>19</v>
      </c>
      <c r="M673" s="1" t="str">
        <f t="shared" si="136"/>
        <v>Student</v>
      </c>
      <c r="N673" s="9">
        <v>44979</v>
      </c>
      <c r="O673" s="1" t="s">
        <v>45</v>
      </c>
      <c r="P673" s="1" t="s">
        <v>20</v>
      </c>
      <c r="Q673" s="4">
        <v>0.88</v>
      </c>
      <c r="R673" s="13">
        <f t="shared" si="137"/>
        <v>88</v>
      </c>
      <c r="S673" s="6">
        <f t="shared" si="131"/>
        <v>0.88</v>
      </c>
      <c r="T673" s="1">
        <v>2</v>
      </c>
      <c r="U673" s="1">
        <f t="shared" si="138"/>
        <v>2</v>
      </c>
      <c r="V673" s="1">
        <f t="shared" si="139"/>
        <v>62.199999999999996</v>
      </c>
      <c r="W673" s="10" t="str">
        <f t="shared" si="140"/>
        <v>Medium</v>
      </c>
      <c r="X673" s="1" t="s">
        <v>38</v>
      </c>
      <c r="Y673" s="1" t="str">
        <f t="shared" si="141"/>
        <v>No</v>
      </c>
      <c r="Z673" s="14">
        <v>1</v>
      </c>
      <c r="AA673" s="18">
        <f t="shared" si="142"/>
        <v>1</v>
      </c>
      <c r="AB673" s="18" t="str">
        <f t="shared" si="143"/>
        <v>No</v>
      </c>
      <c r="AC673" s="9" t="s">
        <v>2672</v>
      </c>
      <c r="AD673">
        <f>IF(AC673="",0,LEN(AC673)-LEN(SUBSTITUTE(AC673,",",""))+1)</f>
        <v>6</v>
      </c>
    </row>
    <row r="674" spans="1:30" ht="12.5" x14ac:dyDescent="0.25">
      <c r="A674" s="1" t="s">
        <v>2673</v>
      </c>
      <c r="B674" s="1" t="s">
        <v>2674</v>
      </c>
      <c r="C674" s="1" t="str">
        <v>Diana Hanson</v>
      </c>
      <c r="D674" s="1" t="s">
        <v>2675</v>
      </c>
      <c r="E674" s="1" t="str">
        <v>mcclurerobert@porter.org</v>
      </c>
      <c r="F674" t="str">
        <f t="shared" si="132"/>
        <v>Valid</v>
      </c>
      <c r="G674" s="1" t="s">
        <v>109</v>
      </c>
      <c r="H674" s="1" t="str">
        <f t="shared" si="133"/>
        <v>Male</v>
      </c>
      <c r="I674" s="1" t="s">
        <v>136</v>
      </c>
      <c r="J674" t="str">
        <f t="shared" si="134"/>
        <v>UK</v>
      </c>
      <c r="L674" s="1">
        <f t="shared" si="135"/>
        <v>19</v>
      </c>
      <c r="M674" s="1" t="str">
        <f t="shared" si="136"/>
        <v>Student</v>
      </c>
      <c r="N674" s="2">
        <v>44969</v>
      </c>
      <c r="O674" s="1" t="s">
        <v>301</v>
      </c>
      <c r="P674" s="1" t="s">
        <v>20</v>
      </c>
      <c r="Q674" s="4">
        <v>0.93</v>
      </c>
      <c r="R674" s="13">
        <f t="shared" si="137"/>
        <v>93</v>
      </c>
      <c r="S674" s="6">
        <f t="shared" si="131"/>
        <v>0.93</v>
      </c>
      <c r="T674" s="1" t="s">
        <v>46</v>
      </c>
      <c r="U674" s="1">
        <f t="shared" si="138"/>
        <v>1</v>
      </c>
      <c r="V674" s="1">
        <f t="shared" si="139"/>
        <v>65.399999999999991</v>
      </c>
      <c r="W674" s="10" t="str">
        <f t="shared" si="140"/>
        <v>Medium</v>
      </c>
      <c r="X674" s="1">
        <v>0</v>
      </c>
      <c r="Y674" s="1" t="str">
        <f t="shared" si="141"/>
        <v>No</v>
      </c>
      <c r="Z674" s="14">
        <v>6</v>
      </c>
      <c r="AA674" s="18">
        <f t="shared" si="142"/>
        <v>6</v>
      </c>
      <c r="AB674" s="18" t="str">
        <f t="shared" si="143"/>
        <v>No</v>
      </c>
      <c r="AC674" s="9" t="s">
        <v>2676</v>
      </c>
      <c r="AD674">
        <f>IF(AC674="",0,LEN(AC674)-LEN(SUBSTITUTE(AC674,",",""))+1)</f>
        <v>3</v>
      </c>
    </row>
    <row r="675" spans="1:30" ht="12.5" x14ac:dyDescent="0.25">
      <c r="A675" s="1" t="s">
        <v>2677</v>
      </c>
      <c r="B675" s="1" t="s">
        <v>2678</v>
      </c>
      <c r="C675" s="1" t="str">
        <v>Mark Price</v>
      </c>
      <c r="D675" s="1" t="s">
        <v>2679</v>
      </c>
      <c r="E675" s="1" t="str">
        <v>gregory57@rogers.org</v>
      </c>
      <c r="F675" t="str">
        <f t="shared" si="132"/>
        <v>Valid</v>
      </c>
      <c r="G675" s="1" t="s">
        <v>27</v>
      </c>
      <c r="H675" s="1" t="str">
        <f t="shared" si="133"/>
        <v>Male</v>
      </c>
      <c r="I675" s="1" t="s">
        <v>44</v>
      </c>
      <c r="J675" t="str">
        <f t="shared" si="134"/>
        <v>CANADA</v>
      </c>
      <c r="K675" s="14">
        <v>40</v>
      </c>
      <c r="L675" s="1">
        <f t="shared" si="135"/>
        <v>40</v>
      </c>
      <c r="M675" s="1" t="str">
        <f t="shared" si="136"/>
        <v>Mid Career</v>
      </c>
      <c r="N675" s="9">
        <v>44924</v>
      </c>
      <c r="O675" s="1" t="s">
        <v>235</v>
      </c>
      <c r="P675" s="1" t="s">
        <v>147</v>
      </c>
      <c r="Q675" s="4">
        <v>0.6</v>
      </c>
      <c r="R675" s="13">
        <f t="shared" si="137"/>
        <v>60</v>
      </c>
      <c r="S675" s="6">
        <f t="shared" si="131"/>
        <v>0.6</v>
      </c>
      <c r="T675" s="1">
        <v>2</v>
      </c>
      <c r="U675" s="1">
        <f t="shared" si="138"/>
        <v>2</v>
      </c>
      <c r="V675" s="1">
        <f t="shared" si="139"/>
        <v>42.6</v>
      </c>
      <c r="W675" s="10" t="str">
        <f t="shared" si="140"/>
        <v>Medium</v>
      </c>
      <c r="X675" s="1">
        <v>1</v>
      </c>
      <c r="Y675" s="1" t="str">
        <f t="shared" si="141"/>
        <v>Yes</v>
      </c>
      <c r="Z675" s="14">
        <v>3</v>
      </c>
      <c r="AA675" s="18">
        <f t="shared" si="142"/>
        <v>3</v>
      </c>
      <c r="AB675" s="18" t="str">
        <f t="shared" si="143"/>
        <v>No</v>
      </c>
      <c r="AC675" s="9" t="s">
        <v>2680</v>
      </c>
      <c r="AD675">
        <f>IF(AC675="",0,LEN(AC675)-LEN(SUBSTITUTE(AC675,",",""))+1)</f>
        <v>7</v>
      </c>
    </row>
    <row r="676" spans="1:30" ht="12.5" x14ac:dyDescent="0.25">
      <c r="A676" s="1" t="s">
        <v>2681</v>
      </c>
      <c r="B676" s="1" t="s">
        <v>2682</v>
      </c>
      <c r="C676" s="1" t="str">
        <v>Kevin Mcneil</v>
      </c>
      <c r="D676" s="1" t="s">
        <v>2683</v>
      </c>
      <c r="E676" s="1" t="str">
        <v>jensenpenny@young-patterson.com</v>
      </c>
      <c r="F676" t="str">
        <f t="shared" si="132"/>
        <v>Valid</v>
      </c>
      <c r="G676" s="1" t="s">
        <v>27</v>
      </c>
      <c r="H676" s="1" t="str">
        <f t="shared" si="133"/>
        <v>Male</v>
      </c>
      <c r="I676" s="1" t="s">
        <v>136</v>
      </c>
      <c r="J676" t="str">
        <f t="shared" si="134"/>
        <v>UK</v>
      </c>
      <c r="K676" s="14">
        <v>38</v>
      </c>
      <c r="L676" s="1">
        <f t="shared" si="135"/>
        <v>38</v>
      </c>
      <c r="M676" s="1" t="str">
        <f t="shared" si="136"/>
        <v>Mid Career</v>
      </c>
      <c r="N676" s="2">
        <v>45385</v>
      </c>
      <c r="O676" s="1" t="s">
        <v>158</v>
      </c>
      <c r="P676" s="1" t="s">
        <v>59</v>
      </c>
      <c r="Q676" s="4">
        <v>74</v>
      </c>
      <c r="R676" s="13">
        <f t="shared" si="137"/>
        <v>74</v>
      </c>
      <c r="S676" s="6">
        <f t="shared" si="131"/>
        <v>0.74</v>
      </c>
      <c r="T676" s="1">
        <v>2</v>
      </c>
      <c r="U676" s="1">
        <f t="shared" si="138"/>
        <v>2</v>
      </c>
      <c r="V676" s="1">
        <f t="shared" si="139"/>
        <v>52.4</v>
      </c>
      <c r="W676" s="10" t="str">
        <f t="shared" si="140"/>
        <v>Medium</v>
      </c>
      <c r="X676" s="1" t="s">
        <v>38</v>
      </c>
      <c r="Y676" s="1" t="str">
        <f t="shared" si="141"/>
        <v>No</v>
      </c>
      <c r="Z676" s="14">
        <v>6</v>
      </c>
      <c r="AA676" s="18">
        <f t="shared" si="142"/>
        <v>6</v>
      </c>
      <c r="AB676" s="18" t="str">
        <f t="shared" si="143"/>
        <v>No</v>
      </c>
      <c r="AC676" s="9" t="s">
        <v>2684</v>
      </c>
      <c r="AD676">
        <f>IF(AC676="",0,LEN(AC676)-LEN(SUBSTITUTE(AC676,",",""))+1)</f>
        <v>3</v>
      </c>
    </row>
    <row r="677" spans="1:30" ht="12.5" x14ac:dyDescent="0.25">
      <c r="A677" s="1" t="s">
        <v>2685</v>
      </c>
      <c r="B677" s="1" t="s">
        <v>2686</v>
      </c>
      <c r="C677" s="1" t="str">
        <v>Mr. James May Ii</v>
      </c>
      <c r="D677" s="1" t="s">
        <v>127</v>
      </c>
      <c r="E677" s="1" t="str">
        <v>invalid-email</v>
      </c>
      <c r="F677" t="str">
        <f t="shared" si="132"/>
        <v>Invalid</v>
      </c>
      <c r="G677" s="1" t="s">
        <v>17</v>
      </c>
      <c r="H677" s="1" t="str">
        <f t="shared" si="133"/>
        <v>Female</v>
      </c>
      <c r="I677" s="1" t="s">
        <v>51</v>
      </c>
      <c r="J677" t="str">
        <f t="shared" si="134"/>
        <v>UK</v>
      </c>
      <c r="L677" s="1">
        <f t="shared" si="135"/>
        <v>19</v>
      </c>
      <c r="M677" s="1" t="str">
        <f t="shared" si="136"/>
        <v>Student</v>
      </c>
      <c r="N677" s="9">
        <v>45620</v>
      </c>
      <c r="O677" s="1" t="s">
        <v>58</v>
      </c>
      <c r="P677" s="1" t="s">
        <v>59</v>
      </c>
      <c r="Q677" s="4">
        <v>0.95</v>
      </c>
      <c r="R677" s="13">
        <f t="shared" si="137"/>
        <v>95</v>
      </c>
      <c r="S677" s="6">
        <f t="shared" si="131"/>
        <v>0.95</v>
      </c>
      <c r="T677" s="1" t="s">
        <v>21</v>
      </c>
      <c r="U677" s="1">
        <f t="shared" si="138"/>
        <v>1.5</v>
      </c>
      <c r="V677" s="1">
        <f t="shared" si="139"/>
        <v>66.95</v>
      </c>
      <c r="W677" s="10" t="str">
        <f t="shared" si="140"/>
        <v>Medium</v>
      </c>
      <c r="X677" s="1" t="s">
        <v>22</v>
      </c>
      <c r="Y677" s="1" t="str">
        <f t="shared" si="141"/>
        <v>No</v>
      </c>
      <c r="Z677" s="14">
        <v>2</v>
      </c>
      <c r="AA677" s="18">
        <f t="shared" si="142"/>
        <v>2</v>
      </c>
      <c r="AB677" s="18" t="str">
        <f t="shared" si="143"/>
        <v>No</v>
      </c>
      <c r="AC677" s="9" t="s">
        <v>2687</v>
      </c>
      <c r="AD677">
        <f>IF(AC677="",0,LEN(AC677)-LEN(SUBSTITUTE(AC677,",",""))+1)</f>
        <v>3</v>
      </c>
    </row>
    <row r="678" spans="1:30" ht="12.5" x14ac:dyDescent="0.25">
      <c r="A678" s="1" t="s">
        <v>2688</v>
      </c>
      <c r="B678" s="1" t="s">
        <v>2689</v>
      </c>
      <c r="C678" s="1" t="str">
        <v>Brandy Stewart</v>
      </c>
      <c r="D678" s="1" t="s">
        <v>2690</v>
      </c>
      <c r="E678" s="1" t="str">
        <v>swong@perez.com</v>
      </c>
      <c r="F678" t="str">
        <f t="shared" si="132"/>
        <v>Valid</v>
      </c>
      <c r="G678" s="1" t="s">
        <v>88</v>
      </c>
      <c r="H678" s="1" t="str">
        <f t="shared" si="133"/>
        <v>Male</v>
      </c>
      <c r="I678" s="1" t="s">
        <v>51</v>
      </c>
      <c r="J678" t="str">
        <f t="shared" si="134"/>
        <v>UK</v>
      </c>
      <c r="K678" s="14">
        <v>0</v>
      </c>
      <c r="L678" s="1">
        <f t="shared" si="135"/>
        <v>19</v>
      </c>
      <c r="M678" s="1" t="str">
        <f t="shared" si="136"/>
        <v>Student</v>
      </c>
      <c r="N678" s="9">
        <v>45587</v>
      </c>
      <c r="O678" s="1" t="s">
        <v>19</v>
      </c>
      <c r="P678" s="1" t="s">
        <v>20</v>
      </c>
      <c r="Q678" s="4">
        <v>0.06</v>
      </c>
      <c r="R678" s="13">
        <f t="shared" si="137"/>
        <v>6</v>
      </c>
      <c r="S678" s="6">
        <f t="shared" si="131"/>
        <v>0.06</v>
      </c>
      <c r="T678" s="1" t="s">
        <v>64</v>
      </c>
      <c r="U678" s="1">
        <f t="shared" si="138"/>
        <v>2</v>
      </c>
      <c r="V678" s="1">
        <f t="shared" si="139"/>
        <v>4.7999999999999989</v>
      </c>
      <c r="W678" s="10" t="str">
        <f t="shared" si="140"/>
        <v>Low</v>
      </c>
      <c r="X678" s="1" t="s">
        <v>76</v>
      </c>
      <c r="Y678" s="1" t="str">
        <f t="shared" si="141"/>
        <v>Yes</v>
      </c>
      <c r="Z678" s="14">
        <v>1</v>
      </c>
      <c r="AA678" s="18">
        <f t="shared" si="142"/>
        <v>1</v>
      </c>
      <c r="AB678" s="18" t="str">
        <f t="shared" si="143"/>
        <v>No</v>
      </c>
      <c r="AC678" s="9" t="s">
        <v>1416</v>
      </c>
      <c r="AD678">
        <f>IF(AC678="",0,LEN(AC678)-LEN(SUBSTITUTE(AC678,",",""))+1)</f>
        <v>6</v>
      </c>
    </row>
    <row r="679" spans="1:30" ht="12.5" x14ac:dyDescent="0.25">
      <c r="A679" s="1" t="s">
        <v>2691</v>
      </c>
      <c r="B679" s="1" t="s">
        <v>2692</v>
      </c>
      <c r="C679" s="1" t="str">
        <v>Mary Wright</v>
      </c>
      <c r="D679" s="1" t="s">
        <v>2693</v>
      </c>
      <c r="E679" s="1" t="str">
        <v>lboyd@soto-brown.info</v>
      </c>
      <c r="F679" t="str">
        <f t="shared" si="132"/>
        <v>Valid</v>
      </c>
      <c r="G679" s="1" t="s">
        <v>17</v>
      </c>
      <c r="H679" s="1" t="str">
        <f t="shared" si="133"/>
        <v>Female</v>
      </c>
      <c r="I679" s="1" t="s">
        <v>136</v>
      </c>
      <c r="J679" t="str">
        <f t="shared" si="134"/>
        <v>UK</v>
      </c>
      <c r="K679" s="14">
        <v>0</v>
      </c>
      <c r="L679" s="1">
        <f t="shared" si="135"/>
        <v>19</v>
      </c>
      <c r="M679" s="1" t="str">
        <f t="shared" si="136"/>
        <v>Student</v>
      </c>
      <c r="N679" s="9">
        <v>45190</v>
      </c>
      <c r="O679" s="1" t="s">
        <v>19</v>
      </c>
      <c r="P679" s="1" t="s">
        <v>20</v>
      </c>
      <c r="Q679" s="4">
        <v>0.76</v>
      </c>
      <c r="R679" s="13">
        <f t="shared" si="137"/>
        <v>76</v>
      </c>
      <c r="S679" s="6">
        <f t="shared" si="131"/>
        <v>0.76</v>
      </c>
      <c r="T679" s="1" t="s">
        <v>64</v>
      </c>
      <c r="U679" s="1">
        <f t="shared" si="138"/>
        <v>2</v>
      </c>
      <c r="V679" s="1">
        <f t="shared" si="139"/>
        <v>53.8</v>
      </c>
      <c r="W679" s="10" t="str">
        <f t="shared" si="140"/>
        <v>Medium</v>
      </c>
      <c r="X679" s="1">
        <v>0</v>
      </c>
      <c r="Y679" s="1" t="str">
        <f t="shared" si="141"/>
        <v>No</v>
      </c>
      <c r="Z679" s="14">
        <v>2</v>
      </c>
      <c r="AA679" s="18">
        <f t="shared" si="142"/>
        <v>2</v>
      </c>
      <c r="AB679" s="18" t="str">
        <f t="shared" si="143"/>
        <v>No</v>
      </c>
      <c r="AC679" s="9" t="s">
        <v>2694</v>
      </c>
      <c r="AD679">
        <f>IF(AC679="",0,LEN(AC679)-LEN(SUBSTITUTE(AC679,",",""))+1)</f>
        <v>7</v>
      </c>
    </row>
    <row r="680" spans="1:30" ht="12.5" x14ac:dyDescent="0.25">
      <c r="A680" s="1" t="s">
        <v>2695</v>
      </c>
      <c r="B680" s="1" t="s">
        <v>2696</v>
      </c>
      <c r="C680" s="1" t="str">
        <v>Teresa Martinez Md</v>
      </c>
      <c r="D680" s="1" t="s">
        <v>2697</v>
      </c>
      <c r="E680" s="1" t="str">
        <v>williamsimmons@collins-griffith.com</v>
      </c>
      <c r="F680" t="str">
        <f t="shared" si="132"/>
        <v>Valid</v>
      </c>
      <c r="G680" s="1" t="s">
        <v>43</v>
      </c>
      <c r="H680" s="1" t="str">
        <f t="shared" si="133"/>
        <v>Female</v>
      </c>
      <c r="I680" s="1" t="s">
        <v>28</v>
      </c>
      <c r="J680" t="str">
        <f t="shared" si="134"/>
        <v>INDIA</v>
      </c>
      <c r="K680" s="14">
        <v>0</v>
      </c>
      <c r="L680" s="1">
        <f t="shared" si="135"/>
        <v>19</v>
      </c>
      <c r="M680" s="1" t="str">
        <f t="shared" si="136"/>
        <v>Student</v>
      </c>
      <c r="N680" s="9">
        <v>44766</v>
      </c>
      <c r="O680" s="1" t="s">
        <v>58</v>
      </c>
      <c r="P680" s="1" t="s">
        <v>59</v>
      </c>
      <c r="Q680" s="4">
        <v>0.15</v>
      </c>
      <c r="R680" s="13">
        <f t="shared" si="137"/>
        <v>15</v>
      </c>
      <c r="S680" s="6">
        <f t="shared" si="131"/>
        <v>0.15</v>
      </c>
      <c r="T680" s="1">
        <v>1.5</v>
      </c>
      <c r="U680" s="1">
        <f t="shared" si="138"/>
        <v>1.5</v>
      </c>
      <c r="V680" s="1">
        <f t="shared" si="139"/>
        <v>10.95</v>
      </c>
      <c r="W680" s="10" t="str">
        <f t="shared" si="140"/>
        <v>Low</v>
      </c>
      <c r="X680" s="1" t="s">
        <v>38</v>
      </c>
      <c r="Y680" s="1" t="str">
        <f t="shared" si="141"/>
        <v>No</v>
      </c>
      <c r="Z680" s="14">
        <v>4</v>
      </c>
      <c r="AA680" s="18">
        <f t="shared" si="142"/>
        <v>4</v>
      </c>
      <c r="AB680" s="18" t="str">
        <f t="shared" si="143"/>
        <v>No</v>
      </c>
      <c r="AC680" s="9" t="s">
        <v>2387</v>
      </c>
      <c r="AD680">
        <f>IF(AC680="",0,LEN(AC680)-LEN(SUBSTITUTE(AC680,",",""))+1)</f>
        <v>1</v>
      </c>
    </row>
    <row r="681" spans="1:30" ht="12.5" x14ac:dyDescent="0.25">
      <c r="A681" s="1" t="s">
        <v>2698</v>
      </c>
      <c r="B681" s="1" t="s">
        <v>2699</v>
      </c>
      <c r="C681" s="1" t="str">
        <v>Jerome Reid</v>
      </c>
      <c r="D681" s="1" t="s">
        <v>2700</v>
      </c>
      <c r="E681" s="1" t="str">
        <v>xmiller@yahoo.com</v>
      </c>
      <c r="F681" t="str">
        <f t="shared" si="132"/>
        <v>Valid</v>
      </c>
      <c r="G681" s="1" t="s">
        <v>109</v>
      </c>
      <c r="H681" s="1" t="str">
        <f t="shared" si="133"/>
        <v>Male</v>
      </c>
      <c r="I681" s="1" t="s">
        <v>74</v>
      </c>
      <c r="J681" t="str">
        <f t="shared" si="134"/>
        <v>USA</v>
      </c>
      <c r="K681" s="14">
        <v>28</v>
      </c>
      <c r="L681" s="1">
        <f t="shared" si="135"/>
        <v>28</v>
      </c>
      <c r="M681" s="1" t="str">
        <f t="shared" si="136"/>
        <v>Early Career</v>
      </c>
      <c r="N681" s="9">
        <v>45316</v>
      </c>
      <c r="O681" s="1" t="s">
        <v>75</v>
      </c>
      <c r="P681" s="1" t="s">
        <v>37</v>
      </c>
      <c r="Q681" s="4">
        <v>0.61</v>
      </c>
      <c r="R681" s="13">
        <f t="shared" si="137"/>
        <v>61</v>
      </c>
      <c r="S681" s="6">
        <f t="shared" si="131"/>
        <v>0.61</v>
      </c>
      <c r="T681" s="1">
        <v>45</v>
      </c>
      <c r="U681" s="1">
        <f t="shared" si="138"/>
        <v>45</v>
      </c>
      <c r="V681" s="1">
        <f t="shared" si="139"/>
        <v>56.199999999999996</v>
      </c>
      <c r="W681" s="10" t="str">
        <f t="shared" si="140"/>
        <v>Medium</v>
      </c>
      <c r="X681" s="1">
        <v>1</v>
      </c>
      <c r="Y681" s="1" t="str">
        <f t="shared" si="141"/>
        <v>Yes</v>
      </c>
      <c r="AA681" s="18" t="str">
        <f t="shared" si="142"/>
        <v>Invalid</v>
      </c>
      <c r="AB681" s="18" t="str">
        <f t="shared" si="143"/>
        <v>High Performer</v>
      </c>
      <c r="AC681" s="9" t="s">
        <v>2701</v>
      </c>
      <c r="AD681">
        <f>IF(AC681="",0,LEN(AC681)-LEN(SUBSTITUTE(AC681,",",""))+1)</f>
        <v>2</v>
      </c>
    </row>
    <row r="682" spans="1:30" ht="12.5" x14ac:dyDescent="0.25">
      <c r="A682" s="1" t="s">
        <v>2702</v>
      </c>
      <c r="B682" s="1" t="s">
        <v>2703</v>
      </c>
      <c r="C682" s="1" t="str">
        <v>Nancy Wolf</v>
      </c>
      <c r="D682" s="1" t="s">
        <v>2704</v>
      </c>
      <c r="E682" s="1" t="str">
        <v>gillronald@gmail.com</v>
      </c>
      <c r="F682" t="str">
        <f t="shared" si="132"/>
        <v>Valid</v>
      </c>
      <c r="G682" s="1" t="s">
        <v>17</v>
      </c>
      <c r="H682" s="1" t="str">
        <f t="shared" si="133"/>
        <v>Female</v>
      </c>
      <c r="I682" s="1" t="s">
        <v>89</v>
      </c>
      <c r="J682" t="str">
        <f t="shared" si="134"/>
        <v>GERMANY</v>
      </c>
      <c r="K682" s="14">
        <v>39</v>
      </c>
      <c r="L682" s="1">
        <f t="shared" si="135"/>
        <v>39</v>
      </c>
      <c r="M682" s="1" t="str">
        <f t="shared" si="136"/>
        <v>Mid Career</v>
      </c>
      <c r="N682" s="9">
        <v>45244</v>
      </c>
      <c r="O682" s="1" t="s">
        <v>170</v>
      </c>
      <c r="P682" s="1" t="s">
        <v>147</v>
      </c>
      <c r="Q682" s="4">
        <v>0.68</v>
      </c>
      <c r="R682" s="13">
        <f t="shared" si="137"/>
        <v>68</v>
      </c>
      <c r="S682" s="6">
        <f t="shared" si="131"/>
        <v>0.68</v>
      </c>
      <c r="T682" s="1" t="s">
        <v>64</v>
      </c>
      <c r="U682" s="1">
        <f t="shared" si="138"/>
        <v>2</v>
      </c>
      <c r="V682" s="1">
        <f t="shared" si="139"/>
        <v>48.199999999999996</v>
      </c>
      <c r="W682" s="10" t="str">
        <f t="shared" si="140"/>
        <v>Medium</v>
      </c>
      <c r="X682" s="1">
        <v>1</v>
      </c>
      <c r="Y682" s="1" t="str">
        <f t="shared" si="141"/>
        <v>Yes</v>
      </c>
      <c r="Z682" s="14">
        <v>6</v>
      </c>
      <c r="AA682" s="18">
        <f t="shared" si="142"/>
        <v>6</v>
      </c>
      <c r="AB682" s="18" t="str">
        <f t="shared" si="143"/>
        <v>High Performer</v>
      </c>
      <c r="AC682" s="9" t="s">
        <v>2705</v>
      </c>
      <c r="AD682">
        <f>IF(AC682="",0,LEN(AC682)-LEN(SUBSTITUTE(AC682,",",""))+1)</f>
        <v>1</v>
      </c>
    </row>
    <row r="683" spans="1:30" ht="12.5" x14ac:dyDescent="0.25">
      <c r="A683" s="1" t="s">
        <v>2706</v>
      </c>
      <c r="B683" s="1" t="s">
        <v>2707</v>
      </c>
      <c r="C683" s="1" t="str">
        <v>Dawn Ford</v>
      </c>
      <c r="D683" s="1" t="s">
        <v>2708</v>
      </c>
      <c r="E683" s="1" t="str">
        <v>nicholas97@gmail.com</v>
      </c>
      <c r="F683" t="str">
        <f t="shared" si="132"/>
        <v>Valid</v>
      </c>
      <c r="G683" s="1" t="s">
        <v>27</v>
      </c>
      <c r="H683" s="1" t="str">
        <f t="shared" si="133"/>
        <v>Male</v>
      </c>
      <c r="I683" s="1" t="s">
        <v>28</v>
      </c>
      <c r="J683" t="str">
        <f t="shared" si="134"/>
        <v>INDIA</v>
      </c>
      <c r="K683" s="14">
        <v>20</v>
      </c>
      <c r="L683" s="1">
        <f t="shared" si="135"/>
        <v>20</v>
      </c>
      <c r="M683" s="1" t="str">
        <f t="shared" si="136"/>
        <v>Student</v>
      </c>
      <c r="N683" s="9">
        <v>45124</v>
      </c>
      <c r="O683" s="1" t="s">
        <v>235</v>
      </c>
      <c r="P683" s="1" t="s">
        <v>147</v>
      </c>
      <c r="Q683" s="4">
        <v>0.16</v>
      </c>
      <c r="R683" s="13">
        <f t="shared" si="137"/>
        <v>16</v>
      </c>
      <c r="S683" s="6">
        <f t="shared" si="131"/>
        <v>0.16</v>
      </c>
      <c r="T683" s="1">
        <v>2</v>
      </c>
      <c r="U683" s="1">
        <f t="shared" si="138"/>
        <v>2</v>
      </c>
      <c r="V683" s="1">
        <f t="shared" si="139"/>
        <v>11.799999999999999</v>
      </c>
      <c r="W683" s="10" t="str">
        <f t="shared" si="140"/>
        <v>Low</v>
      </c>
      <c r="X683" s="1" t="s">
        <v>32</v>
      </c>
      <c r="Y683" s="1" t="str">
        <f t="shared" si="141"/>
        <v>Yes</v>
      </c>
      <c r="Z683" s="14">
        <v>5</v>
      </c>
      <c r="AA683" s="18">
        <f t="shared" si="142"/>
        <v>5</v>
      </c>
      <c r="AB683" s="18" t="str">
        <f t="shared" si="143"/>
        <v>High Performer</v>
      </c>
      <c r="AC683" s="9" t="s">
        <v>2709</v>
      </c>
      <c r="AD683">
        <f>IF(AC683="",0,LEN(AC683)-LEN(SUBSTITUTE(AC683,",",""))+1)</f>
        <v>8</v>
      </c>
    </row>
    <row r="684" spans="1:30" ht="12.5" x14ac:dyDescent="0.25">
      <c r="A684" s="1" t="s">
        <v>2710</v>
      </c>
      <c r="B684" s="1" t="s">
        <v>2711</v>
      </c>
      <c r="C684" s="1" t="str">
        <v>Colton Smith</v>
      </c>
      <c r="D684" s="1" t="s">
        <v>2712</v>
      </c>
      <c r="E684" s="1" t="str">
        <v>asullivan@yahoo.com</v>
      </c>
      <c r="F684" t="str">
        <f t="shared" si="132"/>
        <v>Valid</v>
      </c>
      <c r="G684" s="1" t="s">
        <v>27</v>
      </c>
      <c r="H684" s="1" t="str">
        <f t="shared" si="133"/>
        <v>Male</v>
      </c>
      <c r="I684" s="1" t="s">
        <v>96</v>
      </c>
      <c r="J684" t="str">
        <f t="shared" si="134"/>
        <v>INDIA</v>
      </c>
      <c r="K684" s="14">
        <v>32</v>
      </c>
      <c r="L684" s="1">
        <f t="shared" si="135"/>
        <v>32</v>
      </c>
      <c r="M684" s="1" t="str">
        <f t="shared" si="136"/>
        <v>Mid Career</v>
      </c>
      <c r="N684" s="2">
        <v>45086</v>
      </c>
      <c r="O684" s="1" t="s">
        <v>90</v>
      </c>
      <c r="P684" s="1" t="s">
        <v>31</v>
      </c>
      <c r="Q684" s="4">
        <v>0.38</v>
      </c>
      <c r="R684" s="13">
        <f t="shared" si="137"/>
        <v>38</v>
      </c>
      <c r="S684" s="6">
        <f t="shared" si="131"/>
        <v>0.38</v>
      </c>
      <c r="T684" s="1" t="s">
        <v>46</v>
      </c>
      <c r="U684" s="1">
        <f t="shared" si="138"/>
        <v>1</v>
      </c>
      <c r="V684" s="1">
        <f t="shared" si="139"/>
        <v>26.9</v>
      </c>
      <c r="W684" s="10" t="str">
        <f t="shared" si="140"/>
        <v>Low</v>
      </c>
      <c r="X684" s="1">
        <v>0</v>
      </c>
      <c r="Y684" s="1" t="str">
        <f t="shared" si="141"/>
        <v>No</v>
      </c>
      <c r="Z684" s="14">
        <v>1</v>
      </c>
      <c r="AA684" s="18">
        <f t="shared" si="142"/>
        <v>1</v>
      </c>
      <c r="AB684" s="18" t="str">
        <f t="shared" si="143"/>
        <v>No</v>
      </c>
      <c r="AC684" s="9" t="s">
        <v>2713</v>
      </c>
      <c r="AD684">
        <f>IF(AC684="",0,LEN(AC684)-LEN(SUBSTITUTE(AC684,",",""))+1)</f>
        <v>7</v>
      </c>
    </row>
    <row r="685" spans="1:30" ht="12.5" x14ac:dyDescent="0.25">
      <c r="A685" s="1" t="s">
        <v>2714</v>
      </c>
      <c r="B685" s="1" t="s">
        <v>2715</v>
      </c>
      <c r="C685" s="1" t="str">
        <v>Mrs. Stacey Riddle</v>
      </c>
      <c r="D685" s="1" t="s">
        <v>2716</v>
      </c>
      <c r="E685" s="1" t="str">
        <v>kfrederick@hines.com</v>
      </c>
      <c r="F685" t="str">
        <f t="shared" si="132"/>
        <v>Valid</v>
      </c>
      <c r="G685" s="1" t="s">
        <v>43</v>
      </c>
      <c r="H685" s="1" t="str">
        <f t="shared" si="133"/>
        <v>Female</v>
      </c>
      <c r="I685" s="1" t="s">
        <v>28</v>
      </c>
      <c r="J685" t="str">
        <f t="shared" si="134"/>
        <v>INDIA</v>
      </c>
      <c r="K685" s="14">
        <v>24</v>
      </c>
      <c r="L685" s="1">
        <f t="shared" si="135"/>
        <v>24</v>
      </c>
      <c r="M685" s="1" t="str">
        <f t="shared" si="136"/>
        <v>Early Career</v>
      </c>
      <c r="N685" s="2">
        <v>45118</v>
      </c>
      <c r="O685" s="1" t="s">
        <v>75</v>
      </c>
      <c r="P685" s="1" t="s">
        <v>37</v>
      </c>
      <c r="Q685" s="4">
        <v>0.26</v>
      </c>
      <c r="R685" s="13">
        <f t="shared" si="137"/>
        <v>26</v>
      </c>
      <c r="S685" s="6">
        <f t="shared" si="131"/>
        <v>0.26</v>
      </c>
      <c r="T685" s="1">
        <v>45</v>
      </c>
      <c r="U685" s="1">
        <f t="shared" si="138"/>
        <v>45</v>
      </c>
      <c r="V685" s="1">
        <f t="shared" si="139"/>
        <v>31.7</v>
      </c>
      <c r="W685" s="10" t="str">
        <f t="shared" si="140"/>
        <v>Low</v>
      </c>
      <c r="X685" s="1" t="s">
        <v>22</v>
      </c>
      <c r="Y685" s="1" t="str">
        <f t="shared" si="141"/>
        <v>No</v>
      </c>
      <c r="AA685" s="18" t="str">
        <f t="shared" si="142"/>
        <v>Invalid</v>
      </c>
      <c r="AB685" s="18" t="str">
        <f t="shared" si="143"/>
        <v>No</v>
      </c>
      <c r="AC685" s="9" t="s">
        <v>2717</v>
      </c>
      <c r="AD685">
        <f>IF(AC685="",0,LEN(AC685)-LEN(SUBSTITUTE(AC685,",",""))+1)</f>
        <v>6</v>
      </c>
    </row>
    <row r="686" spans="1:30" ht="12.5" x14ac:dyDescent="0.25">
      <c r="A686" s="1" t="s">
        <v>2718</v>
      </c>
      <c r="B686" s="1" t="s">
        <v>2719</v>
      </c>
      <c r="C686" s="1" t="str">
        <v>Anthony Cruz</v>
      </c>
      <c r="D686" s="1" t="s">
        <v>2720</v>
      </c>
      <c r="E686" s="1" t="str">
        <v>johnjohnson@yahoo.com</v>
      </c>
      <c r="F686" t="str">
        <f t="shared" si="132"/>
        <v>Valid</v>
      </c>
      <c r="G686" s="1" t="s">
        <v>27</v>
      </c>
      <c r="H686" s="1" t="str">
        <f t="shared" si="133"/>
        <v>Male</v>
      </c>
      <c r="I686" s="1" t="s">
        <v>44</v>
      </c>
      <c r="J686" t="str">
        <f t="shared" si="134"/>
        <v>CANADA</v>
      </c>
      <c r="K686" s="14">
        <v>0</v>
      </c>
      <c r="L686" s="1">
        <f t="shared" si="135"/>
        <v>19</v>
      </c>
      <c r="M686" s="1" t="str">
        <f t="shared" si="136"/>
        <v>Student</v>
      </c>
      <c r="N686" s="2">
        <v>45449</v>
      </c>
      <c r="O686" s="1" t="s">
        <v>146</v>
      </c>
      <c r="P686" s="1" t="s">
        <v>147</v>
      </c>
      <c r="Q686" s="4">
        <v>0.16</v>
      </c>
      <c r="R686" s="13">
        <f t="shared" si="137"/>
        <v>16</v>
      </c>
      <c r="S686" s="6">
        <f t="shared" si="131"/>
        <v>0.16</v>
      </c>
      <c r="T686" s="1">
        <v>45</v>
      </c>
      <c r="U686" s="1">
        <f t="shared" si="138"/>
        <v>45</v>
      </c>
      <c r="V686" s="1">
        <f t="shared" si="139"/>
        <v>24.7</v>
      </c>
      <c r="W686" s="10" t="str">
        <f t="shared" si="140"/>
        <v>Low</v>
      </c>
      <c r="X686" s="1" t="s">
        <v>38</v>
      </c>
      <c r="Y686" s="1" t="str">
        <f t="shared" si="141"/>
        <v>No</v>
      </c>
      <c r="AA686" s="18" t="str">
        <f t="shared" si="142"/>
        <v>Invalid</v>
      </c>
      <c r="AB686" s="18" t="str">
        <f t="shared" si="143"/>
        <v>No</v>
      </c>
      <c r="AC686" s="9" t="s">
        <v>2721</v>
      </c>
      <c r="AD686">
        <f>IF(AC686="",0,LEN(AC686)-LEN(SUBSTITUTE(AC686,",",""))+1)</f>
        <v>4</v>
      </c>
    </row>
    <row r="687" spans="1:30" ht="12.5" x14ac:dyDescent="0.25">
      <c r="A687" s="1" t="s">
        <v>2722</v>
      </c>
      <c r="B687" s="1" t="s">
        <v>2723</v>
      </c>
      <c r="C687" s="1" t="str">
        <v>Brittany Jacobs</v>
      </c>
      <c r="D687" s="1" t="s">
        <v>2724</v>
      </c>
      <c r="E687" s="1" t="str">
        <v>john92@wilson.biz</v>
      </c>
      <c r="F687" t="str">
        <f t="shared" si="132"/>
        <v>Valid</v>
      </c>
      <c r="G687" s="1" t="s">
        <v>27</v>
      </c>
      <c r="H687" s="1" t="str">
        <f t="shared" si="133"/>
        <v>Male</v>
      </c>
      <c r="I687" s="1" t="s">
        <v>89</v>
      </c>
      <c r="J687" t="str">
        <f t="shared" si="134"/>
        <v>GERMANY</v>
      </c>
      <c r="L687" s="1">
        <f t="shared" si="135"/>
        <v>19</v>
      </c>
      <c r="M687" s="1" t="str">
        <f t="shared" si="136"/>
        <v>Student</v>
      </c>
      <c r="N687" s="3">
        <v>45638</v>
      </c>
      <c r="O687" s="1" t="s">
        <v>158</v>
      </c>
      <c r="P687" s="1" t="s">
        <v>59</v>
      </c>
      <c r="Q687" s="4">
        <v>0.88</v>
      </c>
      <c r="R687" s="13">
        <f t="shared" si="137"/>
        <v>88</v>
      </c>
      <c r="S687" s="6">
        <f t="shared" si="131"/>
        <v>0.88</v>
      </c>
      <c r="T687" s="1" t="s">
        <v>46</v>
      </c>
      <c r="U687" s="1">
        <f t="shared" si="138"/>
        <v>1</v>
      </c>
      <c r="V687" s="1">
        <f t="shared" si="139"/>
        <v>61.899999999999991</v>
      </c>
      <c r="W687" s="10" t="str">
        <f t="shared" si="140"/>
        <v>Medium</v>
      </c>
      <c r="X687" s="1">
        <v>0</v>
      </c>
      <c r="Y687" s="1" t="str">
        <f t="shared" si="141"/>
        <v>No</v>
      </c>
      <c r="Z687" s="14">
        <v>2</v>
      </c>
      <c r="AA687" s="18">
        <f t="shared" si="142"/>
        <v>2</v>
      </c>
      <c r="AB687" s="18" t="str">
        <f t="shared" si="143"/>
        <v>No</v>
      </c>
      <c r="AC687" s="9" t="s">
        <v>2725</v>
      </c>
      <c r="AD687">
        <f>IF(AC687="",0,LEN(AC687)-LEN(SUBSTITUTE(AC687,",",""))+1)</f>
        <v>5</v>
      </c>
    </row>
    <row r="688" spans="1:30" ht="12.5" x14ac:dyDescent="0.25">
      <c r="A688" s="1" t="s">
        <v>2726</v>
      </c>
      <c r="B688" s="1" t="s">
        <v>2727</v>
      </c>
      <c r="C688" s="1" t="str">
        <v>Theodore Liu</v>
      </c>
      <c r="D688" s="1" t="s">
        <v>127</v>
      </c>
      <c r="E688" s="1" t="str">
        <v>invalid-email</v>
      </c>
      <c r="F688" t="str">
        <f t="shared" si="132"/>
        <v>Invalid</v>
      </c>
      <c r="G688" s="1" t="s">
        <v>43</v>
      </c>
      <c r="H688" s="1" t="str">
        <f t="shared" si="133"/>
        <v>Female</v>
      </c>
      <c r="I688" s="1" t="s">
        <v>74</v>
      </c>
      <c r="J688" t="str">
        <f t="shared" si="134"/>
        <v>USA</v>
      </c>
      <c r="K688" s="14">
        <v>26</v>
      </c>
      <c r="L688" s="1">
        <f t="shared" si="135"/>
        <v>26</v>
      </c>
      <c r="M688" s="1" t="str">
        <f t="shared" si="136"/>
        <v>Early Career</v>
      </c>
      <c r="N688" s="9">
        <v>45275</v>
      </c>
      <c r="O688" s="1" t="s">
        <v>30</v>
      </c>
      <c r="P688" s="1" t="s">
        <v>31</v>
      </c>
      <c r="Q688" s="4">
        <v>40</v>
      </c>
      <c r="R688" s="13">
        <f t="shared" si="137"/>
        <v>40</v>
      </c>
      <c r="S688" s="6">
        <f t="shared" si="131"/>
        <v>0.4</v>
      </c>
      <c r="T688" s="1" t="s">
        <v>64</v>
      </c>
      <c r="U688" s="1">
        <f t="shared" si="138"/>
        <v>2</v>
      </c>
      <c r="V688" s="1">
        <f t="shared" si="139"/>
        <v>28.6</v>
      </c>
      <c r="W688" s="10" t="str">
        <f t="shared" si="140"/>
        <v>Low</v>
      </c>
      <c r="X688" s="1">
        <v>0</v>
      </c>
      <c r="Y688" s="1" t="str">
        <f t="shared" si="141"/>
        <v>No</v>
      </c>
      <c r="Z688" s="14">
        <v>6</v>
      </c>
      <c r="AA688" s="18">
        <f t="shared" si="142"/>
        <v>6</v>
      </c>
      <c r="AB688" s="18" t="str">
        <f t="shared" si="143"/>
        <v>No</v>
      </c>
      <c r="AC688" s="9" t="s">
        <v>2728</v>
      </c>
      <c r="AD688">
        <f>IF(AC688="",0,LEN(AC688)-LEN(SUBSTITUTE(AC688,",",""))+1)</f>
        <v>3</v>
      </c>
    </row>
    <row r="689" spans="1:30" ht="12.5" x14ac:dyDescent="0.25">
      <c r="A689" s="1" t="s">
        <v>2729</v>
      </c>
      <c r="B689" s="1" t="s">
        <v>2730</v>
      </c>
      <c r="C689" s="1" t="str">
        <v>Walter Barrett</v>
      </c>
      <c r="D689" s="1" t="s">
        <v>2731</v>
      </c>
      <c r="E689" s="1" t="str">
        <v>jessica11@hotmail.com</v>
      </c>
      <c r="F689" t="str">
        <f t="shared" si="132"/>
        <v>Valid</v>
      </c>
      <c r="G689" s="1" t="s">
        <v>43</v>
      </c>
      <c r="H689" s="1" t="str">
        <f t="shared" si="133"/>
        <v>Female</v>
      </c>
      <c r="I689" s="1" t="s">
        <v>44</v>
      </c>
      <c r="J689" t="str">
        <f t="shared" si="134"/>
        <v>CANADA</v>
      </c>
      <c r="K689" s="14">
        <v>18</v>
      </c>
      <c r="L689" s="1">
        <f t="shared" si="135"/>
        <v>18</v>
      </c>
      <c r="M689" s="1" t="str">
        <f t="shared" si="136"/>
        <v>Student</v>
      </c>
      <c r="N689" s="9">
        <v>44915</v>
      </c>
      <c r="O689" s="1" t="s">
        <v>69</v>
      </c>
      <c r="P689" s="1" t="s">
        <v>31</v>
      </c>
      <c r="Q689" s="4">
        <v>0.46</v>
      </c>
      <c r="R689" s="13">
        <f t="shared" si="137"/>
        <v>46</v>
      </c>
      <c r="S689" s="6">
        <f t="shared" si="131"/>
        <v>0.46</v>
      </c>
      <c r="T689" s="1">
        <v>2</v>
      </c>
      <c r="U689" s="1">
        <f t="shared" si="138"/>
        <v>2</v>
      </c>
      <c r="V689" s="1">
        <f t="shared" si="139"/>
        <v>32.799999999999997</v>
      </c>
      <c r="W689" s="10" t="str">
        <f t="shared" si="140"/>
        <v>Low</v>
      </c>
      <c r="X689" s="1" t="s">
        <v>22</v>
      </c>
      <c r="Y689" s="1" t="str">
        <f t="shared" si="141"/>
        <v>No</v>
      </c>
      <c r="Z689" s="14">
        <v>3</v>
      </c>
      <c r="AA689" s="18">
        <f t="shared" si="142"/>
        <v>3</v>
      </c>
      <c r="AB689" s="18" t="str">
        <f t="shared" si="143"/>
        <v>No</v>
      </c>
      <c r="AC689" s="9" t="s">
        <v>2732</v>
      </c>
      <c r="AD689">
        <f>IF(AC689="",0,LEN(AC689)-LEN(SUBSTITUTE(AC689,",",""))+1)</f>
        <v>2</v>
      </c>
    </row>
    <row r="690" spans="1:30" ht="12.5" x14ac:dyDescent="0.25">
      <c r="A690" s="1" t="s">
        <v>2733</v>
      </c>
      <c r="B690" s="1" t="s">
        <v>2734</v>
      </c>
      <c r="C690" s="1" t="str">
        <v>Paul Conrad</v>
      </c>
      <c r="D690" s="1" t="s">
        <v>2735</v>
      </c>
      <c r="E690" s="1" t="str">
        <v>adam27@gmail.com</v>
      </c>
      <c r="F690" t="str">
        <f t="shared" si="132"/>
        <v>Valid</v>
      </c>
      <c r="G690" s="1" t="s">
        <v>57</v>
      </c>
      <c r="H690" s="1" t="str">
        <f t="shared" si="133"/>
        <v>Female</v>
      </c>
      <c r="I690" s="1" t="s">
        <v>44</v>
      </c>
      <c r="J690" t="str">
        <f t="shared" si="134"/>
        <v>CANADA</v>
      </c>
      <c r="L690" s="1">
        <f t="shared" si="135"/>
        <v>19</v>
      </c>
      <c r="M690" s="1" t="str">
        <f t="shared" si="136"/>
        <v>Student</v>
      </c>
      <c r="N690" s="2">
        <v>45635</v>
      </c>
      <c r="O690" s="1" t="s">
        <v>158</v>
      </c>
      <c r="P690" s="1" t="s">
        <v>59</v>
      </c>
      <c r="Q690" s="4">
        <v>0.39</v>
      </c>
      <c r="R690" s="13">
        <f t="shared" si="137"/>
        <v>39</v>
      </c>
      <c r="S690" s="6">
        <f t="shared" si="131"/>
        <v>0.39</v>
      </c>
      <c r="T690" s="1" t="s">
        <v>21</v>
      </c>
      <c r="U690" s="1">
        <f t="shared" si="138"/>
        <v>1.5</v>
      </c>
      <c r="V690" s="1">
        <f t="shared" si="139"/>
        <v>27.749999999999996</v>
      </c>
      <c r="W690" s="10" t="str">
        <f t="shared" si="140"/>
        <v>Low</v>
      </c>
      <c r="X690" s="1" t="s">
        <v>76</v>
      </c>
      <c r="Y690" s="1" t="str">
        <f t="shared" si="141"/>
        <v>Yes</v>
      </c>
      <c r="Z690" s="14">
        <v>5</v>
      </c>
      <c r="AA690" s="18">
        <f t="shared" si="142"/>
        <v>5</v>
      </c>
      <c r="AB690" s="18" t="str">
        <f t="shared" si="143"/>
        <v>High Performer</v>
      </c>
      <c r="AC690" s="9" t="s">
        <v>2736</v>
      </c>
      <c r="AD690">
        <f>IF(AC690="",0,LEN(AC690)-LEN(SUBSTITUTE(AC690,",",""))+1)</f>
        <v>2</v>
      </c>
    </row>
    <row r="691" spans="1:30" ht="12.5" x14ac:dyDescent="0.25">
      <c r="A691" s="1" t="s">
        <v>2737</v>
      </c>
      <c r="B691" s="1" t="s">
        <v>2738</v>
      </c>
      <c r="C691" s="1" t="str">
        <v>Mary Quinn</v>
      </c>
      <c r="D691" s="1" t="s">
        <v>2739</v>
      </c>
      <c r="E691" s="1" t="str">
        <v>nicholaspadilla@tucker.com</v>
      </c>
      <c r="F691" t="str">
        <f t="shared" si="132"/>
        <v>Valid</v>
      </c>
      <c r="G691" s="1" t="s">
        <v>88</v>
      </c>
      <c r="H691" s="1" t="str">
        <f t="shared" si="133"/>
        <v>Male</v>
      </c>
      <c r="I691" s="1" t="s">
        <v>136</v>
      </c>
      <c r="J691" t="str">
        <f t="shared" si="134"/>
        <v>UK</v>
      </c>
      <c r="K691" s="14">
        <v>36</v>
      </c>
      <c r="L691" s="1">
        <f t="shared" si="135"/>
        <v>36</v>
      </c>
      <c r="M691" s="1" t="str">
        <f t="shared" si="136"/>
        <v>Mid Career</v>
      </c>
      <c r="N691" s="2">
        <v>44660</v>
      </c>
      <c r="O691" s="1" t="s">
        <v>170</v>
      </c>
      <c r="P691" s="1" t="s">
        <v>147</v>
      </c>
      <c r="Q691" s="4">
        <v>0.94</v>
      </c>
      <c r="R691" s="13">
        <f t="shared" si="137"/>
        <v>94</v>
      </c>
      <c r="S691" s="6">
        <f t="shared" si="131"/>
        <v>0.94</v>
      </c>
      <c r="T691" s="1" t="s">
        <v>21</v>
      </c>
      <c r="U691" s="1">
        <f t="shared" si="138"/>
        <v>1.5</v>
      </c>
      <c r="V691" s="1">
        <f t="shared" si="139"/>
        <v>66.25</v>
      </c>
      <c r="W691" s="10" t="str">
        <f t="shared" si="140"/>
        <v>Medium</v>
      </c>
      <c r="X691" s="1">
        <v>0</v>
      </c>
      <c r="Y691" s="1" t="str">
        <f t="shared" si="141"/>
        <v>No</v>
      </c>
      <c r="AA691" s="18" t="str">
        <f t="shared" si="142"/>
        <v>Invalid</v>
      </c>
      <c r="AB691" s="18" t="str">
        <f t="shared" si="143"/>
        <v>No</v>
      </c>
      <c r="AC691" s="9" t="s">
        <v>2740</v>
      </c>
      <c r="AD691">
        <f>IF(AC691="",0,LEN(AC691)-LEN(SUBSTITUTE(AC691,",",""))+1)</f>
        <v>7</v>
      </c>
    </row>
    <row r="692" spans="1:30" ht="12.5" x14ac:dyDescent="0.25">
      <c r="A692" s="1" t="s">
        <v>2741</v>
      </c>
      <c r="B692" s="1" t="s">
        <v>2742</v>
      </c>
      <c r="C692" s="1" t="str">
        <v>Paul Lamb</v>
      </c>
      <c r="D692" s="1" t="s">
        <v>2743</v>
      </c>
      <c r="E692" s="1" t="str">
        <v>tonya67@durham.com</v>
      </c>
      <c r="F692" t="str">
        <f t="shared" si="132"/>
        <v>Valid</v>
      </c>
      <c r="G692" s="1" t="s">
        <v>57</v>
      </c>
      <c r="H692" s="1" t="str">
        <f t="shared" si="133"/>
        <v>Female</v>
      </c>
      <c r="I692" s="1" t="s">
        <v>89</v>
      </c>
      <c r="J692" t="str">
        <f t="shared" si="134"/>
        <v>GERMANY</v>
      </c>
      <c r="K692" s="14">
        <v>0</v>
      </c>
      <c r="L692" s="1">
        <f t="shared" si="135"/>
        <v>19</v>
      </c>
      <c r="M692" s="1" t="str">
        <f t="shared" si="136"/>
        <v>Student</v>
      </c>
      <c r="N692" s="2">
        <v>45476</v>
      </c>
      <c r="O692" s="1" t="s">
        <v>30</v>
      </c>
      <c r="P692" s="1" t="s">
        <v>31</v>
      </c>
      <c r="Q692" s="4">
        <v>0.48</v>
      </c>
      <c r="R692" s="13">
        <f t="shared" si="137"/>
        <v>48</v>
      </c>
      <c r="S692" s="6">
        <f t="shared" si="131"/>
        <v>0.48</v>
      </c>
      <c r="T692" s="1" t="s">
        <v>46</v>
      </c>
      <c r="U692" s="1">
        <f t="shared" si="138"/>
        <v>1</v>
      </c>
      <c r="V692" s="1">
        <f t="shared" si="139"/>
        <v>33.899999999999991</v>
      </c>
      <c r="W692" s="10" t="str">
        <f t="shared" si="140"/>
        <v>Low</v>
      </c>
      <c r="X692" s="1" t="s">
        <v>38</v>
      </c>
      <c r="Y692" s="1" t="str">
        <f t="shared" si="141"/>
        <v>No</v>
      </c>
      <c r="Z692" s="14">
        <v>5</v>
      </c>
      <c r="AA692" s="18">
        <f t="shared" si="142"/>
        <v>5</v>
      </c>
      <c r="AB692" s="18" t="str">
        <f t="shared" si="143"/>
        <v>No</v>
      </c>
      <c r="AC692" s="9" t="s">
        <v>2744</v>
      </c>
      <c r="AD692">
        <f>IF(AC692="",0,LEN(AC692)-LEN(SUBSTITUTE(AC692,",",""))+1)</f>
        <v>3</v>
      </c>
    </row>
    <row r="693" spans="1:30" ht="12.5" x14ac:dyDescent="0.25">
      <c r="A693" s="1" t="s">
        <v>2745</v>
      </c>
      <c r="B693" s="1" t="s">
        <v>2746</v>
      </c>
      <c r="C693" s="1" t="str">
        <v>Allen Young</v>
      </c>
      <c r="D693" s="1" t="s">
        <v>2747</v>
      </c>
      <c r="E693" s="1" t="str">
        <v>smithjoseph@gmail.com</v>
      </c>
      <c r="F693" t="str">
        <f t="shared" si="132"/>
        <v>Valid</v>
      </c>
      <c r="G693" s="1" t="s">
        <v>43</v>
      </c>
      <c r="H693" s="1" t="str">
        <f t="shared" si="133"/>
        <v>Female</v>
      </c>
      <c r="I693" s="1" t="s">
        <v>44</v>
      </c>
      <c r="J693" t="str">
        <f t="shared" si="134"/>
        <v>CANADA</v>
      </c>
      <c r="K693" s="14">
        <v>38</v>
      </c>
      <c r="L693" s="1">
        <f t="shared" si="135"/>
        <v>38</v>
      </c>
      <c r="M693" s="1" t="str">
        <f t="shared" si="136"/>
        <v>Mid Career</v>
      </c>
      <c r="N693" s="2">
        <v>45084</v>
      </c>
      <c r="O693" s="1" t="s">
        <v>170</v>
      </c>
      <c r="P693" s="1" t="s">
        <v>147</v>
      </c>
      <c r="Q693" s="4">
        <v>0.35</v>
      </c>
      <c r="R693" s="13">
        <f t="shared" si="137"/>
        <v>35</v>
      </c>
      <c r="S693" s="6">
        <f t="shared" si="131"/>
        <v>0.35</v>
      </c>
      <c r="T693" s="1" t="s">
        <v>64</v>
      </c>
      <c r="U693" s="1">
        <f t="shared" si="138"/>
        <v>2</v>
      </c>
      <c r="V693" s="1">
        <f t="shared" si="139"/>
        <v>25.1</v>
      </c>
      <c r="W693" s="10" t="str">
        <f t="shared" si="140"/>
        <v>Low</v>
      </c>
      <c r="X693" s="1" t="s">
        <v>38</v>
      </c>
      <c r="Y693" s="1" t="str">
        <f t="shared" si="141"/>
        <v>No</v>
      </c>
      <c r="Z693" s="14">
        <v>4</v>
      </c>
      <c r="AA693" s="18">
        <f t="shared" si="142"/>
        <v>4</v>
      </c>
      <c r="AB693" s="18" t="str">
        <f t="shared" si="143"/>
        <v>No</v>
      </c>
      <c r="AC693" s="9" t="s">
        <v>2748</v>
      </c>
      <c r="AD693">
        <f>IF(AC693="",0,LEN(AC693)-LEN(SUBSTITUTE(AC693,",",""))+1)</f>
        <v>6</v>
      </c>
    </row>
    <row r="694" spans="1:30" ht="12.5" x14ac:dyDescent="0.25">
      <c r="A694" s="1" t="s">
        <v>2749</v>
      </c>
      <c r="B694" s="1" t="s">
        <v>2750</v>
      </c>
      <c r="C694" s="1" t="str">
        <v>Joseph Smith</v>
      </c>
      <c r="D694" s="1" t="s">
        <v>2751</v>
      </c>
      <c r="E694" s="1" t="str">
        <v>vkennedy@hotmail.com</v>
      </c>
      <c r="F694" t="str">
        <f t="shared" si="132"/>
        <v>Valid</v>
      </c>
      <c r="G694" s="1" t="s">
        <v>27</v>
      </c>
      <c r="H694" s="1" t="str">
        <f t="shared" si="133"/>
        <v>Male</v>
      </c>
      <c r="I694" s="1" t="s">
        <v>96</v>
      </c>
      <c r="J694" t="str">
        <f t="shared" si="134"/>
        <v>INDIA</v>
      </c>
      <c r="K694" s="14">
        <v>33</v>
      </c>
      <c r="L694" s="1">
        <f t="shared" si="135"/>
        <v>33</v>
      </c>
      <c r="M694" s="1" t="str">
        <f t="shared" si="136"/>
        <v>Mid Career</v>
      </c>
      <c r="N694" s="2">
        <v>45718</v>
      </c>
      <c r="O694" s="1" t="s">
        <v>36</v>
      </c>
      <c r="P694" s="1" t="s">
        <v>37</v>
      </c>
      <c r="Q694" s="4">
        <v>11</v>
      </c>
      <c r="R694" s="13">
        <f t="shared" si="137"/>
        <v>11</v>
      </c>
      <c r="S694" s="6">
        <f t="shared" si="131"/>
        <v>0.11</v>
      </c>
      <c r="T694" s="1">
        <v>1.5</v>
      </c>
      <c r="U694" s="1">
        <f t="shared" si="138"/>
        <v>1.5</v>
      </c>
      <c r="V694" s="1">
        <f t="shared" si="139"/>
        <v>8.1499999999999986</v>
      </c>
      <c r="W694" s="10" t="str">
        <f t="shared" si="140"/>
        <v>Low</v>
      </c>
      <c r="X694" s="1" t="s">
        <v>38</v>
      </c>
      <c r="Y694" s="1" t="str">
        <f t="shared" si="141"/>
        <v>No</v>
      </c>
      <c r="Z694" s="14">
        <v>2</v>
      </c>
      <c r="AA694" s="18">
        <f t="shared" si="142"/>
        <v>2</v>
      </c>
      <c r="AB694" s="18" t="str">
        <f t="shared" si="143"/>
        <v>No</v>
      </c>
      <c r="AC694" s="9" t="s">
        <v>2752</v>
      </c>
      <c r="AD694">
        <f>IF(AC694="",0,LEN(AC694)-LEN(SUBSTITUTE(AC694,",",""))+1)</f>
        <v>2</v>
      </c>
    </row>
    <row r="695" spans="1:30" ht="12.5" x14ac:dyDescent="0.25">
      <c r="A695" s="1" t="s">
        <v>2753</v>
      </c>
      <c r="B695" s="1" t="s">
        <v>2754</v>
      </c>
      <c r="C695" s="1" t="str">
        <v>Ethan Allen</v>
      </c>
      <c r="D695" s="1" t="s">
        <v>2755</v>
      </c>
      <c r="E695" s="1" t="str">
        <v>dgray@yahoo.com</v>
      </c>
      <c r="F695" t="str">
        <f t="shared" si="132"/>
        <v>Valid</v>
      </c>
      <c r="G695" s="1" t="s">
        <v>88</v>
      </c>
      <c r="H695" s="1" t="str">
        <f t="shared" si="133"/>
        <v>Male</v>
      </c>
      <c r="I695" s="1" t="s">
        <v>28</v>
      </c>
      <c r="J695" t="str">
        <f t="shared" si="134"/>
        <v>INDIA</v>
      </c>
      <c r="K695" s="14">
        <v>37</v>
      </c>
      <c r="L695" s="1">
        <f t="shared" si="135"/>
        <v>37</v>
      </c>
      <c r="M695" s="1" t="str">
        <f t="shared" si="136"/>
        <v>Mid Career</v>
      </c>
      <c r="N695" s="2">
        <v>45353</v>
      </c>
      <c r="O695" s="1" t="s">
        <v>30</v>
      </c>
      <c r="P695" s="1" t="s">
        <v>31</v>
      </c>
      <c r="Q695" s="4">
        <v>0.87</v>
      </c>
      <c r="R695" s="13">
        <f t="shared" si="137"/>
        <v>87</v>
      </c>
      <c r="S695" s="6">
        <f t="shared" si="131"/>
        <v>0.87</v>
      </c>
      <c r="T695" s="1" t="s">
        <v>64</v>
      </c>
      <c r="U695" s="1">
        <f t="shared" si="138"/>
        <v>2</v>
      </c>
      <c r="V695" s="1">
        <f t="shared" si="139"/>
        <v>61.5</v>
      </c>
      <c r="W695" s="10" t="str">
        <f t="shared" si="140"/>
        <v>Medium</v>
      </c>
      <c r="X695" s="1">
        <v>0</v>
      </c>
      <c r="Y695" s="1" t="str">
        <f t="shared" si="141"/>
        <v>No</v>
      </c>
      <c r="AA695" s="18" t="str">
        <f t="shared" si="142"/>
        <v>Invalid</v>
      </c>
      <c r="AB695" s="18" t="str">
        <f t="shared" si="143"/>
        <v>No</v>
      </c>
      <c r="AC695" s="9" t="s">
        <v>2756</v>
      </c>
      <c r="AD695">
        <f>IF(AC695="",0,LEN(AC695)-LEN(SUBSTITUTE(AC695,",",""))+1)</f>
        <v>3</v>
      </c>
    </row>
    <row r="696" spans="1:30" ht="12.5" x14ac:dyDescent="0.25">
      <c r="A696" s="1" t="s">
        <v>2757</v>
      </c>
      <c r="B696" s="1" t="s">
        <v>2758</v>
      </c>
      <c r="C696" s="1" t="str">
        <v>Jennifer Houston</v>
      </c>
      <c r="D696" s="1" t="s">
        <v>2759</v>
      </c>
      <c r="E696" s="1" t="str">
        <v>guzmanmisty@tapia-walton.com</v>
      </c>
      <c r="F696" t="str">
        <f t="shared" si="132"/>
        <v>Valid</v>
      </c>
      <c r="G696" s="1" t="s">
        <v>95</v>
      </c>
      <c r="H696" s="1" t="str">
        <f t="shared" si="133"/>
        <v>Male</v>
      </c>
      <c r="I696" s="1" t="s">
        <v>136</v>
      </c>
      <c r="J696" t="str">
        <f t="shared" si="134"/>
        <v>UK</v>
      </c>
      <c r="K696" s="14">
        <v>0</v>
      </c>
      <c r="L696" s="1">
        <f t="shared" si="135"/>
        <v>19</v>
      </c>
      <c r="M696" s="1" t="str">
        <f t="shared" si="136"/>
        <v>Student</v>
      </c>
      <c r="N696" s="2">
        <v>44966</v>
      </c>
      <c r="O696" s="1" t="s">
        <v>45</v>
      </c>
      <c r="P696" s="1" t="s">
        <v>20</v>
      </c>
      <c r="Q696" s="4">
        <v>0.44</v>
      </c>
      <c r="R696" s="13">
        <f t="shared" si="137"/>
        <v>44</v>
      </c>
      <c r="S696" s="6">
        <f t="shared" si="131"/>
        <v>0.44</v>
      </c>
      <c r="T696" s="1" t="s">
        <v>46</v>
      </c>
      <c r="U696" s="1">
        <f t="shared" si="138"/>
        <v>1</v>
      </c>
      <c r="V696" s="1">
        <f t="shared" si="139"/>
        <v>31.099999999999998</v>
      </c>
      <c r="W696" s="10" t="str">
        <f t="shared" si="140"/>
        <v>Low</v>
      </c>
      <c r="X696" s="1">
        <v>1</v>
      </c>
      <c r="Y696" s="1" t="str">
        <f t="shared" si="141"/>
        <v>Yes</v>
      </c>
      <c r="Z696" s="14">
        <v>2</v>
      </c>
      <c r="AA696" s="18">
        <f t="shared" si="142"/>
        <v>2</v>
      </c>
      <c r="AB696" s="18" t="str">
        <f t="shared" si="143"/>
        <v>No</v>
      </c>
      <c r="AC696" s="9" t="s">
        <v>2760</v>
      </c>
      <c r="AD696">
        <f>IF(AC696="",0,LEN(AC696)-LEN(SUBSTITUTE(AC696,",",""))+1)</f>
        <v>7</v>
      </c>
    </row>
    <row r="697" spans="1:30" ht="12.5" x14ac:dyDescent="0.25">
      <c r="A697" s="1" t="s">
        <v>2761</v>
      </c>
      <c r="B697" s="1" t="s">
        <v>2762</v>
      </c>
      <c r="C697" s="1" t="str">
        <v>Kayla Keller</v>
      </c>
      <c r="D697" s="1" t="s">
        <v>2763</v>
      </c>
      <c r="E697" s="1" t="str">
        <v>allen50@nguyen.biz</v>
      </c>
      <c r="F697" t="str">
        <f t="shared" si="132"/>
        <v>Valid</v>
      </c>
      <c r="G697" s="1" t="s">
        <v>88</v>
      </c>
      <c r="H697" s="1" t="str">
        <f t="shared" si="133"/>
        <v>Male</v>
      </c>
      <c r="I697" s="1" t="s">
        <v>51</v>
      </c>
      <c r="J697" t="str">
        <f t="shared" si="134"/>
        <v>UK</v>
      </c>
      <c r="K697" s="14">
        <v>29</v>
      </c>
      <c r="L697" s="1">
        <f t="shared" si="135"/>
        <v>29</v>
      </c>
      <c r="M697" s="1" t="str">
        <f t="shared" si="136"/>
        <v>Early Career</v>
      </c>
      <c r="N697" s="9">
        <v>45230</v>
      </c>
      <c r="O697" s="1" t="s">
        <v>235</v>
      </c>
      <c r="P697" s="1" t="s">
        <v>147</v>
      </c>
      <c r="Q697" s="4">
        <v>65</v>
      </c>
      <c r="R697" s="13">
        <f t="shared" si="137"/>
        <v>65</v>
      </c>
      <c r="S697" s="6">
        <f t="shared" si="131"/>
        <v>0.65</v>
      </c>
      <c r="T697" s="1">
        <v>2</v>
      </c>
      <c r="U697" s="1">
        <f t="shared" si="138"/>
        <v>2</v>
      </c>
      <c r="V697" s="1">
        <f t="shared" si="139"/>
        <v>46.1</v>
      </c>
      <c r="W697" s="10" t="str">
        <f t="shared" si="140"/>
        <v>Medium</v>
      </c>
      <c r="X697" s="1">
        <v>0</v>
      </c>
      <c r="Y697" s="1" t="str">
        <f t="shared" si="141"/>
        <v>No</v>
      </c>
      <c r="Z697" s="14">
        <v>3</v>
      </c>
      <c r="AA697" s="18">
        <f t="shared" si="142"/>
        <v>3</v>
      </c>
      <c r="AB697" s="18" t="str">
        <f t="shared" si="143"/>
        <v>No</v>
      </c>
      <c r="AC697" s="9" t="s">
        <v>2764</v>
      </c>
      <c r="AD697">
        <f>IF(AC697="",0,LEN(AC697)-LEN(SUBSTITUTE(AC697,",",""))+1)</f>
        <v>2</v>
      </c>
    </row>
    <row r="698" spans="1:30" ht="12.5" x14ac:dyDescent="0.25">
      <c r="A698" s="1" t="s">
        <v>2765</v>
      </c>
      <c r="B698" s="1" t="s">
        <v>2766</v>
      </c>
      <c r="C698" s="1" t="str">
        <v>Teresa Alvarez</v>
      </c>
      <c r="D698" s="1" t="s">
        <v>2767</v>
      </c>
      <c r="E698" s="1" t="str">
        <v>mcarter@thomas.net</v>
      </c>
      <c r="F698" t="str">
        <f t="shared" si="132"/>
        <v>Valid</v>
      </c>
      <c r="G698" s="1" t="s">
        <v>88</v>
      </c>
      <c r="H698" s="1" t="str">
        <f t="shared" si="133"/>
        <v>Male</v>
      </c>
      <c r="I698" s="1" t="s">
        <v>89</v>
      </c>
      <c r="J698" t="str">
        <f t="shared" si="134"/>
        <v>GERMANY</v>
      </c>
      <c r="K698" s="14">
        <v>0</v>
      </c>
      <c r="L698" s="1">
        <f t="shared" si="135"/>
        <v>19</v>
      </c>
      <c r="M698" s="1" t="str">
        <f t="shared" si="136"/>
        <v>Student</v>
      </c>
      <c r="N698" s="9">
        <v>45609</v>
      </c>
      <c r="O698" s="1" t="s">
        <v>146</v>
      </c>
      <c r="P698" s="1" t="s">
        <v>147</v>
      </c>
      <c r="Q698" s="4">
        <v>0.37</v>
      </c>
      <c r="R698" s="13">
        <f t="shared" si="137"/>
        <v>37</v>
      </c>
      <c r="S698" s="6">
        <f t="shared" si="131"/>
        <v>0.37</v>
      </c>
      <c r="T698" s="1">
        <v>2</v>
      </c>
      <c r="U698" s="1">
        <f t="shared" si="138"/>
        <v>2</v>
      </c>
      <c r="V698" s="1">
        <f t="shared" si="139"/>
        <v>26.5</v>
      </c>
      <c r="W698" s="10" t="str">
        <f t="shared" si="140"/>
        <v>Low</v>
      </c>
      <c r="X698" s="1" t="s">
        <v>76</v>
      </c>
      <c r="Y698" s="1" t="str">
        <f t="shared" si="141"/>
        <v>Yes</v>
      </c>
      <c r="Z698" s="14">
        <v>3</v>
      </c>
      <c r="AA698" s="18">
        <f t="shared" si="142"/>
        <v>3</v>
      </c>
      <c r="AB698" s="18" t="str">
        <f t="shared" si="143"/>
        <v>No</v>
      </c>
      <c r="AC698" s="9" t="s">
        <v>2768</v>
      </c>
      <c r="AD698">
        <f>IF(AC698="",0,LEN(AC698)-LEN(SUBSTITUTE(AC698,",",""))+1)</f>
        <v>2</v>
      </c>
    </row>
    <row r="699" spans="1:30" ht="12.5" x14ac:dyDescent="0.25">
      <c r="A699" s="1" t="s">
        <v>2769</v>
      </c>
      <c r="B699" s="1" t="s">
        <v>2770</v>
      </c>
      <c r="C699" s="1" t="str">
        <v>Michael Dunn</v>
      </c>
      <c r="D699" s="1" t="s">
        <v>2771</v>
      </c>
      <c r="E699" s="1" t="str">
        <v>peggyfriedman@yahoo.com</v>
      </c>
      <c r="F699" t="str">
        <f t="shared" si="132"/>
        <v>Valid</v>
      </c>
      <c r="G699" s="1" t="s">
        <v>95</v>
      </c>
      <c r="H699" s="1" t="str">
        <f t="shared" si="133"/>
        <v>Male</v>
      </c>
      <c r="I699" s="1" t="s">
        <v>156</v>
      </c>
      <c r="J699" t="str">
        <f t="shared" si="134"/>
        <v>IN</v>
      </c>
      <c r="K699" s="14">
        <v>41</v>
      </c>
      <c r="L699" s="1">
        <f t="shared" si="135"/>
        <v>41</v>
      </c>
      <c r="M699" s="1" t="str">
        <f t="shared" si="136"/>
        <v>Senior</v>
      </c>
      <c r="N699" s="9">
        <v>44707</v>
      </c>
      <c r="O699" s="1" t="s">
        <v>114</v>
      </c>
      <c r="P699" s="1" t="s">
        <v>59</v>
      </c>
      <c r="Q699" s="4">
        <v>0.78</v>
      </c>
      <c r="R699" s="13">
        <f t="shared" si="137"/>
        <v>78</v>
      </c>
      <c r="S699" s="6">
        <f t="shared" si="131"/>
        <v>0.78</v>
      </c>
      <c r="T699" s="1">
        <v>1.5</v>
      </c>
      <c r="U699" s="1">
        <f t="shared" si="138"/>
        <v>1.5</v>
      </c>
      <c r="V699" s="1">
        <f t="shared" si="139"/>
        <v>55.05</v>
      </c>
      <c r="W699" s="10" t="str">
        <f t="shared" si="140"/>
        <v>Medium</v>
      </c>
      <c r="X699" s="1" t="s">
        <v>76</v>
      </c>
      <c r="Y699" s="1" t="str">
        <f t="shared" si="141"/>
        <v>Yes</v>
      </c>
      <c r="Z699" s="14">
        <v>4</v>
      </c>
      <c r="AA699" s="18">
        <f t="shared" si="142"/>
        <v>4</v>
      </c>
      <c r="AB699" s="18" t="str">
        <f t="shared" si="143"/>
        <v>High Performer</v>
      </c>
      <c r="AC699" s="9" t="s">
        <v>2772</v>
      </c>
      <c r="AD699">
        <f>IF(AC699="",0,LEN(AC699)-LEN(SUBSTITUTE(AC699,",",""))+1)</f>
        <v>8</v>
      </c>
    </row>
    <row r="700" spans="1:30" ht="12.5" x14ac:dyDescent="0.25">
      <c r="A700" s="1" t="s">
        <v>2773</v>
      </c>
      <c r="B700" s="1" t="s">
        <v>2774</v>
      </c>
      <c r="C700" s="1" t="str">
        <v>Tony Graves</v>
      </c>
      <c r="D700" s="1" t="s">
        <v>2775</v>
      </c>
      <c r="E700" s="1" t="str">
        <v>bholder@hickman.biz</v>
      </c>
      <c r="F700" t="str">
        <f t="shared" si="132"/>
        <v>Valid</v>
      </c>
      <c r="G700" s="1" t="s">
        <v>95</v>
      </c>
      <c r="H700" s="1" t="str">
        <f t="shared" si="133"/>
        <v>Male</v>
      </c>
      <c r="I700" s="1" t="s">
        <v>51</v>
      </c>
      <c r="J700" t="str">
        <f t="shared" si="134"/>
        <v>UK</v>
      </c>
      <c r="K700" s="14">
        <v>0</v>
      </c>
      <c r="L700" s="1">
        <f t="shared" si="135"/>
        <v>19</v>
      </c>
      <c r="M700" s="1" t="str">
        <f t="shared" si="136"/>
        <v>Student</v>
      </c>
      <c r="N700" s="9">
        <v>45687</v>
      </c>
      <c r="O700" s="1" t="s">
        <v>301</v>
      </c>
      <c r="P700" s="1" t="s">
        <v>20</v>
      </c>
      <c r="Q700" s="4">
        <v>0.65</v>
      </c>
      <c r="R700" s="13">
        <f t="shared" si="137"/>
        <v>65</v>
      </c>
      <c r="S700" s="6">
        <f t="shared" si="131"/>
        <v>0.65</v>
      </c>
      <c r="T700" s="1" t="s">
        <v>21</v>
      </c>
      <c r="U700" s="1">
        <f t="shared" si="138"/>
        <v>1.5</v>
      </c>
      <c r="V700" s="1">
        <f t="shared" si="139"/>
        <v>45.95</v>
      </c>
      <c r="W700" s="10" t="str">
        <f t="shared" si="140"/>
        <v>Medium</v>
      </c>
      <c r="X700" s="1" t="s">
        <v>38</v>
      </c>
      <c r="Y700" s="1" t="str">
        <f t="shared" si="141"/>
        <v>No</v>
      </c>
      <c r="Z700" s="14">
        <v>2</v>
      </c>
      <c r="AA700" s="18">
        <f t="shared" si="142"/>
        <v>2</v>
      </c>
      <c r="AB700" s="18" t="str">
        <f t="shared" si="143"/>
        <v>No</v>
      </c>
      <c r="AC700" s="9" t="s">
        <v>2777</v>
      </c>
      <c r="AD700">
        <f>IF(AC700="",0,LEN(AC700)-LEN(SUBSTITUTE(AC700,",",""))+1)</f>
        <v>8</v>
      </c>
    </row>
    <row r="701" spans="1:30" ht="12.5" x14ac:dyDescent="0.25">
      <c r="A701" s="1" t="s">
        <v>2778</v>
      </c>
      <c r="B701" s="1" t="s">
        <v>2779</v>
      </c>
      <c r="C701" s="1" t="str">
        <v>Steven Martinez</v>
      </c>
      <c r="D701" s="1" t="s">
        <v>2780</v>
      </c>
      <c r="E701" s="1" t="str">
        <v>sdavis@wiggins-huynh.org</v>
      </c>
      <c r="F701" t="str">
        <f t="shared" si="132"/>
        <v>Valid</v>
      </c>
      <c r="G701" s="1" t="s">
        <v>119</v>
      </c>
      <c r="H701" s="1" t="str">
        <f t="shared" si="133"/>
        <v>Female</v>
      </c>
      <c r="I701" s="1" t="s">
        <v>136</v>
      </c>
      <c r="J701" t="str">
        <f t="shared" si="134"/>
        <v>UK</v>
      </c>
      <c r="K701" s="14">
        <v>23</v>
      </c>
      <c r="L701" s="1">
        <f t="shared" si="135"/>
        <v>23</v>
      </c>
      <c r="M701" s="1" t="str">
        <f t="shared" si="136"/>
        <v>Early Career</v>
      </c>
      <c r="N701" s="9">
        <v>45093</v>
      </c>
      <c r="O701" s="1" t="s">
        <v>58</v>
      </c>
      <c r="P701" s="1" t="s">
        <v>59</v>
      </c>
      <c r="Q701" s="4">
        <v>0.23</v>
      </c>
      <c r="R701" s="13">
        <f t="shared" si="137"/>
        <v>23</v>
      </c>
      <c r="S701" s="6">
        <f t="shared" si="131"/>
        <v>0.23</v>
      </c>
      <c r="T701" s="1">
        <v>2</v>
      </c>
      <c r="U701" s="1">
        <f t="shared" si="138"/>
        <v>2</v>
      </c>
      <c r="V701" s="1">
        <f t="shared" si="139"/>
        <v>16.7</v>
      </c>
      <c r="W701" s="10" t="str">
        <f t="shared" si="140"/>
        <v>Low</v>
      </c>
      <c r="X701" s="1" t="s">
        <v>38</v>
      </c>
      <c r="Y701" s="1" t="str">
        <f t="shared" si="141"/>
        <v>No</v>
      </c>
      <c r="Z701" s="14">
        <v>5</v>
      </c>
      <c r="AA701" s="18">
        <f t="shared" si="142"/>
        <v>5</v>
      </c>
      <c r="AB701" s="18" t="str">
        <f t="shared" si="143"/>
        <v>No</v>
      </c>
      <c r="AC701" s="9" t="s">
        <v>2781</v>
      </c>
      <c r="AD701">
        <f>IF(AC701="",0,LEN(AC701)-LEN(SUBSTITUTE(AC701,",",""))+1)</f>
        <v>5</v>
      </c>
    </row>
    <row r="702" spans="1:30" ht="12.5" x14ac:dyDescent="0.25">
      <c r="A702" s="1" t="s">
        <v>2782</v>
      </c>
      <c r="B702" s="1" t="s">
        <v>2783</v>
      </c>
      <c r="C702" s="1" t="str">
        <v>Nancy James</v>
      </c>
      <c r="D702" s="1" t="s">
        <v>2784</v>
      </c>
      <c r="E702" s="1" t="str">
        <v>jeffreywilson@gmail.com</v>
      </c>
      <c r="F702" t="str">
        <f t="shared" si="132"/>
        <v>Valid</v>
      </c>
      <c r="G702" s="1" t="s">
        <v>95</v>
      </c>
      <c r="H702" s="1" t="str">
        <f t="shared" si="133"/>
        <v>Male</v>
      </c>
      <c r="I702" s="1" t="s">
        <v>51</v>
      </c>
      <c r="J702" t="str">
        <f t="shared" si="134"/>
        <v>UK</v>
      </c>
      <c r="K702" s="14">
        <v>39</v>
      </c>
      <c r="L702" s="1">
        <f t="shared" si="135"/>
        <v>39</v>
      </c>
      <c r="M702" s="1" t="str">
        <f t="shared" si="136"/>
        <v>Mid Career</v>
      </c>
      <c r="N702" s="9">
        <v>44758</v>
      </c>
      <c r="O702" s="1" t="s">
        <v>301</v>
      </c>
      <c r="P702" s="1" t="s">
        <v>20</v>
      </c>
      <c r="Q702" s="4">
        <v>0.05</v>
      </c>
      <c r="R702" s="13">
        <f t="shared" si="137"/>
        <v>5</v>
      </c>
      <c r="S702" s="6">
        <f t="shared" si="131"/>
        <v>0.05</v>
      </c>
      <c r="T702" s="1">
        <v>1.5</v>
      </c>
      <c r="U702" s="1">
        <f t="shared" si="138"/>
        <v>1.5</v>
      </c>
      <c r="V702" s="1">
        <f t="shared" si="139"/>
        <v>3.95</v>
      </c>
      <c r="W702" s="10" t="str">
        <f t="shared" si="140"/>
        <v>Low</v>
      </c>
      <c r="X702" s="1">
        <v>0</v>
      </c>
      <c r="Y702" s="1" t="str">
        <f t="shared" si="141"/>
        <v>No</v>
      </c>
      <c r="Z702" s="14">
        <v>2</v>
      </c>
      <c r="AA702" s="18">
        <f t="shared" si="142"/>
        <v>2</v>
      </c>
      <c r="AB702" s="18" t="str">
        <f t="shared" si="143"/>
        <v>No</v>
      </c>
      <c r="AC702" s="9" t="s">
        <v>2785</v>
      </c>
      <c r="AD702">
        <f>IF(AC702="",0,LEN(AC702)-LEN(SUBSTITUTE(AC702,",",""))+1)</f>
        <v>4</v>
      </c>
    </row>
    <row r="703" spans="1:30" ht="12.5" x14ac:dyDescent="0.25">
      <c r="A703" s="1" t="s">
        <v>2786</v>
      </c>
      <c r="B703" s="1" t="s">
        <v>2787</v>
      </c>
      <c r="C703" s="1" t="str">
        <v>Natasha Wilson</v>
      </c>
      <c r="D703" s="1" t="s">
        <v>2788</v>
      </c>
      <c r="E703" s="1" t="str">
        <v>melissafinley@hotmail.com</v>
      </c>
      <c r="F703" t="str">
        <f t="shared" si="132"/>
        <v>Valid</v>
      </c>
      <c r="G703" s="1" t="s">
        <v>88</v>
      </c>
      <c r="H703" s="1" t="str">
        <f t="shared" si="133"/>
        <v>Male</v>
      </c>
      <c r="I703" s="1" t="s">
        <v>96</v>
      </c>
      <c r="J703" t="str">
        <f t="shared" si="134"/>
        <v>INDIA</v>
      </c>
      <c r="K703" s="14">
        <v>0</v>
      </c>
      <c r="L703" s="1">
        <f t="shared" si="135"/>
        <v>19</v>
      </c>
      <c r="M703" s="1" t="str">
        <f t="shared" si="136"/>
        <v>Student</v>
      </c>
      <c r="N703" s="9">
        <v>44831</v>
      </c>
      <c r="O703" s="1" t="s">
        <v>36</v>
      </c>
      <c r="P703" s="1" t="s">
        <v>37</v>
      </c>
      <c r="Q703" s="4">
        <v>0.87</v>
      </c>
      <c r="R703" s="13">
        <f t="shared" si="137"/>
        <v>87</v>
      </c>
      <c r="S703" s="6">
        <f t="shared" si="131"/>
        <v>0.87</v>
      </c>
      <c r="T703" s="1" t="s">
        <v>64</v>
      </c>
      <c r="U703" s="1">
        <f t="shared" si="138"/>
        <v>2</v>
      </c>
      <c r="V703" s="1">
        <f t="shared" si="139"/>
        <v>61.5</v>
      </c>
      <c r="W703" s="10" t="str">
        <f t="shared" si="140"/>
        <v>Medium</v>
      </c>
      <c r="X703" s="1" t="s">
        <v>38</v>
      </c>
      <c r="Y703" s="1" t="str">
        <f t="shared" si="141"/>
        <v>No</v>
      </c>
      <c r="AA703" s="18" t="str">
        <f t="shared" si="142"/>
        <v>Invalid</v>
      </c>
      <c r="AB703" s="18" t="str">
        <f t="shared" si="143"/>
        <v>No</v>
      </c>
      <c r="AC703" s="9" t="s">
        <v>2789</v>
      </c>
      <c r="AD703">
        <f>IF(AC703="",0,LEN(AC703)-LEN(SUBSTITUTE(AC703,",",""))+1)</f>
        <v>7</v>
      </c>
    </row>
    <row r="704" spans="1:30" ht="12.5" x14ac:dyDescent="0.25">
      <c r="A704" s="1" t="s">
        <v>2790</v>
      </c>
      <c r="B704" s="1" t="s">
        <v>2791</v>
      </c>
      <c r="C704" s="1" t="str">
        <v>James Henderson</v>
      </c>
      <c r="D704" s="1" t="s">
        <v>2792</v>
      </c>
      <c r="E704" s="1" t="str">
        <v>aprilguzman@gmail.com</v>
      </c>
      <c r="F704" t="str">
        <f t="shared" si="132"/>
        <v>Valid</v>
      </c>
      <c r="G704" s="1" t="s">
        <v>95</v>
      </c>
      <c r="H704" s="1" t="str">
        <f t="shared" si="133"/>
        <v>Male</v>
      </c>
      <c r="I704" s="1" t="s">
        <v>156</v>
      </c>
      <c r="J704" t="str">
        <f t="shared" si="134"/>
        <v>IN</v>
      </c>
      <c r="K704" s="14">
        <v>0</v>
      </c>
      <c r="L704" s="1">
        <f t="shared" si="135"/>
        <v>19</v>
      </c>
      <c r="M704" s="1" t="str">
        <f t="shared" si="136"/>
        <v>Student</v>
      </c>
      <c r="N704" s="2">
        <v>44808</v>
      </c>
      <c r="O704" s="1" t="s">
        <v>235</v>
      </c>
      <c r="P704" s="1" t="s">
        <v>147</v>
      </c>
      <c r="Q704" s="4">
        <v>0.44</v>
      </c>
      <c r="R704" s="13">
        <f t="shared" si="137"/>
        <v>44</v>
      </c>
      <c r="S704" s="6">
        <f t="shared" si="131"/>
        <v>0.44</v>
      </c>
      <c r="T704" s="1">
        <v>1.5</v>
      </c>
      <c r="U704" s="1">
        <f t="shared" si="138"/>
        <v>1.5</v>
      </c>
      <c r="V704" s="1">
        <f t="shared" si="139"/>
        <v>31.249999999999996</v>
      </c>
      <c r="W704" s="10" t="str">
        <f t="shared" si="140"/>
        <v>Low</v>
      </c>
      <c r="X704" s="1" t="s">
        <v>38</v>
      </c>
      <c r="Y704" s="1" t="str">
        <f t="shared" si="141"/>
        <v>No</v>
      </c>
      <c r="Z704" s="14">
        <v>5</v>
      </c>
      <c r="AA704" s="18">
        <f t="shared" si="142"/>
        <v>5</v>
      </c>
      <c r="AB704" s="18" t="str">
        <f t="shared" si="143"/>
        <v>No</v>
      </c>
      <c r="AC704" s="9" t="s">
        <v>2793</v>
      </c>
      <c r="AD704">
        <f>IF(AC704="",0,LEN(AC704)-LEN(SUBSTITUTE(AC704,",",""))+1)</f>
        <v>2</v>
      </c>
    </row>
    <row r="705" spans="1:30" ht="12.5" x14ac:dyDescent="0.25">
      <c r="A705" s="1" t="s">
        <v>2794</v>
      </c>
      <c r="B705" s="1" t="s">
        <v>2795</v>
      </c>
      <c r="C705" s="1" t="str">
        <v>Charles Hahn</v>
      </c>
      <c r="D705" s="1" t="s">
        <v>2796</v>
      </c>
      <c r="E705" s="1" t="str">
        <v>jfrazier@campbell.com</v>
      </c>
      <c r="F705" t="str">
        <f t="shared" si="132"/>
        <v>Valid</v>
      </c>
      <c r="G705" s="1" t="s">
        <v>109</v>
      </c>
      <c r="H705" s="1" t="str">
        <f t="shared" si="133"/>
        <v>Male</v>
      </c>
      <c r="I705" s="1" t="s">
        <v>89</v>
      </c>
      <c r="J705" t="str">
        <f t="shared" si="134"/>
        <v>GERMANY</v>
      </c>
      <c r="K705" s="14">
        <v>26</v>
      </c>
      <c r="L705" s="1">
        <f t="shared" si="135"/>
        <v>26</v>
      </c>
      <c r="M705" s="1" t="str">
        <f t="shared" si="136"/>
        <v>Early Career</v>
      </c>
      <c r="N705" s="9">
        <v>44823</v>
      </c>
      <c r="O705" s="1" t="s">
        <v>58</v>
      </c>
      <c r="P705" s="1" t="s">
        <v>59</v>
      </c>
      <c r="Q705" s="4">
        <v>0.54</v>
      </c>
      <c r="R705" s="13">
        <f t="shared" si="137"/>
        <v>54</v>
      </c>
      <c r="S705" s="6">
        <f t="shared" si="131"/>
        <v>0.54</v>
      </c>
      <c r="T705" s="1" t="s">
        <v>64</v>
      </c>
      <c r="U705" s="1">
        <f t="shared" si="138"/>
        <v>2</v>
      </c>
      <c r="V705" s="1">
        <f t="shared" si="139"/>
        <v>38.4</v>
      </c>
      <c r="W705" s="10" t="str">
        <f t="shared" si="140"/>
        <v>Low</v>
      </c>
      <c r="X705" s="1">
        <v>0</v>
      </c>
      <c r="Y705" s="1" t="str">
        <f t="shared" si="141"/>
        <v>No</v>
      </c>
      <c r="Z705" s="14">
        <v>2</v>
      </c>
      <c r="AA705" s="18">
        <f t="shared" si="142"/>
        <v>2</v>
      </c>
      <c r="AB705" s="18" t="str">
        <f t="shared" si="143"/>
        <v>No</v>
      </c>
      <c r="AC705" s="9" t="s">
        <v>2797</v>
      </c>
      <c r="AD705">
        <f>IF(AC705="",0,LEN(AC705)-LEN(SUBSTITUTE(AC705,",",""))+1)</f>
        <v>5</v>
      </c>
    </row>
    <row r="706" spans="1:30" ht="12.5" x14ac:dyDescent="0.25">
      <c r="A706" s="1" t="s">
        <v>2798</v>
      </c>
      <c r="B706" s="1" t="s">
        <v>2799</v>
      </c>
      <c r="C706" s="1" t="str">
        <v>Denise Abbott</v>
      </c>
      <c r="D706" s="1" t="s">
        <v>2800</v>
      </c>
      <c r="E706" s="1" t="str">
        <v>troypadilla@yahoo.com</v>
      </c>
      <c r="F706" t="str">
        <f t="shared" si="132"/>
        <v>Valid</v>
      </c>
      <c r="G706" s="1" t="s">
        <v>109</v>
      </c>
      <c r="H706" s="1" t="str">
        <f t="shared" si="133"/>
        <v>Male</v>
      </c>
      <c r="I706" s="1" t="s">
        <v>89</v>
      </c>
      <c r="J706" t="str">
        <f t="shared" si="134"/>
        <v>GERMANY</v>
      </c>
      <c r="K706" s="14">
        <v>0</v>
      </c>
      <c r="L706" s="1">
        <f t="shared" si="135"/>
        <v>19</v>
      </c>
      <c r="M706" s="1" t="str">
        <f t="shared" si="136"/>
        <v>Student</v>
      </c>
      <c r="N706" s="9">
        <v>45588</v>
      </c>
      <c r="O706" s="1" t="s">
        <v>146</v>
      </c>
      <c r="P706" s="1" t="s">
        <v>147</v>
      </c>
      <c r="Q706" s="4">
        <v>1</v>
      </c>
      <c r="R706" s="13">
        <f t="shared" si="137"/>
        <v>100</v>
      </c>
      <c r="S706" s="6">
        <f t="shared" ref="S706:S769" si="144">R706/100</f>
        <v>1</v>
      </c>
      <c r="T706" s="1" t="s">
        <v>21</v>
      </c>
      <c r="U706" s="1">
        <f t="shared" si="138"/>
        <v>1.5</v>
      </c>
      <c r="V706" s="1">
        <f t="shared" si="139"/>
        <v>70.45</v>
      </c>
      <c r="W706" s="10" t="str">
        <f t="shared" si="140"/>
        <v>Medium</v>
      </c>
      <c r="X706" s="1" t="s">
        <v>22</v>
      </c>
      <c r="Y706" s="1" t="str">
        <f t="shared" si="141"/>
        <v>No</v>
      </c>
      <c r="Z706" s="14">
        <v>6</v>
      </c>
      <c r="AA706" s="18">
        <f t="shared" si="142"/>
        <v>6</v>
      </c>
      <c r="AB706" s="18" t="str">
        <f t="shared" si="143"/>
        <v>No</v>
      </c>
      <c r="AC706" s="9" t="s">
        <v>2801</v>
      </c>
      <c r="AD706">
        <f>IF(AC706="",0,LEN(AC706)-LEN(SUBSTITUTE(AC706,",",""))+1)</f>
        <v>7</v>
      </c>
    </row>
    <row r="707" spans="1:30" ht="12.5" x14ac:dyDescent="0.25">
      <c r="A707" s="1" t="s">
        <v>2802</v>
      </c>
      <c r="B707" s="1" t="s">
        <v>2803</v>
      </c>
      <c r="C707" s="1" t="str">
        <v>Christine Oconnor</v>
      </c>
      <c r="D707" s="1" t="s">
        <v>2804</v>
      </c>
      <c r="E707" s="1" t="str">
        <v>leblanckimberly@luna-evans.com</v>
      </c>
      <c r="F707" t="str">
        <f t="shared" ref="F707:F770" si="145">IF(ISNUMBER(SEARCH("@", E707)), "Valid", "Invalid")</f>
        <v>Valid</v>
      </c>
      <c r="G707" s="1" t="s">
        <v>17</v>
      </c>
      <c r="H707" s="1" t="str">
        <f t="shared" ref="H707:H770" si="146">IF(OR(LOWER(G707)="m", LOWER(G707)="male"), "Male", IF(OR(LOWER(G707)="f", LOWER(G707)="female"), "Female","Other"))</f>
        <v>Female</v>
      </c>
      <c r="I707" s="1" t="s">
        <v>28</v>
      </c>
      <c r="J707" t="str">
        <f t="shared" ref="J707:J770" si="147">UPPER(TRIM(I707))</f>
        <v>INDIA</v>
      </c>
      <c r="L707" s="1">
        <f t="shared" ref="L707:L770" si="148">IF(OR(K707=0,K707&lt;10,K707&gt;100), $L$1202, K707)</f>
        <v>19</v>
      </c>
      <c r="M707" s="1" t="str">
        <f t="shared" ref="M707:M770" si="149">IF(K707&lt;22,"Student",
IF(K707&lt;=30,"Early Career",
IF(K707&lt;=40,"Mid Career",
IF(K707&lt;=50,"Senior","Expert"))))</f>
        <v>Student</v>
      </c>
      <c r="N707" s="2">
        <v>44749</v>
      </c>
      <c r="O707" s="1" t="s">
        <v>235</v>
      </c>
      <c r="P707" s="1" t="s">
        <v>147</v>
      </c>
      <c r="Q707" s="4">
        <v>0.24</v>
      </c>
      <c r="R707" s="13">
        <f t="shared" ref="R707:R770" si="150">IF(Q707&lt;=1, Q707*100, Q707)</f>
        <v>24</v>
      </c>
      <c r="S707" s="6">
        <f t="shared" si="144"/>
        <v>0.24</v>
      </c>
      <c r="T707" s="1" t="s">
        <v>64</v>
      </c>
      <c r="U707" s="1">
        <f t="shared" ref="U707:U770" si="151">IF(ISNUMBER(T707), T707,
IF(ISNUMBER(SEARCH("min", T707)), VALUE(LEFT(T707, FIND(" ", T707)-1))/60,
IF(ISNUMBER(SEARCH("hour", T707)), VALUE(LEFT(T707, FIND(" ", T707)-1)),
"")))</f>
        <v>2</v>
      </c>
      <c r="V707" s="1">
        <f t="shared" ref="V707:V770" si="152">MIN( (0.7*R707 + 0.3*(U707)), 100 )</f>
        <v>17.399999999999999</v>
      </c>
      <c r="W707" s="10" t="str">
        <f t="shared" ref="W707:W770" si="153">IF(V707&lt;41,"Low",IF(V707&lt;71,"Medium","High"))</f>
        <v>Low</v>
      </c>
      <c r="X707" s="1">
        <v>0</v>
      </c>
      <c r="Y707" s="1" t="str">
        <f t="shared" ref="Y707:Y770" si="154">IF(OR(X707="Yes", X707="Y", X707=1), "Yes", "No")</f>
        <v>No</v>
      </c>
      <c r="Z707" s="14">
        <v>2</v>
      </c>
      <c r="AA707" s="18">
        <f t="shared" ref="AA707:AA770" si="155">IF(AND(Z707&gt;=1,Z707&lt;=6),Z707,"Invalid")</f>
        <v>2</v>
      </c>
      <c r="AB707" s="18" t="str">
        <f t="shared" ref="AB707:AB770" si="156">IF(AND(Y707="Yes",AA707&gt;=4),"High Performer","No")</f>
        <v>No</v>
      </c>
      <c r="AC707" s="9" t="s">
        <v>2805</v>
      </c>
      <c r="AD707">
        <f>IF(AC707="",0,LEN(AC707)-LEN(SUBSTITUTE(AC707,",",""))+1)</f>
        <v>3</v>
      </c>
    </row>
    <row r="708" spans="1:30" ht="12.5" x14ac:dyDescent="0.25">
      <c r="A708" s="1" t="s">
        <v>2806</v>
      </c>
      <c r="B708" s="1" t="s">
        <v>2807</v>
      </c>
      <c r="C708" s="1" t="str">
        <v>Wanda Todd</v>
      </c>
      <c r="D708" s="1" t="s">
        <v>2808</v>
      </c>
      <c r="E708" s="1" t="str">
        <v>rosejustin@hotmail.com</v>
      </c>
      <c r="F708" t="str">
        <f t="shared" si="145"/>
        <v>Valid</v>
      </c>
      <c r="G708" s="1" t="s">
        <v>27</v>
      </c>
      <c r="H708" s="1" t="str">
        <f t="shared" si="146"/>
        <v>Male</v>
      </c>
      <c r="I708" s="1" t="s">
        <v>156</v>
      </c>
      <c r="J708" t="str">
        <f t="shared" si="147"/>
        <v>IN</v>
      </c>
      <c r="L708" s="1">
        <f t="shared" si="148"/>
        <v>19</v>
      </c>
      <c r="M708" s="1" t="str">
        <f t="shared" si="149"/>
        <v>Student</v>
      </c>
      <c r="N708" s="2">
        <v>44839</v>
      </c>
      <c r="O708" s="1" t="s">
        <v>235</v>
      </c>
      <c r="P708" s="1" t="s">
        <v>147</v>
      </c>
      <c r="Q708" s="4">
        <v>0.65</v>
      </c>
      <c r="R708" s="13">
        <f t="shared" si="150"/>
        <v>65</v>
      </c>
      <c r="S708" s="6">
        <f t="shared" si="144"/>
        <v>0.65</v>
      </c>
      <c r="T708" s="1" t="s">
        <v>64</v>
      </c>
      <c r="U708" s="1">
        <f t="shared" si="151"/>
        <v>2</v>
      </c>
      <c r="V708" s="1">
        <f t="shared" si="152"/>
        <v>46.1</v>
      </c>
      <c r="W708" s="10" t="str">
        <f t="shared" si="153"/>
        <v>Medium</v>
      </c>
      <c r="X708" s="1" t="s">
        <v>22</v>
      </c>
      <c r="Y708" s="1" t="str">
        <f t="shared" si="154"/>
        <v>No</v>
      </c>
      <c r="Z708" s="14">
        <v>4</v>
      </c>
      <c r="AA708" s="18">
        <f t="shared" si="155"/>
        <v>4</v>
      </c>
      <c r="AB708" s="18" t="str">
        <f t="shared" si="156"/>
        <v>No</v>
      </c>
      <c r="AC708" s="9" t="s">
        <v>2809</v>
      </c>
      <c r="AD708">
        <f>IF(AC708="",0,LEN(AC708)-LEN(SUBSTITUTE(AC708,",",""))+1)</f>
        <v>6</v>
      </c>
    </row>
    <row r="709" spans="1:30" ht="12.5" x14ac:dyDescent="0.25">
      <c r="A709" s="1" t="s">
        <v>2810</v>
      </c>
      <c r="B709" s="1" t="s">
        <v>2811</v>
      </c>
      <c r="C709" s="1" t="str">
        <v>Frank Moody</v>
      </c>
      <c r="D709" s="1" t="s">
        <v>2812</v>
      </c>
      <c r="E709" s="1" t="str">
        <v>stephen29@ramos.com</v>
      </c>
      <c r="F709" t="str">
        <f t="shared" si="145"/>
        <v>Valid</v>
      </c>
      <c r="G709" s="1" t="s">
        <v>27</v>
      </c>
      <c r="H709" s="1" t="str">
        <f t="shared" si="146"/>
        <v>Male</v>
      </c>
      <c r="I709" s="1" t="s">
        <v>74</v>
      </c>
      <c r="J709" t="str">
        <f t="shared" si="147"/>
        <v>USA</v>
      </c>
      <c r="K709" s="14">
        <v>31</v>
      </c>
      <c r="L709" s="1">
        <f t="shared" si="148"/>
        <v>31</v>
      </c>
      <c r="M709" s="1" t="str">
        <f t="shared" si="149"/>
        <v>Mid Career</v>
      </c>
      <c r="N709" s="2">
        <v>45018</v>
      </c>
      <c r="O709" s="1" t="s">
        <v>36</v>
      </c>
      <c r="P709" s="1" t="s">
        <v>37</v>
      </c>
      <c r="Q709" s="4">
        <v>0.84</v>
      </c>
      <c r="R709" s="13">
        <f t="shared" si="150"/>
        <v>84</v>
      </c>
      <c r="S709" s="6">
        <f t="shared" si="144"/>
        <v>0.84</v>
      </c>
      <c r="T709" s="1">
        <v>1.5</v>
      </c>
      <c r="U709" s="1">
        <f t="shared" si="151"/>
        <v>1.5</v>
      </c>
      <c r="V709" s="1">
        <f t="shared" si="152"/>
        <v>59.25</v>
      </c>
      <c r="W709" s="10" t="str">
        <f t="shared" si="153"/>
        <v>Medium</v>
      </c>
      <c r="X709" s="1" t="s">
        <v>38</v>
      </c>
      <c r="Y709" s="1" t="str">
        <f t="shared" si="154"/>
        <v>No</v>
      </c>
      <c r="AA709" s="18" t="str">
        <f t="shared" si="155"/>
        <v>Invalid</v>
      </c>
      <c r="AB709" s="18" t="str">
        <f t="shared" si="156"/>
        <v>No</v>
      </c>
      <c r="AC709" s="9" t="s">
        <v>2813</v>
      </c>
      <c r="AD709">
        <f>IF(AC709="",0,LEN(AC709)-LEN(SUBSTITUTE(AC709,",",""))+1)</f>
        <v>3</v>
      </c>
    </row>
    <row r="710" spans="1:30" ht="12.5" x14ac:dyDescent="0.25">
      <c r="A710" s="1" t="s">
        <v>2814</v>
      </c>
      <c r="B710" s="1" t="s">
        <v>2815</v>
      </c>
      <c r="C710" s="1" t="str">
        <v>Matthew Cox</v>
      </c>
      <c r="D710" s="1" t="s">
        <v>2816</v>
      </c>
      <c r="E710" s="1" t="str">
        <v>nicholasmcgrath@skinner.info</v>
      </c>
      <c r="F710" t="str">
        <f t="shared" si="145"/>
        <v>Valid</v>
      </c>
      <c r="G710" s="1" t="s">
        <v>57</v>
      </c>
      <c r="H710" s="1" t="str">
        <f t="shared" si="146"/>
        <v>Female</v>
      </c>
      <c r="I710" s="1" t="s">
        <v>156</v>
      </c>
      <c r="J710" t="str">
        <f t="shared" si="147"/>
        <v>IN</v>
      </c>
      <c r="L710" s="1">
        <f t="shared" si="148"/>
        <v>19</v>
      </c>
      <c r="M710" s="1" t="str">
        <f t="shared" si="149"/>
        <v>Student</v>
      </c>
      <c r="N710" s="9">
        <v>44882</v>
      </c>
      <c r="O710" s="1" t="s">
        <v>52</v>
      </c>
      <c r="P710" s="1" t="s">
        <v>37</v>
      </c>
      <c r="Q710" s="4">
        <v>0.01</v>
      </c>
      <c r="R710" s="13">
        <f t="shared" si="150"/>
        <v>1</v>
      </c>
      <c r="S710" s="6">
        <f t="shared" si="144"/>
        <v>0.01</v>
      </c>
      <c r="T710" s="1">
        <v>1.5</v>
      </c>
      <c r="U710" s="1">
        <f t="shared" si="151"/>
        <v>1.5</v>
      </c>
      <c r="V710" s="1">
        <f t="shared" si="152"/>
        <v>1.1499999999999999</v>
      </c>
      <c r="W710" s="10" t="str">
        <f t="shared" si="153"/>
        <v>Low</v>
      </c>
      <c r="X710" s="1">
        <v>1</v>
      </c>
      <c r="Y710" s="1" t="str">
        <f t="shared" si="154"/>
        <v>Yes</v>
      </c>
      <c r="AA710" s="18" t="str">
        <f t="shared" si="155"/>
        <v>Invalid</v>
      </c>
      <c r="AB710" s="18" t="str">
        <f t="shared" si="156"/>
        <v>High Performer</v>
      </c>
      <c r="AC710" s="9" t="s">
        <v>2817</v>
      </c>
      <c r="AD710">
        <f>IF(AC710="",0,LEN(AC710)-LEN(SUBSTITUTE(AC710,",",""))+1)</f>
        <v>5</v>
      </c>
    </row>
    <row r="711" spans="1:30" ht="12.5" x14ac:dyDescent="0.25">
      <c r="A711" s="1" t="s">
        <v>2818</v>
      </c>
      <c r="B711" s="1" t="s">
        <v>2819</v>
      </c>
      <c r="C711" s="1" t="str">
        <v>Gina Hamilton</v>
      </c>
      <c r="D711" s="1" t="s">
        <v>2820</v>
      </c>
      <c r="E711" s="1" t="str">
        <v>hsanchez@sanders.org</v>
      </c>
      <c r="F711" t="str">
        <f t="shared" si="145"/>
        <v>Valid</v>
      </c>
      <c r="G711" s="1" t="s">
        <v>109</v>
      </c>
      <c r="H711" s="1" t="str">
        <f t="shared" si="146"/>
        <v>Male</v>
      </c>
      <c r="I711" s="1" t="s">
        <v>74</v>
      </c>
      <c r="J711" t="str">
        <f t="shared" si="147"/>
        <v>USA</v>
      </c>
      <c r="K711" s="14">
        <v>0</v>
      </c>
      <c r="L711" s="1">
        <f t="shared" si="148"/>
        <v>19</v>
      </c>
      <c r="M711" s="1" t="str">
        <f t="shared" si="149"/>
        <v>Student</v>
      </c>
      <c r="N711" s="2">
        <v>45231</v>
      </c>
      <c r="O711" s="1" t="s">
        <v>30</v>
      </c>
      <c r="P711" s="1" t="s">
        <v>31</v>
      </c>
      <c r="Q711" s="4">
        <v>0.26</v>
      </c>
      <c r="R711" s="13">
        <f t="shared" si="150"/>
        <v>26</v>
      </c>
      <c r="S711" s="6">
        <f t="shared" si="144"/>
        <v>0.26</v>
      </c>
      <c r="T711" s="1" t="s">
        <v>21</v>
      </c>
      <c r="U711" s="1">
        <f t="shared" si="151"/>
        <v>1.5</v>
      </c>
      <c r="V711" s="1">
        <f t="shared" si="152"/>
        <v>18.649999999999999</v>
      </c>
      <c r="W711" s="10" t="str">
        <f t="shared" si="153"/>
        <v>Low</v>
      </c>
      <c r="X711" s="1">
        <v>0</v>
      </c>
      <c r="Y711" s="1" t="str">
        <f t="shared" si="154"/>
        <v>No</v>
      </c>
      <c r="Z711" s="14">
        <v>5</v>
      </c>
      <c r="AA711" s="18">
        <f t="shared" si="155"/>
        <v>5</v>
      </c>
      <c r="AB711" s="18" t="str">
        <f t="shared" si="156"/>
        <v>No</v>
      </c>
      <c r="AC711" s="9" t="s">
        <v>2821</v>
      </c>
      <c r="AD711">
        <f>IF(AC711="",0,LEN(AC711)-LEN(SUBSTITUTE(AC711,",",""))+1)</f>
        <v>6</v>
      </c>
    </row>
    <row r="712" spans="1:30" ht="12.5" x14ac:dyDescent="0.25">
      <c r="A712" s="1" t="s">
        <v>2822</v>
      </c>
      <c r="B712" s="1" t="s">
        <v>2823</v>
      </c>
      <c r="C712" s="1" t="str">
        <v>Rebecca Barrett</v>
      </c>
      <c r="D712" s="1" t="s">
        <v>2824</v>
      </c>
      <c r="E712" s="1" t="str">
        <v>phill@yahoo.com</v>
      </c>
      <c r="F712" t="str">
        <f t="shared" si="145"/>
        <v>Valid</v>
      </c>
      <c r="G712" s="1" t="s">
        <v>43</v>
      </c>
      <c r="H712" s="1" t="str">
        <f t="shared" si="146"/>
        <v>Female</v>
      </c>
      <c r="I712" s="1" t="s">
        <v>96</v>
      </c>
      <c r="J712" t="str">
        <f t="shared" si="147"/>
        <v>INDIA</v>
      </c>
      <c r="K712" s="14">
        <v>41</v>
      </c>
      <c r="L712" s="1">
        <f t="shared" si="148"/>
        <v>41</v>
      </c>
      <c r="M712" s="1" t="str">
        <f t="shared" si="149"/>
        <v>Senior</v>
      </c>
      <c r="N712" s="9">
        <v>44925</v>
      </c>
      <c r="O712" s="1" t="s">
        <v>235</v>
      </c>
      <c r="P712" s="1" t="s">
        <v>147</v>
      </c>
      <c r="Q712" s="4">
        <v>0.69</v>
      </c>
      <c r="R712" s="13">
        <f t="shared" si="150"/>
        <v>69</v>
      </c>
      <c r="S712" s="6">
        <f t="shared" si="144"/>
        <v>0.69</v>
      </c>
      <c r="T712" s="1">
        <v>1.5</v>
      </c>
      <c r="U712" s="1">
        <f t="shared" si="151"/>
        <v>1.5</v>
      </c>
      <c r="V712" s="1">
        <f t="shared" si="152"/>
        <v>48.75</v>
      </c>
      <c r="W712" s="10" t="str">
        <f t="shared" si="153"/>
        <v>Medium</v>
      </c>
      <c r="X712" s="1" t="s">
        <v>22</v>
      </c>
      <c r="Y712" s="1" t="str">
        <f t="shared" si="154"/>
        <v>No</v>
      </c>
      <c r="Z712" s="14">
        <v>5</v>
      </c>
      <c r="AA712" s="18">
        <f t="shared" si="155"/>
        <v>5</v>
      </c>
      <c r="AB712" s="18" t="str">
        <f t="shared" si="156"/>
        <v>No</v>
      </c>
      <c r="AC712" s="9" t="s">
        <v>2825</v>
      </c>
      <c r="AD712">
        <f>IF(AC712="",0,LEN(AC712)-LEN(SUBSTITUTE(AC712,",",""))+1)</f>
        <v>8</v>
      </c>
    </row>
    <row r="713" spans="1:30" ht="12.5" x14ac:dyDescent="0.25">
      <c r="A713" s="1" t="s">
        <v>2826</v>
      </c>
      <c r="B713" s="1" t="s">
        <v>2827</v>
      </c>
      <c r="C713" s="1" t="str">
        <v>Martin Kerr</v>
      </c>
      <c r="D713" s="1" t="s">
        <v>2828</v>
      </c>
      <c r="E713" s="1" t="str">
        <v>matthewsvanessa@hill-mcgee.org</v>
      </c>
      <c r="F713" t="str">
        <f t="shared" si="145"/>
        <v>Valid</v>
      </c>
      <c r="G713" s="1" t="s">
        <v>88</v>
      </c>
      <c r="H713" s="1" t="str">
        <f t="shared" si="146"/>
        <v>Male</v>
      </c>
      <c r="I713" s="1" t="s">
        <v>74</v>
      </c>
      <c r="J713" t="str">
        <f t="shared" si="147"/>
        <v>USA</v>
      </c>
      <c r="L713" s="1">
        <f t="shared" si="148"/>
        <v>19</v>
      </c>
      <c r="M713" s="1" t="str">
        <f t="shared" si="149"/>
        <v>Student</v>
      </c>
      <c r="N713" s="9">
        <v>45228</v>
      </c>
      <c r="O713" s="1" t="s">
        <v>114</v>
      </c>
      <c r="P713" s="1" t="s">
        <v>59</v>
      </c>
      <c r="Q713" s="4">
        <v>46</v>
      </c>
      <c r="R713" s="13">
        <f t="shared" si="150"/>
        <v>46</v>
      </c>
      <c r="S713" s="6">
        <f t="shared" si="144"/>
        <v>0.46</v>
      </c>
      <c r="T713" s="1">
        <v>45</v>
      </c>
      <c r="U713" s="1">
        <f t="shared" si="151"/>
        <v>45</v>
      </c>
      <c r="V713" s="1">
        <f t="shared" si="152"/>
        <v>45.699999999999996</v>
      </c>
      <c r="W713" s="10" t="str">
        <f t="shared" si="153"/>
        <v>Medium</v>
      </c>
      <c r="X713" s="1">
        <v>1</v>
      </c>
      <c r="Y713" s="1" t="str">
        <f t="shared" si="154"/>
        <v>Yes</v>
      </c>
      <c r="Z713" s="14">
        <v>4</v>
      </c>
      <c r="AA713" s="18">
        <f t="shared" si="155"/>
        <v>4</v>
      </c>
      <c r="AB713" s="18" t="str">
        <f t="shared" si="156"/>
        <v>High Performer</v>
      </c>
      <c r="AC713" s="9" t="s">
        <v>2829</v>
      </c>
      <c r="AD713">
        <f>IF(AC713="",0,LEN(AC713)-LEN(SUBSTITUTE(AC713,",",""))+1)</f>
        <v>5</v>
      </c>
    </row>
    <row r="714" spans="1:30" ht="12.5" x14ac:dyDescent="0.25">
      <c r="A714" s="1" t="s">
        <v>2830</v>
      </c>
      <c r="B714" s="1" t="s">
        <v>2831</v>
      </c>
      <c r="C714" s="1" t="str">
        <v>Elizabeth Martinez</v>
      </c>
      <c r="D714" s="1" t="s">
        <v>2832</v>
      </c>
      <c r="E714" s="1" t="str">
        <v>reevesmichelle@hotmail.com</v>
      </c>
      <c r="F714" t="str">
        <f t="shared" si="145"/>
        <v>Valid</v>
      </c>
      <c r="G714" s="1" t="s">
        <v>43</v>
      </c>
      <c r="H714" s="1" t="str">
        <f t="shared" si="146"/>
        <v>Female</v>
      </c>
      <c r="I714" s="1" t="s">
        <v>18</v>
      </c>
      <c r="J714" t="str">
        <f t="shared" si="147"/>
        <v>US</v>
      </c>
      <c r="K714" s="14">
        <v>0</v>
      </c>
      <c r="L714" s="1">
        <f t="shared" si="148"/>
        <v>19</v>
      </c>
      <c r="M714" s="1" t="str">
        <f t="shared" si="149"/>
        <v>Student</v>
      </c>
      <c r="N714" s="9">
        <v>44939</v>
      </c>
      <c r="O714" s="1" t="s">
        <v>19</v>
      </c>
      <c r="P714" s="1" t="s">
        <v>20</v>
      </c>
      <c r="Q714" s="4">
        <v>37</v>
      </c>
      <c r="R714" s="13">
        <f t="shared" si="150"/>
        <v>37</v>
      </c>
      <c r="S714" s="6">
        <f t="shared" si="144"/>
        <v>0.37</v>
      </c>
      <c r="T714" s="1" t="s">
        <v>46</v>
      </c>
      <c r="U714" s="1">
        <f t="shared" si="151"/>
        <v>1</v>
      </c>
      <c r="V714" s="1">
        <f t="shared" si="152"/>
        <v>26.2</v>
      </c>
      <c r="W714" s="10" t="str">
        <f t="shared" si="153"/>
        <v>Low</v>
      </c>
      <c r="X714" s="1">
        <v>1</v>
      </c>
      <c r="Y714" s="1" t="str">
        <f t="shared" si="154"/>
        <v>Yes</v>
      </c>
      <c r="Z714" s="14">
        <v>1</v>
      </c>
      <c r="AA714" s="18">
        <f t="shared" si="155"/>
        <v>1</v>
      </c>
      <c r="AB714" s="18" t="str">
        <f t="shared" si="156"/>
        <v>No</v>
      </c>
      <c r="AC714" s="9" t="s">
        <v>2833</v>
      </c>
      <c r="AD714">
        <f>IF(AC714="",0,LEN(AC714)-LEN(SUBSTITUTE(AC714,",",""))+1)</f>
        <v>5</v>
      </c>
    </row>
    <row r="715" spans="1:30" ht="12.5" x14ac:dyDescent="0.25">
      <c r="A715" s="1" t="s">
        <v>2834</v>
      </c>
      <c r="B715" s="1" t="s">
        <v>2835</v>
      </c>
      <c r="C715" s="1" t="str">
        <v>Robert Logan</v>
      </c>
      <c r="D715" s="1" t="s">
        <v>2836</v>
      </c>
      <c r="E715" s="1" t="str">
        <v>stonebrenda@hotmail.com</v>
      </c>
      <c r="F715" t="str">
        <f t="shared" si="145"/>
        <v>Valid</v>
      </c>
      <c r="G715" s="1" t="s">
        <v>109</v>
      </c>
      <c r="H715" s="1" t="str">
        <f t="shared" si="146"/>
        <v>Male</v>
      </c>
      <c r="I715" s="1" t="s">
        <v>28</v>
      </c>
      <c r="J715" t="str">
        <f t="shared" si="147"/>
        <v>INDIA</v>
      </c>
      <c r="K715" s="14">
        <v>0</v>
      </c>
      <c r="L715" s="1">
        <f t="shared" si="148"/>
        <v>19</v>
      </c>
      <c r="M715" s="1" t="str">
        <f t="shared" si="149"/>
        <v>Student</v>
      </c>
      <c r="N715" s="9">
        <v>44945</v>
      </c>
      <c r="O715" s="1" t="s">
        <v>19</v>
      </c>
      <c r="P715" s="1" t="s">
        <v>20</v>
      </c>
      <c r="Q715" s="4">
        <v>0.99</v>
      </c>
      <c r="R715" s="13">
        <f t="shared" si="150"/>
        <v>99</v>
      </c>
      <c r="S715" s="6">
        <f t="shared" si="144"/>
        <v>0.99</v>
      </c>
      <c r="T715" s="1">
        <v>45</v>
      </c>
      <c r="U715" s="1">
        <f t="shared" si="151"/>
        <v>45</v>
      </c>
      <c r="V715" s="1">
        <f t="shared" si="152"/>
        <v>82.8</v>
      </c>
      <c r="W715" s="10" t="str">
        <f t="shared" si="153"/>
        <v>High</v>
      </c>
      <c r="X715" s="1">
        <v>0</v>
      </c>
      <c r="Y715" s="1" t="str">
        <f t="shared" si="154"/>
        <v>No</v>
      </c>
      <c r="Z715" s="14">
        <v>4</v>
      </c>
      <c r="AA715" s="18">
        <f t="shared" si="155"/>
        <v>4</v>
      </c>
      <c r="AB715" s="18" t="str">
        <f t="shared" si="156"/>
        <v>No</v>
      </c>
      <c r="AC715" s="9" t="s">
        <v>2837</v>
      </c>
      <c r="AD715">
        <f>IF(AC715="",0,LEN(AC715)-LEN(SUBSTITUTE(AC715,",",""))+1)</f>
        <v>8</v>
      </c>
    </row>
    <row r="716" spans="1:30" ht="12.5" x14ac:dyDescent="0.25">
      <c r="A716" s="1" t="s">
        <v>2838</v>
      </c>
      <c r="B716" s="1" t="s">
        <v>2839</v>
      </c>
      <c r="C716" s="1" t="str">
        <v>Stephanie White</v>
      </c>
      <c r="D716" s="1" t="s">
        <v>2840</v>
      </c>
      <c r="E716" s="1" t="str">
        <v>peterslauren@williams.com</v>
      </c>
      <c r="F716" t="str">
        <f t="shared" si="145"/>
        <v>Valid</v>
      </c>
      <c r="G716" s="1" t="s">
        <v>27</v>
      </c>
      <c r="H716" s="1" t="str">
        <f t="shared" si="146"/>
        <v>Male</v>
      </c>
      <c r="I716" s="1" t="s">
        <v>96</v>
      </c>
      <c r="J716" t="str">
        <f t="shared" si="147"/>
        <v>INDIA</v>
      </c>
      <c r="K716" s="14">
        <v>21</v>
      </c>
      <c r="L716" s="1">
        <f t="shared" si="148"/>
        <v>21</v>
      </c>
      <c r="M716" s="1" t="str">
        <f t="shared" si="149"/>
        <v>Student</v>
      </c>
      <c r="N716" s="9">
        <v>45670</v>
      </c>
      <c r="O716" s="1" t="s">
        <v>45</v>
      </c>
      <c r="P716" s="1" t="s">
        <v>20</v>
      </c>
      <c r="Q716" s="4">
        <v>67</v>
      </c>
      <c r="R716" s="13">
        <f t="shared" si="150"/>
        <v>67</v>
      </c>
      <c r="S716" s="6">
        <f t="shared" si="144"/>
        <v>0.67</v>
      </c>
      <c r="T716" s="1">
        <v>45</v>
      </c>
      <c r="U716" s="1">
        <f t="shared" si="151"/>
        <v>45</v>
      </c>
      <c r="V716" s="1">
        <f t="shared" si="152"/>
        <v>60.4</v>
      </c>
      <c r="W716" s="10" t="str">
        <f t="shared" si="153"/>
        <v>Medium</v>
      </c>
      <c r="X716" s="1">
        <v>1</v>
      </c>
      <c r="Y716" s="1" t="str">
        <f t="shared" si="154"/>
        <v>Yes</v>
      </c>
      <c r="Z716" s="14">
        <v>3</v>
      </c>
      <c r="AA716" s="18">
        <f t="shared" si="155"/>
        <v>3</v>
      </c>
      <c r="AB716" s="18" t="str">
        <f t="shared" si="156"/>
        <v>No</v>
      </c>
      <c r="AC716" s="9" t="s">
        <v>2841</v>
      </c>
      <c r="AD716">
        <f>IF(AC716="",0,LEN(AC716)-LEN(SUBSTITUTE(AC716,",",""))+1)</f>
        <v>8</v>
      </c>
    </row>
    <row r="717" spans="1:30" ht="12.5" x14ac:dyDescent="0.25">
      <c r="A717" s="1" t="s">
        <v>2842</v>
      </c>
      <c r="B717" s="1" t="s">
        <v>2843</v>
      </c>
      <c r="C717" s="1" t="str">
        <v>Amanda Whitney</v>
      </c>
      <c r="D717" s="1" t="s">
        <v>2844</v>
      </c>
      <c r="E717" s="1" t="str">
        <v>tammy26@hotmail.com</v>
      </c>
      <c r="F717" t="str">
        <f t="shared" si="145"/>
        <v>Valid</v>
      </c>
      <c r="G717" s="1" t="s">
        <v>43</v>
      </c>
      <c r="H717" s="1" t="str">
        <f t="shared" si="146"/>
        <v>Female</v>
      </c>
      <c r="I717" s="1" t="s">
        <v>89</v>
      </c>
      <c r="J717" t="str">
        <f t="shared" si="147"/>
        <v>GERMANY</v>
      </c>
      <c r="K717" s="14">
        <v>35</v>
      </c>
      <c r="L717" s="1">
        <f t="shared" si="148"/>
        <v>35</v>
      </c>
      <c r="M717" s="1" t="str">
        <f t="shared" si="149"/>
        <v>Mid Career</v>
      </c>
      <c r="N717" s="9">
        <v>45671</v>
      </c>
      <c r="O717" s="1" t="s">
        <v>170</v>
      </c>
      <c r="P717" s="1" t="s">
        <v>147</v>
      </c>
      <c r="Q717" s="4">
        <v>0.35</v>
      </c>
      <c r="R717" s="13">
        <f t="shared" si="150"/>
        <v>35</v>
      </c>
      <c r="S717" s="6">
        <f t="shared" si="144"/>
        <v>0.35</v>
      </c>
      <c r="T717" s="1" t="s">
        <v>46</v>
      </c>
      <c r="U717" s="1">
        <f t="shared" si="151"/>
        <v>1</v>
      </c>
      <c r="V717" s="1">
        <f t="shared" si="152"/>
        <v>24.8</v>
      </c>
      <c r="W717" s="10" t="str">
        <f t="shared" si="153"/>
        <v>Low</v>
      </c>
      <c r="X717" s="1" t="s">
        <v>32</v>
      </c>
      <c r="Y717" s="1" t="str">
        <f t="shared" si="154"/>
        <v>Yes</v>
      </c>
      <c r="Z717" s="14">
        <v>2</v>
      </c>
      <c r="AA717" s="18">
        <f t="shared" si="155"/>
        <v>2</v>
      </c>
      <c r="AB717" s="18" t="str">
        <f t="shared" si="156"/>
        <v>No</v>
      </c>
      <c r="AC717" s="9" t="s">
        <v>2845</v>
      </c>
      <c r="AD717">
        <f>IF(AC717="",0,LEN(AC717)-LEN(SUBSTITUTE(AC717,",",""))+1)</f>
        <v>1</v>
      </c>
    </row>
    <row r="718" spans="1:30" ht="12.5" x14ac:dyDescent="0.25">
      <c r="A718" s="1" t="s">
        <v>2846</v>
      </c>
      <c r="B718" s="1" t="s">
        <v>2847</v>
      </c>
      <c r="C718" s="1" t="str">
        <v>Summer Carter</v>
      </c>
      <c r="D718" s="1" t="s">
        <v>2848</v>
      </c>
      <c r="E718" s="1" t="str">
        <v>barbaraneal@hotmail.com</v>
      </c>
      <c r="F718" t="str">
        <f t="shared" si="145"/>
        <v>Valid</v>
      </c>
      <c r="G718" s="1" t="s">
        <v>27</v>
      </c>
      <c r="H718" s="1" t="str">
        <f t="shared" si="146"/>
        <v>Male</v>
      </c>
      <c r="I718" s="1" t="s">
        <v>156</v>
      </c>
      <c r="J718" t="str">
        <f t="shared" si="147"/>
        <v>IN</v>
      </c>
      <c r="K718" s="14">
        <v>0</v>
      </c>
      <c r="L718" s="1">
        <f t="shared" si="148"/>
        <v>19</v>
      </c>
      <c r="M718" s="1" t="str">
        <f t="shared" si="149"/>
        <v>Student</v>
      </c>
      <c r="N718" s="2">
        <v>44746</v>
      </c>
      <c r="O718" s="1" t="s">
        <v>69</v>
      </c>
      <c r="P718" s="1" t="s">
        <v>31</v>
      </c>
      <c r="Q718" s="4">
        <v>70</v>
      </c>
      <c r="R718" s="13">
        <f t="shared" si="150"/>
        <v>70</v>
      </c>
      <c r="S718" s="6">
        <f t="shared" si="144"/>
        <v>0.7</v>
      </c>
      <c r="T718" s="1">
        <v>1.5</v>
      </c>
      <c r="U718" s="1">
        <f t="shared" si="151"/>
        <v>1.5</v>
      </c>
      <c r="V718" s="1">
        <f t="shared" si="152"/>
        <v>49.45</v>
      </c>
      <c r="W718" s="10" t="str">
        <f t="shared" si="153"/>
        <v>Medium</v>
      </c>
      <c r="X718" s="1" t="s">
        <v>32</v>
      </c>
      <c r="Y718" s="1" t="str">
        <f t="shared" si="154"/>
        <v>Yes</v>
      </c>
      <c r="Z718" s="14">
        <v>3</v>
      </c>
      <c r="AA718" s="18">
        <f t="shared" si="155"/>
        <v>3</v>
      </c>
      <c r="AB718" s="18" t="str">
        <f t="shared" si="156"/>
        <v>No</v>
      </c>
      <c r="AC718" s="9" t="s">
        <v>2849</v>
      </c>
      <c r="AD718">
        <f>IF(AC718="",0,LEN(AC718)-LEN(SUBSTITUTE(AC718,",",""))+1)</f>
        <v>6</v>
      </c>
    </row>
    <row r="719" spans="1:30" ht="12.5" x14ac:dyDescent="0.25">
      <c r="A719" s="1" t="s">
        <v>2850</v>
      </c>
      <c r="B719" s="1" t="s">
        <v>2851</v>
      </c>
      <c r="C719" s="1" t="str">
        <v>Mary Williams</v>
      </c>
      <c r="D719" s="1" t="s">
        <v>2852</v>
      </c>
      <c r="E719" s="1" t="str">
        <v>donaldchase@bernard.net</v>
      </c>
      <c r="F719" t="str">
        <f t="shared" si="145"/>
        <v>Valid</v>
      </c>
      <c r="G719" s="1" t="s">
        <v>17</v>
      </c>
      <c r="H719" s="1" t="str">
        <f t="shared" si="146"/>
        <v>Female</v>
      </c>
      <c r="I719" s="1" t="s">
        <v>18</v>
      </c>
      <c r="J719" t="str">
        <f t="shared" si="147"/>
        <v>US</v>
      </c>
      <c r="L719" s="1">
        <f t="shared" si="148"/>
        <v>19</v>
      </c>
      <c r="M719" s="1" t="str">
        <f t="shared" si="149"/>
        <v>Student</v>
      </c>
      <c r="N719" s="2">
        <v>45056</v>
      </c>
      <c r="O719" s="1" t="s">
        <v>146</v>
      </c>
      <c r="P719" s="1" t="s">
        <v>147</v>
      </c>
      <c r="Q719" s="4">
        <v>0.02</v>
      </c>
      <c r="R719" s="13">
        <f t="shared" si="150"/>
        <v>2</v>
      </c>
      <c r="S719" s="6">
        <f t="shared" si="144"/>
        <v>0.02</v>
      </c>
      <c r="T719" s="1" t="s">
        <v>21</v>
      </c>
      <c r="U719" s="1">
        <f t="shared" si="151"/>
        <v>1.5</v>
      </c>
      <c r="V719" s="1">
        <f t="shared" si="152"/>
        <v>1.8499999999999999</v>
      </c>
      <c r="W719" s="10" t="str">
        <f t="shared" si="153"/>
        <v>Low</v>
      </c>
      <c r="X719" s="1">
        <v>0</v>
      </c>
      <c r="Y719" s="1" t="str">
        <f t="shared" si="154"/>
        <v>No</v>
      </c>
      <c r="Z719" s="14">
        <v>5</v>
      </c>
      <c r="AA719" s="18">
        <f t="shared" si="155"/>
        <v>5</v>
      </c>
      <c r="AB719" s="18" t="str">
        <f t="shared" si="156"/>
        <v>No</v>
      </c>
      <c r="AC719" s="9" t="s">
        <v>2853</v>
      </c>
      <c r="AD719">
        <f>IF(AC719="",0,LEN(AC719)-LEN(SUBSTITUTE(AC719,",",""))+1)</f>
        <v>5</v>
      </c>
    </row>
    <row r="720" spans="1:30" ht="12.5" x14ac:dyDescent="0.25">
      <c r="A720" s="1" t="s">
        <v>2854</v>
      </c>
      <c r="B720" s="1" t="s">
        <v>2855</v>
      </c>
      <c r="C720" s="1" t="str">
        <v>Jennifer Pierce</v>
      </c>
      <c r="D720" s="1" t="s">
        <v>2856</v>
      </c>
      <c r="E720" s="1" t="str">
        <v>ksantos@yahoo.com</v>
      </c>
      <c r="F720" t="str">
        <f t="shared" si="145"/>
        <v>Valid</v>
      </c>
      <c r="G720" s="1" t="s">
        <v>88</v>
      </c>
      <c r="H720" s="1" t="str">
        <f t="shared" si="146"/>
        <v>Male</v>
      </c>
      <c r="I720" s="1" t="s">
        <v>51</v>
      </c>
      <c r="J720" t="str">
        <f t="shared" si="147"/>
        <v>UK</v>
      </c>
      <c r="K720" s="14">
        <v>32</v>
      </c>
      <c r="L720" s="1">
        <f t="shared" si="148"/>
        <v>32</v>
      </c>
      <c r="M720" s="1" t="str">
        <f t="shared" si="149"/>
        <v>Mid Career</v>
      </c>
      <c r="N720" s="2">
        <v>45141</v>
      </c>
      <c r="O720" s="1" t="s">
        <v>30</v>
      </c>
      <c r="P720" s="1" t="s">
        <v>31</v>
      </c>
      <c r="Q720" s="4">
        <v>0.34</v>
      </c>
      <c r="R720" s="13">
        <f t="shared" si="150"/>
        <v>34</v>
      </c>
      <c r="S720" s="6">
        <f t="shared" si="144"/>
        <v>0.34</v>
      </c>
      <c r="T720" s="1" t="s">
        <v>64</v>
      </c>
      <c r="U720" s="1">
        <f t="shared" si="151"/>
        <v>2</v>
      </c>
      <c r="V720" s="1">
        <f t="shared" si="152"/>
        <v>24.4</v>
      </c>
      <c r="W720" s="10" t="str">
        <f t="shared" si="153"/>
        <v>Low</v>
      </c>
      <c r="X720" s="1" t="s">
        <v>38</v>
      </c>
      <c r="Y720" s="1" t="str">
        <f t="shared" si="154"/>
        <v>No</v>
      </c>
      <c r="Z720" s="14">
        <v>2</v>
      </c>
      <c r="AA720" s="18">
        <f t="shared" si="155"/>
        <v>2</v>
      </c>
      <c r="AB720" s="18" t="str">
        <f t="shared" si="156"/>
        <v>No</v>
      </c>
      <c r="AC720" s="9" t="s">
        <v>2857</v>
      </c>
      <c r="AD720">
        <f>IF(AC720="",0,LEN(AC720)-LEN(SUBSTITUTE(AC720,",",""))+1)</f>
        <v>4</v>
      </c>
    </row>
    <row r="721" spans="1:30" ht="12.5" x14ac:dyDescent="0.25">
      <c r="A721" s="1" t="s">
        <v>2858</v>
      </c>
      <c r="B721" s="1" t="s">
        <v>2859</v>
      </c>
      <c r="C721" s="1" t="str">
        <v>Michael Herrera</v>
      </c>
      <c r="D721" s="1" t="s">
        <v>2860</v>
      </c>
      <c r="E721" s="1" t="str">
        <v>wanda35@sandoval.biz</v>
      </c>
      <c r="F721" t="str">
        <f t="shared" si="145"/>
        <v>Valid</v>
      </c>
      <c r="G721" s="1" t="s">
        <v>119</v>
      </c>
      <c r="H721" s="1" t="str">
        <f t="shared" si="146"/>
        <v>Female</v>
      </c>
      <c r="I721" s="1" t="s">
        <v>51</v>
      </c>
      <c r="J721" t="str">
        <f t="shared" si="147"/>
        <v>UK</v>
      </c>
      <c r="L721" s="1">
        <f t="shared" si="148"/>
        <v>19</v>
      </c>
      <c r="M721" s="1" t="str">
        <f t="shared" si="149"/>
        <v>Student</v>
      </c>
      <c r="N721" s="9">
        <v>45366</v>
      </c>
      <c r="O721" s="1" t="s">
        <v>36</v>
      </c>
      <c r="P721" s="1" t="s">
        <v>37</v>
      </c>
      <c r="Q721" s="4">
        <v>0.57999999999999996</v>
      </c>
      <c r="R721" s="13">
        <f t="shared" si="150"/>
        <v>57.999999999999993</v>
      </c>
      <c r="S721" s="6">
        <f t="shared" si="144"/>
        <v>0.57999999999999996</v>
      </c>
      <c r="T721" s="1">
        <v>1.5</v>
      </c>
      <c r="U721" s="1">
        <f t="shared" si="151"/>
        <v>1.5</v>
      </c>
      <c r="V721" s="1">
        <f t="shared" si="152"/>
        <v>41.05</v>
      </c>
      <c r="W721" s="10" t="str">
        <f t="shared" si="153"/>
        <v>Medium</v>
      </c>
      <c r="X721" s="1" t="s">
        <v>22</v>
      </c>
      <c r="Y721" s="1" t="str">
        <f t="shared" si="154"/>
        <v>No</v>
      </c>
      <c r="Z721" s="14">
        <v>2</v>
      </c>
      <c r="AA721" s="18">
        <f t="shared" si="155"/>
        <v>2</v>
      </c>
      <c r="AB721" s="18" t="str">
        <f t="shared" si="156"/>
        <v>No</v>
      </c>
      <c r="AC721" s="9" t="s">
        <v>2861</v>
      </c>
      <c r="AD721">
        <f>IF(AC721="",0,LEN(AC721)-LEN(SUBSTITUTE(AC721,",",""))+1)</f>
        <v>8</v>
      </c>
    </row>
    <row r="722" spans="1:30" ht="12.5" x14ac:dyDescent="0.25">
      <c r="A722" s="1" t="s">
        <v>2862</v>
      </c>
      <c r="B722" s="1" t="s">
        <v>2863</v>
      </c>
      <c r="C722" s="1" t="str">
        <v>Victor Wright</v>
      </c>
      <c r="D722" s="1" t="s">
        <v>2864</v>
      </c>
      <c r="E722" s="1" t="str">
        <v>schmidtgabriella@yahoo.com</v>
      </c>
      <c r="F722" t="str">
        <f t="shared" si="145"/>
        <v>Valid</v>
      </c>
      <c r="G722" s="1" t="s">
        <v>88</v>
      </c>
      <c r="H722" s="1" t="str">
        <f t="shared" si="146"/>
        <v>Male</v>
      </c>
      <c r="I722" s="1" t="s">
        <v>74</v>
      </c>
      <c r="J722" t="str">
        <f t="shared" si="147"/>
        <v>USA</v>
      </c>
      <c r="K722" s="14">
        <v>0</v>
      </c>
      <c r="L722" s="1">
        <f t="shared" si="148"/>
        <v>19</v>
      </c>
      <c r="M722" s="1" t="str">
        <f t="shared" si="149"/>
        <v>Student</v>
      </c>
      <c r="N722" s="2">
        <v>44573</v>
      </c>
      <c r="O722" s="1" t="s">
        <v>170</v>
      </c>
      <c r="P722" s="1" t="s">
        <v>147</v>
      </c>
      <c r="Q722" s="4">
        <v>0.54</v>
      </c>
      <c r="R722" s="13">
        <f t="shared" si="150"/>
        <v>54</v>
      </c>
      <c r="S722" s="6">
        <f t="shared" si="144"/>
        <v>0.54</v>
      </c>
      <c r="T722" s="1">
        <v>1.5</v>
      </c>
      <c r="U722" s="1">
        <f t="shared" si="151"/>
        <v>1.5</v>
      </c>
      <c r="V722" s="1">
        <f t="shared" si="152"/>
        <v>38.25</v>
      </c>
      <c r="W722" s="10" t="str">
        <f t="shared" si="153"/>
        <v>Low</v>
      </c>
      <c r="X722" s="1" t="s">
        <v>76</v>
      </c>
      <c r="Y722" s="1" t="str">
        <f t="shared" si="154"/>
        <v>Yes</v>
      </c>
      <c r="Z722" s="14">
        <v>2</v>
      </c>
      <c r="AA722" s="18">
        <f t="shared" si="155"/>
        <v>2</v>
      </c>
      <c r="AB722" s="18" t="str">
        <f t="shared" si="156"/>
        <v>No</v>
      </c>
      <c r="AC722" s="9" t="s">
        <v>2865</v>
      </c>
      <c r="AD722">
        <f>IF(AC722="",0,LEN(AC722)-LEN(SUBSTITUTE(AC722,",",""))+1)</f>
        <v>4</v>
      </c>
    </row>
    <row r="723" spans="1:30" ht="12.5" x14ac:dyDescent="0.25">
      <c r="A723" s="1" t="s">
        <v>2866</v>
      </c>
      <c r="B723" s="1" t="s">
        <v>2867</v>
      </c>
      <c r="C723" s="1" t="str">
        <v>Paula Thomas</v>
      </c>
      <c r="D723" s="1" t="s">
        <v>2868</v>
      </c>
      <c r="E723" s="1" t="str">
        <v>alejandro63@lynn-patton.com</v>
      </c>
      <c r="F723" t="str">
        <f t="shared" si="145"/>
        <v>Valid</v>
      </c>
      <c r="G723" s="1" t="s">
        <v>109</v>
      </c>
      <c r="H723" s="1" t="str">
        <f t="shared" si="146"/>
        <v>Male</v>
      </c>
      <c r="I723" s="1" t="s">
        <v>89</v>
      </c>
      <c r="J723" t="str">
        <f t="shared" si="147"/>
        <v>GERMANY</v>
      </c>
      <c r="K723" s="14">
        <v>42</v>
      </c>
      <c r="L723" s="1">
        <f t="shared" si="148"/>
        <v>42</v>
      </c>
      <c r="M723" s="1" t="str">
        <f t="shared" si="149"/>
        <v>Senior</v>
      </c>
      <c r="N723" s="9">
        <v>44760</v>
      </c>
      <c r="O723" s="1" t="s">
        <v>90</v>
      </c>
      <c r="P723" s="1" t="s">
        <v>31</v>
      </c>
      <c r="Q723" s="4">
        <v>0.01</v>
      </c>
      <c r="R723" s="13">
        <f t="shared" si="150"/>
        <v>1</v>
      </c>
      <c r="S723" s="6">
        <f t="shared" si="144"/>
        <v>0.01</v>
      </c>
      <c r="T723" s="1" t="s">
        <v>64</v>
      </c>
      <c r="U723" s="1">
        <f t="shared" si="151"/>
        <v>2</v>
      </c>
      <c r="V723" s="1">
        <f t="shared" si="152"/>
        <v>1.2999999999999998</v>
      </c>
      <c r="W723" s="10" t="str">
        <f t="shared" si="153"/>
        <v>Low</v>
      </c>
      <c r="X723" s="1">
        <v>0</v>
      </c>
      <c r="Y723" s="1" t="str">
        <f t="shared" si="154"/>
        <v>No</v>
      </c>
      <c r="Z723" s="14">
        <v>6</v>
      </c>
      <c r="AA723" s="18">
        <f t="shared" si="155"/>
        <v>6</v>
      </c>
      <c r="AB723" s="18" t="str">
        <f t="shared" si="156"/>
        <v>No</v>
      </c>
      <c r="AC723" s="9" t="s">
        <v>2869</v>
      </c>
      <c r="AD723">
        <f>IF(AC723="",0,LEN(AC723)-LEN(SUBSTITUTE(AC723,",",""))+1)</f>
        <v>7</v>
      </c>
    </row>
    <row r="724" spans="1:30" ht="12.5" x14ac:dyDescent="0.25">
      <c r="A724" s="1" t="s">
        <v>2870</v>
      </c>
      <c r="B724" s="1" t="s">
        <v>2871</v>
      </c>
      <c r="C724" s="1" t="str">
        <v>Renee Davis</v>
      </c>
      <c r="D724" s="1" t="s">
        <v>2872</v>
      </c>
      <c r="E724" s="1" t="str">
        <v>andrea91@gmail.com</v>
      </c>
      <c r="F724" t="str">
        <f t="shared" si="145"/>
        <v>Valid</v>
      </c>
      <c r="G724" s="1" t="s">
        <v>119</v>
      </c>
      <c r="H724" s="1" t="str">
        <f t="shared" si="146"/>
        <v>Female</v>
      </c>
      <c r="I724" s="1" t="s">
        <v>136</v>
      </c>
      <c r="J724" t="str">
        <f t="shared" si="147"/>
        <v>UK</v>
      </c>
      <c r="K724" s="14">
        <v>44</v>
      </c>
      <c r="L724" s="1">
        <f t="shared" si="148"/>
        <v>44</v>
      </c>
      <c r="M724" s="1" t="str">
        <f t="shared" si="149"/>
        <v>Senior</v>
      </c>
      <c r="N724" s="2">
        <v>45017</v>
      </c>
      <c r="O724" s="1" t="s">
        <v>90</v>
      </c>
      <c r="P724" s="1" t="s">
        <v>31</v>
      </c>
      <c r="Q724" s="4">
        <v>0.43</v>
      </c>
      <c r="R724" s="13">
        <f t="shared" si="150"/>
        <v>43</v>
      </c>
      <c r="S724" s="6">
        <f t="shared" si="144"/>
        <v>0.43</v>
      </c>
      <c r="T724" s="1">
        <v>1.5</v>
      </c>
      <c r="U724" s="1">
        <f t="shared" si="151"/>
        <v>1.5</v>
      </c>
      <c r="V724" s="1">
        <f t="shared" si="152"/>
        <v>30.549999999999997</v>
      </c>
      <c r="W724" s="10" t="str">
        <f t="shared" si="153"/>
        <v>Low</v>
      </c>
      <c r="X724" s="1" t="s">
        <v>38</v>
      </c>
      <c r="Y724" s="1" t="str">
        <f t="shared" si="154"/>
        <v>No</v>
      </c>
      <c r="Z724" s="14">
        <v>6</v>
      </c>
      <c r="AA724" s="18">
        <f t="shared" si="155"/>
        <v>6</v>
      </c>
      <c r="AB724" s="18" t="str">
        <f t="shared" si="156"/>
        <v>No</v>
      </c>
      <c r="AC724" s="9">
        <v>45017</v>
      </c>
      <c r="AD724">
        <f>IF(AC724="",0,LEN(AC724)-LEN(SUBSTITUTE(AC724,",",""))+1)</f>
        <v>1</v>
      </c>
    </row>
    <row r="725" spans="1:30" ht="12.5" x14ac:dyDescent="0.25">
      <c r="A725" s="1" t="s">
        <v>2873</v>
      </c>
      <c r="B725" s="1" t="s">
        <v>2874</v>
      </c>
      <c r="C725" s="1" t="str">
        <v>Robert Byrd</v>
      </c>
      <c r="D725" s="1" t="s">
        <v>2875</v>
      </c>
      <c r="E725" s="1" t="str">
        <v>qvargas@gmail.com</v>
      </c>
      <c r="F725" t="str">
        <f t="shared" si="145"/>
        <v>Valid</v>
      </c>
      <c r="G725" s="1" t="s">
        <v>17</v>
      </c>
      <c r="H725" s="1" t="str">
        <f t="shared" si="146"/>
        <v>Female</v>
      </c>
      <c r="I725" s="1" t="s">
        <v>96</v>
      </c>
      <c r="J725" t="str">
        <f t="shared" si="147"/>
        <v>INDIA</v>
      </c>
      <c r="K725" s="14">
        <v>27</v>
      </c>
      <c r="L725" s="1">
        <f t="shared" si="148"/>
        <v>27</v>
      </c>
      <c r="M725" s="1" t="str">
        <f t="shared" si="149"/>
        <v>Early Career</v>
      </c>
      <c r="N725" s="9">
        <v>44923</v>
      </c>
      <c r="O725" s="1" t="s">
        <v>235</v>
      </c>
      <c r="P725" s="1" t="s">
        <v>147</v>
      </c>
      <c r="Q725" s="4">
        <v>0.8</v>
      </c>
      <c r="R725" s="13">
        <f t="shared" si="150"/>
        <v>80</v>
      </c>
      <c r="S725" s="6">
        <f t="shared" si="144"/>
        <v>0.8</v>
      </c>
      <c r="T725" s="1">
        <v>45</v>
      </c>
      <c r="U725" s="1">
        <f t="shared" si="151"/>
        <v>45</v>
      </c>
      <c r="V725" s="1">
        <f t="shared" si="152"/>
        <v>69.5</v>
      </c>
      <c r="W725" s="10" t="str">
        <f t="shared" si="153"/>
        <v>Medium</v>
      </c>
      <c r="X725" s="1" t="s">
        <v>38</v>
      </c>
      <c r="Y725" s="1" t="str">
        <f t="shared" si="154"/>
        <v>No</v>
      </c>
      <c r="Z725" s="14">
        <v>5</v>
      </c>
      <c r="AA725" s="18">
        <f t="shared" si="155"/>
        <v>5</v>
      </c>
      <c r="AB725" s="18" t="str">
        <f t="shared" si="156"/>
        <v>No</v>
      </c>
      <c r="AC725" s="9" t="s">
        <v>1931</v>
      </c>
      <c r="AD725">
        <f>IF(AC725="",0,LEN(AC725)-LEN(SUBSTITUTE(AC725,",",""))+1)</f>
        <v>1</v>
      </c>
    </row>
    <row r="726" spans="1:30" ht="12.5" x14ac:dyDescent="0.25">
      <c r="A726" s="1" t="s">
        <v>2876</v>
      </c>
      <c r="B726" s="1" t="s">
        <v>2877</v>
      </c>
      <c r="C726" s="1" t="str">
        <v>James Moss</v>
      </c>
      <c r="D726" s="1" t="s">
        <v>2878</v>
      </c>
      <c r="E726" s="1" t="str">
        <v>jasmine39@mann-white.com</v>
      </c>
      <c r="F726" t="str">
        <f t="shared" si="145"/>
        <v>Valid</v>
      </c>
      <c r="G726" s="1" t="s">
        <v>88</v>
      </c>
      <c r="H726" s="1" t="str">
        <f t="shared" si="146"/>
        <v>Male</v>
      </c>
      <c r="I726" s="1" t="s">
        <v>74</v>
      </c>
      <c r="J726" t="str">
        <f t="shared" si="147"/>
        <v>USA</v>
      </c>
      <c r="K726" s="14">
        <v>33</v>
      </c>
      <c r="L726" s="1">
        <f t="shared" si="148"/>
        <v>33</v>
      </c>
      <c r="M726" s="1" t="str">
        <f t="shared" si="149"/>
        <v>Mid Career</v>
      </c>
      <c r="N726" s="2">
        <v>45872</v>
      </c>
      <c r="O726" s="1" t="s">
        <v>235</v>
      </c>
      <c r="P726" s="1" t="s">
        <v>147</v>
      </c>
      <c r="Q726" s="4">
        <v>0.49</v>
      </c>
      <c r="R726" s="13">
        <f t="shared" si="150"/>
        <v>49</v>
      </c>
      <c r="S726" s="6">
        <f t="shared" si="144"/>
        <v>0.49</v>
      </c>
      <c r="T726" s="1">
        <v>1.5</v>
      </c>
      <c r="U726" s="1">
        <f t="shared" si="151"/>
        <v>1.5</v>
      </c>
      <c r="V726" s="1">
        <f t="shared" si="152"/>
        <v>34.75</v>
      </c>
      <c r="W726" s="10" t="str">
        <f t="shared" si="153"/>
        <v>Low</v>
      </c>
      <c r="X726" s="1" t="s">
        <v>22</v>
      </c>
      <c r="Y726" s="1" t="str">
        <f t="shared" si="154"/>
        <v>No</v>
      </c>
      <c r="Z726" s="14">
        <v>2</v>
      </c>
      <c r="AA726" s="18">
        <f t="shared" si="155"/>
        <v>2</v>
      </c>
      <c r="AB726" s="18" t="str">
        <f t="shared" si="156"/>
        <v>No</v>
      </c>
      <c r="AC726" s="9" t="s">
        <v>2879</v>
      </c>
      <c r="AD726">
        <f>IF(AC726="",0,LEN(AC726)-LEN(SUBSTITUTE(AC726,",",""))+1)</f>
        <v>4</v>
      </c>
    </row>
    <row r="727" spans="1:30" ht="12.5" x14ac:dyDescent="0.25">
      <c r="A727" s="1" t="s">
        <v>2880</v>
      </c>
      <c r="B727" s="1" t="s">
        <v>2881</v>
      </c>
      <c r="C727" s="1" t="str">
        <v>Todd Keith</v>
      </c>
      <c r="D727" s="1" t="s">
        <v>2882</v>
      </c>
      <c r="E727" s="1" t="str">
        <v>cynthia14@townsend-bruce.com</v>
      </c>
      <c r="F727" t="str">
        <f t="shared" si="145"/>
        <v>Valid</v>
      </c>
      <c r="G727" s="1" t="s">
        <v>95</v>
      </c>
      <c r="H727" s="1" t="str">
        <f t="shared" si="146"/>
        <v>Male</v>
      </c>
      <c r="I727" s="1" t="s">
        <v>51</v>
      </c>
      <c r="J727" t="str">
        <f t="shared" si="147"/>
        <v>UK</v>
      </c>
      <c r="L727" s="1">
        <f t="shared" si="148"/>
        <v>19</v>
      </c>
      <c r="M727" s="1" t="str">
        <f t="shared" si="149"/>
        <v>Student</v>
      </c>
      <c r="N727" s="2">
        <v>45386</v>
      </c>
      <c r="O727" s="1" t="s">
        <v>301</v>
      </c>
      <c r="P727" s="1" t="s">
        <v>20</v>
      </c>
      <c r="Q727" s="4">
        <v>0.15</v>
      </c>
      <c r="R727" s="13">
        <f t="shared" si="150"/>
        <v>15</v>
      </c>
      <c r="S727" s="6">
        <f t="shared" si="144"/>
        <v>0.15</v>
      </c>
      <c r="T727" s="1">
        <v>1.5</v>
      </c>
      <c r="U727" s="1">
        <f t="shared" si="151"/>
        <v>1.5</v>
      </c>
      <c r="V727" s="1">
        <f t="shared" si="152"/>
        <v>10.95</v>
      </c>
      <c r="W727" s="10" t="str">
        <f t="shared" si="153"/>
        <v>Low</v>
      </c>
      <c r="X727" s="1">
        <v>1</v>
      </c>
      <c r="Y727" s="1" t="str">
        <f t="shared" si="154"/>
        <v>Yes</v>
      </c>
      <c r="Z727" s="14">
        <v>3</v>
      </c>
      <c r="AA727" s="18">
        <f t="shared" si="155"/>
        <v>3</v>
      </c>
      <c r="AB727" s="18" t="str">
        <f t="shared" si="156"/>
        <v>No</v>
      </c>
      <c r="AC727" s="9" t="s">
        <v>2883</v>
      </c>
      <c r="AD727">
        <f>IF(AC727="",0,LEN(AC727)-LEN(SUBSTITUTE(AC727,",",""))+1)</f>
        <v>6</v>
      </c>
    </row>
    <row r="728" spans="1:30" ht="12.5" x14ac:dyDescent="0.25">
      <c r="A728" s="1" t="s">
        <v>2884</v>
      </c>
      <c r="B728" s="1" t="s">
        <v>2885</v>
      </c>
      <c r="C728" s="1" t="str">
        <v>Anthony Paul</v>
      </c>
      <c r="D728" s="1" t="s">
        <v>2886</v>
      </c>
      <c r="E728" s="1" t="str">
        <v>haydenroger@hotmail.com</v>
      </c>
      <c r="F728" t="str">
        <f t="shared" si="145"/>
        <v>Valid</v>
      </c>
      <c r="G728" s="1" t="s">
        <v>17</v>
      </c>
      <c r="H728" s="1" t="str">
        <f t="shared" si="146"/>
        <v>Female</v>
      </c>
      <c r="I728" s="1" t="s">
        <v>44</v>
      </c>
      <c r="J728" t="str">
        <f t="shared" si="147"/>
        <v>CANADA</v>
      </c>
      <c r="K728" s="14">
        <v>0</v>
      </c>
      <c r="L728" s="1">
        <f t="shared" si="148"/>
        <v>19</v>
      </c>
      <c r="M728" s="1" t="str">
        <f t="shared" si="149"/>
        <v>Student</v>
      </c>
      <c r="N728" s="2">
        <v>44659</v>
      </c>
      <c r="O728" s="1" t="s">
        <v>146</v>
      </c>
      <c r="P728" s="1" t="s">
        <v>147</v>
      </c>
      <c r="Q728" s="4">
        <v>87</v>
      </c>
      <c r="R728" s="13">
        <f t="shared" si="150"/>
        <v>87</v>
      </c>
      <c r="S728" s="6">
        <f t="shared" si="144"/>
        <v>0.87</v>
      </c>
      <c r="T728" s="1" t="s">
        <v>21</v>
      </c>
      <c r="U728" s="1">
        <f t="shared" si="151"/>
        <v>1.5</v>
      </c>
      <c r="V728" s="1">
        <f t="shared" si="152"/>
        <v>61.35</v>
      </c>
      <c r="W728" s="10" t="str">
        <f t="shared" si="153"/>
        <v>Medium</v>
      </c>
      <c r="X728" s="1" t="s">
        <v>32</v>
      </c>
      <c r="Y728" s="1" t="str">
        <f t="shared" si="154"/>
        <v>Yes</v>
      </c>
      <c r="Z728" s="14">
        <v>3</v>
      </c>
      <c r="AA728" s="18">
        <f t="shared" si="155"/>
        <v>3</v>
      </c>
      <c r="AB728" s="18" t="str">
        <f t="shared" si="156"/>
        <v>No</v>
      </c>
      <c r="AC728" s="9" t="s">
        <v>2887</v>
      </c>
      <c r="AD728">
        <f>IF(AC728="",0,LEN(AC728)-LEN(SUBSTITUTE(AC728,",",""))+1)</f>
        <v>7</v>
      </c>
    </row>
    <row r="729" spans="1:30" ht="12.5" x14ac:dyDescent="0.25">
      <c r="A729" s="1" t="s">
        <v>2888</v>
      </c>
      <c r="B729" s="1" t="s">
        <v>2889</v>
      </c>
      <c r="C729" s="1" t="str">
        <v>Dr. Melissa Sullivan Dds</v>
      </c>
      <c r="D729" s="1" t="s">
        <v>2890</v>
      </c>
      <c r="E729" s="1" t="str">
        <v>vpark@sanchez-stevenson.net</v>
      </c>
      <c r="F729" t="str">
        <f t="shared" si="145"/>
        <v>Valid</v>
      </c>
      <c r="G729" s="1" t="s">
        <v>119</v>
      </c>
      <c r="H729" s="1" t="str">
        <f t="shared" si="146"/>
        <v>Female</v>
      </c>
      <c r="I729" s="1" t="s">
        <v>74</v>
      </c>
      <c r="J729" t="str">
        <f t="shared" si="147"/>
        <v>USA</v>
      </c>
      <c r="K729" s="14">
        <v>0</v>
      </c>
      <c r="L729" s="1">
        <f t="shared" si="148"/>
        <v>19</v>
      </c>
      <c r="M729" s="1" t="str">
        <f t="shared" si="149"/>
        <v>Student</v>
      </c>
      <c r="N729" s="2">
        <v>44662</v>
      </c>
      <c r="O729" s="1" t="s">
        <v>19</v>
      </c>
      <c r="P729" s="1" t="s">
        <v>20</v>
      </c>
      <c r="Q729" s="4">
        <v>0.18</v>
      </c>
      <c r="R729" s="13">
        <f t="shared" si="150"/>
        <v>18</v>
      </c>
      <c r="S729" s="6">
        <f t="shared" si="144"/>
        <v>0.18</v>
      </c>
      <c r="T729" s="1" t="s">
        <v>46</v>
      </c>
      <c r="U729" s="1">
        <f t="shared" si="151"/>
        <v>1</v>
      </c>
      <c r="V729" s="1">
        <f t="shared" si="152"/>
        <v>12.9</v>
      </c>
      <c r="W729" s="10" t="str">
        <f t="shared" si="153"/>
        <v>Low</v>
      </c>
      <c r="X729" s="1">
        <v>0</v>
      </c>
      <c r="Y729" s="1" t="str">
        <f t="shared" si="154"/>
        <v>No</v>
      </c>
      <c r="Z729" s="14">
        <v>4</v>
      </c>
      <c r="AA729" s="18">
        <f t="shared" si="155"/>
        <v>4</v>
      </c>
      <c r="AB729" s="18" t="str">
        <f t="shared" si="156"/>
        <v>No</v>
      </c>
      <c r="AC729" s="9" t="s">
        <v>2891</v>
      </c>
      <c r="AD729">
        <f>IF(AC729="",0,LEN(AC729)-LEN(SUBSTITUTE(AC729,",",""))+1)</f>
        <v>3</v>
      </c>
    </row>
    <row r="730" spans="1:30" ht="12.5" x14ac:dyDescent="0.25">
      <c r="A730" s="1" t="s">
        <v>2892</v>
      </c>
      <c r="B730" s="1" t="s">
        <v>2893</v>
      </c>
      <c r="C730" s="1" t="str">
        <v>Megan Macias</v>
      </c>
      <c r="D730" s="1" t="s">
        <v>2894</v>
      </c>
      <c r="E730" s="1" t="str">
        <v>charlesfranco@gomez.com</v>
      </c>
      <c r="F730" t="str">
        <f t="shared" si="145"/>
        <v>Valid</v>
      </c>
      <c r="G730" s="1" t="s">
        <v>88</v>
      </c>
      <c r="H730" s="1" t="str">
        <f t="shared" si="146"/>
        <v>Male</v>
      </c>
      <c r="I730" s="1" t="s">
        <v>136</v>
      </c>
      <c r="J730" t="str">
        <f t="shared" si="147"/>
        <v>UK</v>
      </c>
      <c r="L730" s="1">
        <f t="shared" si="148"/>
        <v>19</v>
      </c>
      <c r="M730" s="1" t="str">
        <f t="shared" si="149"/>
        <v>Student</v>
      </c>
      <c r="N730" s="2">
        <v>45750</v>
      </c>
      <c r="O730" s="1" t="s">
        <v>36</v>
      </c>
      <c r="P730" s="1" t="s">
        <v>37</v>
      </c>
      <c r="Q730" s="4">
        <v>23</v>
      </c>
      <c r="R730" s="13">
        <f t="shared" si="150"/>
        <v>23</v>
      </c>
      <c r="S730" s="6">
        <f t="shared" si="144"/>
        <v>0.23</v>
      </c>
      <c r="T730" s="1">
        <v>2</v>
      </c>
      <c r="U730" s="1">
        <f t="shared" si="151"/>
        <v>2</v>
      </c>
      <c r="V730" s="1">
        <f t="shared" si="152"/>
        <v>16.7</v>
      </c>
      <c r="W730" s="10" t="str">
        <f t="shared" si="153"/>
        <v>Low</v>
      </c>
      <c r="X730" s="1">
        <v>0</v>
      </c>
      <c r="Y730" s="1" t="str">
        <f t="shared" si="154"/>
        <v>No</v>
      </c>
      <c r="Z730" s="14">
        <v>6</v>
      </c>
      <c r="AA730" s="18">
        <f t="shared" si="155"/>
        <v>6</v>
      </c>
      <c r="AB730" s="18" t="str">
        <f t="shared" si="156"/>
        <v>No</v>
      </c>
      <c r="AC730" s="9" t="s">
        <v>2895</v>
      </c>
      <c r="AD730">
        <f>IF(AC730="",0,LEN(AC730)-LEN(SUBSTITUTE(AC730,",",""))+1)</f>
        <v>2</v>
      </c>
    </row>
    <row r="731" spans="1:30" ht="12.5" x14ac:dyDescent="0.25">
      <c r="A731" s="1" t="s">
        <v>2896</v>
      </c>
      <c r="B731" s="1" t="s">
        <v>2897</v>
      </c>
      <c r="C731" s="1" t="str">
        <v>Sandra Rosales</v>
      </c>
      <c r="D731" s="1" t="s">
        <v>2898</v>
      </c>
      <c r="E731" s="1" t="str">
        <v>kevin44@smith.org</v>
      </c>
      <c r="F731" t="str">
        <f t="shared" si="145"/>
        <v>Valid</v>
      </c>
      <c r="G731" s="1" t="s">
        <v>43</v>
      </c>
      <c r="H731" s="1" t="str">
        <f t="shared" si="146"/>
        <v>Female</v>
      </c>
      <c r="I731" s="1" t="s">
        <v>18</v>
      </c>
      <c r="J731" t="str">
        <f t="shared" si="147"/>
        <v>US</v>
      </c>
      <c r="K731" s="14">
        <v>0</v>
      </c>
      <c r="L731" s="1">
        <f t="shared" si="148"/>
        <v>19</v>
      </c>
      <c r="M731" s="1" t="str">
        <f t="shared" si="149"/>
        <v>Student</v>
      </c>
      <c r="N731" s="2">
        <v>45118</v>
      </c>
      <c r="O731" s="1" t="s">
        <v>36</v>
      </c>
      <c r="P731" s="1" t="s">
        <v>37</v>
      </c>
      <c r="Q731" s="4">
        <v>0.63</v>
      </c>
      <c r="R731" s="13">
        <f t="shared" si="150"/>
        <v>63</v>
      </c>
      <c r="S731" s="6">
        <f t="shared" si="144"/>
        <v>0.63</v>
      </c>
      <c r="T731" s="1" t="s">
        <v>64</v>
      </c>
      <c r="U731" s="1">
        <f t="shared" si="151"/>
        <v>2</v>
      </c>
      <c r="V731" s="1">
        <f t="shared" si="152"/>
        <v>44.699999999999996</v>
      </c>
      <c r="W731" s="10" t="str">
        <f t="shared" si="153"/>
        <v>Medium</v>
      </c>
      <c r="X731" s="1">
        <v>1</v>
      </c>
      <c r="Y731" s="1" t="str">
        <f t="shared" si="154"/>
        <v>Yes</v>
      </c>
      <c r="Z731" s="14">
        <v>5</v>
      </c>
      <c r="AA731" s="18">
        <f t="shared" si="155"/>
        <v>5</v>
      </c>
      <c r="AB731" s="18" t="str">
        <f t="shared" si="156"/>
        <v>High Performer</v>
      </c>
      <c r="AC731" s="9" t="s">
        <v>2899</v>
      </c>
      <c r="AD731">
        <f>IF(AC731="",0,LEN(AC731)-LEN(SUBSTITUTE(AC731,",",""))+1)</f>
        <v>4</v>
      </c>
    </row>
    <row r="732" spans="1:30" ht="12.5" x14ac:dyDescent="0.25">
      <c r="A732" s="1" t="s">
        <v>2900</v>
      </c>
      <c r="B732" s="1" t="s">
        <v>2901</v>
      </c>
      <c r="C732" s="1" t="str">
        <v>Maria Petersen</v>
      </c>
      <c r="D732" s="1" t="s">
        <v>2902</v>
      </c>
      <c r="E732" s="1" t="str">
        <v>fstafford@kelly.info</v>
      </c>
      <c r="F732" t="str">
        <f t="shared" si="145"/>
        <v>Valid</v>
      </c>
      <c r="G732" s="1" t="s">
        <v>57</v>
      </c>
      <c r="H732" s="1" t="str">
        <f t="shared" si="146"/>
        <v>Female</v>
      </c>
      <c r="I732" s="1" t="s">
        <v>96</v>
      </c>
      <c r="J732" t="str">
        <f t="shared" si="147"/>
        <v>INDIA</v>
      </c>
      <c r="K732" s="14">
        <v>33</v>
      </c>
      <c r="L732" s="1">
        <f t="shared" si="148"/>
        <v>33</v>
      </c>
      <c r="M732" s="1" t="str">
        <f t="shared" si="149"/>
        <v>Mid Career</v>
      </c>
      <c r="N732" s="2">
        <v>45181</v>
      </c>
      <c r="O732" s="1" t="s">
        <v>30</v>
      </c>
      <c r="P732" s="1" t="s">
        <v>31</v>
      </c>
      <c r="Q732" s="4">
        <v>0.46</v>
      </c>
      <c r="R732" s="13">
        <f t="shared" si="150"/>
        <v>46</v>
      </c>
      <c r="S732" s="6">
        <f t="shared" si="144"/>
        <v>0.46</v>
      </c>
      <c r="T732" s="1" t="s">
        <v>46</v>
      </c>
      <c r="U732" s="1">
        <f t="shared" si="151"/>
        <v>1</v>
      </c>
      <c r="V732" s="1">
        <f t="shared" si="152"/>
        <v>32.499999999999993</v>
      </c>
      <c r="W732" s="10" t="str">
        <f t="shared" si="153"/>
        <v>Low</v>
      </c>
      <c r="X732" s="1" t="s">
        <v>76</v>
      </c>
      <c r="Y732" s="1" t="str">
        <f t="shared" si="154"/>
        <v>Yes</v>
      </c>
      <c r="Z732" s="14">
        <v>1</v>
      </c>
      <c r="AA732" s="18">
        <f t="shared" si="155"/>
        <v>1</v>
      </c>
      <c r="AB732" s="18" t="str">
        <f t="shared" si="156"/>
        <v>No</v>
      </c>
      <c r="AC732" s="9" t="s">
        <v>2903</v>
      </c>
      <c r="AD732">
        <f>IF(AC732="",0,LEN(AC732)-LEN(SUBSTITUTE(AC732,",",""))+1)</f>
        <v>4</v>
      </c>
    </row>
    <row r="733" spans="1:30" ht="12.5" x14ac:dyDescent="0.25">
      <c r="A733" s="1" t="s">
        <v>2904</v>
      </c>
      <c r="B733" s="1" t="s">
        <v>2905</v>
      </c>
      <c r="C733" s="1" t="str">
        <v>Nathan Morales</v>
      </c>
      <c r="D733" s="1" t="s">
        <v>2906</v>
      </c>
      <c r="E733" s="1" t="str">
        <v>jordanjames@robertson.info</v>
      </c>
      <c r="F733" t="str">
        <f t="shared" si="145"/>
        <v>Valid</v>
      </c>
      <c r="G733" s="1" t="s">
        <v>95</v>
      </c>
      <c r="H733" s="1" t="str">
        <f t="shared" si="146"/>
        <v>Male</v>
      </c>
      <c r="I733" s="1" t="s">
        <v>51</v>
      </c>
      <c r="J733" t="str">
        <f t="shared" si="147"/>
        <v>UK</v>
      </c>
      <c r="K733" s="14">
        <v>0</v>
      </c>
      <c r="L733" s="1">
        <f t="shared" si="148"/>
        <v>19</v>
      </c>
      <c r="M733" s="1" t="str">
        <f t="shared" si="149"/>
        <v>Student</v>
      </c>
      <c r="N733" s="9">
        <v>45168</v>
      </c>
      <c r="O733" s="1" t="s">
        <v>52</v>
      </c>
      <c r="P733" s="1" t="s">
        <v>37</v>
      </c>
      <c r="Q733" s="4">
        <v>0.7</v>
      </c>
      <c r="R733" s="13">
        <f t="shared" si="150"/>
        <v>70</v>
      </c>
      <c r="S733" s="6">
        <f t="shared" si="144"/>
        <v>0.7</v>
      </c>
      <c r="T733" s="1">
        <v>2</v>
      </c>
      <c r="U733" s="1">
        <f t="shared" si="151"/>
        <v>2</v>
      </c>
      <c r="V733" s="1">
        <f t="shared" si="152"/>
        <v>49.6</v>
      </c>
      <c r="W733" s="10" t="str">
        <f t="shared" si="153"/>
        <v>Medium</v>
      </c>
      <c r="X733" s="1" t="s">
        <v>38</v>
      </c>
      <c r="Y733" s="1" t="str">
        <f t="shared" si="154"/>
        <v>No</v>
      </c>
      <c r="Z733" s="14">
        <v>4</v>
      </c>
      <c r="AA733" s="18">
        <f t="shared" si="155"/>
        <v>4</v>
      </c>
      <c r="AB733" s="18" t="str">
        <f t="shared" si="156"/>
        <v>No</v>
      </c>
      <c r="AC733" s="9" t="s">
        <v>2907</v>
      </c>
      <c r="AD733">
        <f>IF(AC733="",0,LEN(AC733)-LEN(SUBSTITUTE(AC733,",",""))+1)</f>
        <v>3</v>
      </c>
    </row>
    <row r="734" spans="1:30" ht="12.5" x14ac:dyDescent="0.25">
      <c r="A734" s="1" t="s">
        <v>2908</v>
      </c>
      <c r="B734" s="1" t="s">
        <v>2909</v>
      </c>
      <c r="C734" s="1" t="str">
        <v>James Evans</v>
      </c>
      <c r="D734" s="1" t="s">
        <v>2910</v>
      </c>
      <c r="E734" s="1" t="str">
        <v>amandaadams@yahoo.com</v>
      </c>
      <c r="F734" t="str">
        <f t="shared" si="145"/>
        <v>Valid</v>
      </c>
      <c r="G734" s="1" t="s">
        <v>109</v>
      </c>
      <c r="H734" s="1" t="str">
        <f t="shared" si="146"/>
        <v>Male</v>
      </c>
      <c r="I734" s="1" t="s">
        <v>28</v>
      </c>
      <c r="J734" t="str">
        <f t="shared" si="147"/>
        <v>INDIA</v>
      </c>
      <c r="L734" s="1">
        <f t="shared" si="148"/>
        <v>19</v>
      </c>
      <c r="M734" s="1" t="str">
        <f t="shared" si="149"/>
        <v>Student</v>
      </c>
      <c r="N734" s="9">
        <v>44668</v>
      </c>
      <c r="O734" s="1" t="s">
        <v>45</v>
      </c>
      <c r="P734" s="1" t="s">
        <v>20</v>
      </c>
      <c r="Q734" s="4">
        <v>0.13</v>
      </c>
      <c r="R734" s="13">
        <f t="shared" si="150"/>
        <v>13</v>
      </c>
      <c r="S734" s="6">
        <f t="shared" si="144"/>
        <v>0.13</v>
      </c>
      <c r="T734" s="1">
        <v>2</v>
      </c>
      <c r="U734" s="1">
        <f t="shared" si="151"/>
        <v>2</v>
      </c>
      <c r="V734" s="1">
        <f t="shared" si="152"/>
        <v>9.6999999999999993</v>
      </c>
      <c r="W734" s="10" t="str">
        <f t="shared" si="153"/>
        <v>Low</v>
      </c>
      <c r="X734" s="1" t="s">
        <v>22</v>
      </c>
      <c r="Y734" s="1" t="str">
        <f t="shared" si="154"/>
        <v>No</v>
      </c>
      <c r="AA734" s="18" t="str">
        <f t="shared" si="155"/>
        <v>Invalid</v>
      </c>
      <c r="AB734" s="18" t="str">
        <f t="shared" si="156"/>
        <v>No</v>
      </c>
      <c r="AC734" s="9" t="s">
        <v>2911</v>
      </c>
      <c r="AD734">
        <f>IF(AC734="",0,LEN(AC734)-LEN(SUBSTITUTE(AC734,",",""))+1)</f>
        <v>7</v>
      </c>
    </row>
    <row r="735" spans="1:30" ht="12.5" x14ac:dyDescent="0.25">
      <c r="A735" s="1" t="s">
        <v>2912</v>
      </c>
      <c r="B735" s="1" t="s">
        <v>2913</v>
      </c>
      <c r="C735" s="1" t="str">
        <v>Jeffrey Howard</v>
      </c>
      <c r="D735" s="1" t="s">
        <v>2914</v>
      </c>
      <c r="E735" s="1" t="str">
        <v>lopezbilly@fisher-rivera.com</v>
      </c>
      <c r="F735" t="str">
        <f t="shared" si="145"/>
        <v>Valid</v>
      </c>
      <c r="G735" s="1" t="s">
        <v>27</v>
      </c>
      <c r="H735" s="1" t="str">
        <f t="shared" si="146"/>
        <v>Male</v>
      </c>
      <c r="I735" s="1" t="s">
        <v>136</v>
      </c>
      <c r="J735" t="str">
        <f t="shared" si="147"/>
        <v>UK</v>
      </c>
      <c r="K735" s="14">
        <v>0</v>
      </c>
      <c r="L735" s="1">
        <f t="shared" si="148"/>
        <v>19</v>
      </c>
      <c r="M735" s="1" t="str">
        <f t="shared" si="149"/>
        <v>Student</v>
      </c>
      <c r="N735" s="9">
        <v>45677</v>
      </c>
      <c r="O735" s="1" t="s">
        <v>19</v>
      </c>
      <c r="P735" s="1" t="s">
        <v>20</v>
      </c>
      <c r="Q735" s="4">
        <v>60</v>
      </c>
      <c r="R735" s="13">
        <f t="shared" si="150"/>
        <v>60</v>
      </c>
      <c r="S735" s="6">
        <f t="shared" si="144"/>
        <v>0.6</v>
      </c>
      <c r="T735" s="1" t="s">
        <v>21</v>
      </c>
      <c r="U735" s="1">
        <f t="shared" si="151"/>
        <v>1.5</v>
      </c>
      <c r="V735" s="1">
        <f t="shared" si="152"/>
        <v>42.45</v>
      </c>
      <c r="W735" s="10" t="str">
        <f t="shared" si="153"/>
        <v>Medium</v>
      </c>
      <c r="X735" s="1">
        <v>0</v>
      </c>
      <c r="Y735" s="1" t="str">
        <f t="shared" si="154"/>
        <v>No</v>
      </c>
      <c r="AA735" s="18" t="str">
        <f t="shared" si="155"/>
        <v>Invalid</v>
      </c>
      <c r="AB735" s="18" t="str">
        <f t="shared" si="156"/>
        <v>No</v>
      </c>
      <c r="AC735" s="9" t="s">
        <v>2915</v>
      </c>
      <c r="AD735">
        <f>IF(AC735="",0,LEN(AC735)-LEN(SUBSTITUTE(AC735,",",""))+1)</f>
        <v>7</v>
      </c>
    </row>
    <row r="736" spans="1:30" ht="12.5" x14ac:dyDescent="0.25">
      <c r="A736" s="1" t="s">
        <v>2916</v>
      </c>
      <c r="B736" s="1" t="s">
        <v>2917</v>
      </c>
      <c r="C736" s="1" t="str">
        <v>Victoria Wilson</v>
      </c>
      <c r="D736" s="1" t="s">
        <v>2918</v>
      </c>
      <c r="E736" s="1" t="str">
        <v>tmarsh@gmail.com</v>
      </c>
      <c r="F736" t="str">
        <f t="shared" si="145"/>
        <v>Valid</v>
      </c>
      <c r="G736" s="1" t="s">
        <v>109</v>
      </c>
      <c r="H736" s="1" t="str">
        <f t="shared" si="146"/>
        <v>Male</v>
      </c>
      <c r="I736" s="1" t="s">
        <v>28</v>
      </c>
      <c r="J736" t="str">
        <f t="shared" si="147"/>
        <v>INDIA</v>
      </c>
      <c r="L736" s="1">
        <f t="shared" si="148"/>
        <v>19</v>
      </c>
      <c r="M736" s="1" t="str">
        <f t="shared" si="149"/>
        <v>Student</v>
      </c>
      <c r="N736" s="3">
        <v>44907</v>
      </c>
      <c r="O736" s="1" t="s">
        <v>301</v>
      </c>
      <c r="P736" s="1" t="s">
        <v>20</v>
      </c>
      <c r="Q736" s="4">
        <v>0.82</v>
      </c>
      <c r="R736" s="13">
        <f t="shared" si="150"/>
        <v>82</v>
      </c>
      <c r="S736" s="6">
        <f t="shared" si="144"/>
        <v>0.82</v>
      </c>
      <c r="T736" s="1" t="s">
        <v>21</v>
      </c>
      <c r="U736" s="1">
        <f t="shared" si="151"/>
        <v>1.5</v>
      </c>
      <c r="V736" s="1">
        <f t="shared" si="152"/>
        <v>57.85</v>
      </c>
      <c r="W736" s="10" t="str">
        <f t="shared" si="153"/>
        <v>Medium</v>
      </c>
      <c r="X736" s="1" t="s">
        <v>38</v>
      </c>
      <c r="Y736" s="1" t="str">
        <f t="shared" si="154"/>
        <v>No</v>
      </c>
      <c r="Z736" s="14">
        <v>1</v>
      </c>
      <c r="AA736" s="18">
        <f t="shared" si="155"/>
        <v>1</v>
      </c>
      <c r="AB736" s="18" t="str">
        <f t="shared" si="156"/>
        <v>No</v>
      </c>
      <c r="AC736" s="9" t="s">
        <v>2919</v>
      </c>
      <c r="AD736">
        <f>IF(AC736="",0,LEN(AC736)-LEN(SUBSTITUTE(AC736,",",""))+1)</f>
        <v>2</v>
      </c>
    </row>
    <row r="737" spans="1:30" ht="12.5" x14ac:dyDescent="0.25">
      <c r="A737" s="1" t="s">
        <v>2920</v>
      </c>
      <c r="B737" s="1" t="s">
        <v>2921</v>
      </c>
      <c r="C737" s="1" t="str">
        <v>Nicholas Harmon</v>
      </c>
      <c r="D737" s="1" t="s">
        <v>2922</v>
      </c>
      <c r="E737" s="1" t="str">
        <v>danielrodriguez@gmail.com</v>
      </c>
      <c r="F737" t="str">
        <f t="shared" si="145"/>
        <v>Valid</v>
      </c>
      <c r="G737" s="1" t="s">
        <v>17</v>
      </c>
      <c r="H737" s="1" t="str">
        <f t="shared" si="146"/>
        <v>Female</v>
      </c>
      <c r="I737" s="1" t="s">
        <v>96</v>
      </c>
      <c r="J737" t="str">
        <f t="shared" si="147"/>
        <v>INDIA</v>
      </c>
      <c r="K737" s="14">
        <v>30</v>
      </c>
      <c r="L737" s="1">
        <f t="shared" si="148"/>
        <v>30</v>
      </c>
      <c r="M737" s="1" t="str">
        <f t="shared" si="149"/>
        <v>Early Career</v>
      </c>
      <c r="N737" s="9">
        <v>45162</v>
      </c>
      <c r="O737" s="1" t="s">
        <v>30</v>
      </c>
      <c r="P737" s="1" t="s">
        <v>31</v>
      </c>
      <c r="Q737" s="4">
        <v>0.9</v>
      </c>
      <c r="R737" s="13">
        <f t="shared" si="150"/>
        <v>90</v>
      </c>
      <c r="S737" s="6">
        <f t="shared" si="144"/>
        <v>0.9</v>
      </c>
      <c r="T737" s="1">
        <v>45</v>
      </c>
      <c r="U737" s="1">
        <f t="shared" si="151"/>
        <v>45</v>
      </c>
      <c r="V737" s="1">
        <f t="shared" si="152"/>
        <v>76.5</v>
      </c>
      <c r="W737" s="10" t="str">
        <f t="shared" si="153"/>
        <v>High</v>
      </c>
      <c r="X737" s="1" t="s">
        <v>38</v>
      </c>
      <c r="Y737" s="1" t="str">
        <f t="shared" si="154"/>
        <v>No</v>
      </c>
      <c r="Z737" s="14">
        <v>2</v>
      </c>
      <c r="AA737" s="18">
        <f t="shared" si="155"/>
        <v>2</v>
      </c>
      <c r="AB737" s="18" t="str">
        <f t="shared" si="156"/>
        <v>No</v>
      </c>
      <c r="AC737" s="9" t="s">
        <v>2923</v>
      </c>
      <c r="AD737">
        <f>IF(AC737="",0,LEN(AC737)-LEN(SUBSTITUTE(AC737,",",""))+1)</f>
        <v>5</v>
      </c>
    </row>
    <row r="738" spans="1:30" ht="12.5" x14ac:dyDescent="0.25">
      <c r="A738" s="1" t="s">
        <v>2924</v>
      </c>
      <c r="B738" s="1" t="s">
        <v>2925</v>
      </c>
      <c r="C738" s="1" t="str">
        <v>Cynthia Gregory</v>
      </c>
      <c r="D738" s="1" t="s">
        <v>2926</v>
      </c>
      <c r="E738" s="1" t="str">
        <v>vbray@gmail.com</v>
      </c>
      <c r="F738" t="str">
        <f t="shared" si="145"/>
        <v>Valid</v>
      </c>
      <c r="G738" s="1" t="s">
        <v>119</v>
      </c>
      <c r="H738" s="1" t="str">
        <f t="shared" si="146"/>
        <v>Female</v>
      </c>
      <c r="I738" s="1" t="s">
        <v>136</v>
      </c>
      <c r="J738" t="str">
        <f t="shared" si="147"/>
        <v>UK</v>
      </c>
      <c r="K738" s="14">
        <v>0</v>
      </c>
      <c r="L738" s="1">
        <f t="shared" si="148"/>
        <v>19</v>
      </c>
      <c r="M738" s="1" t="str">
        <f t="shared" si="149"/>
        <v>Student</v>
      </c>
      <c r="N738" s="9">
        <v>44853</v>
      </c>
      <c r="O738" s="1" t="s">
        <v>90</v>
      </c>
      <c r="P738" s="1" t="s">
        <v>31</v>
      </c>
      <c r="Q738" s="4">
        <v>0.95</v>
      </c>
      <c r="R738" s="13">
        <f t="shared" si="150"/>
        <v>95</v>
      </c>
      <c r="S738" s="6">
        <f t="shared" si="144"/>
        <v>0.95</v>
      </c>
      <c r="T738" s="1" t="s">
        <v>64</v>
      </c>
      <c r="U738" s="1">
        <f t="shared" si="151"/>
        <v>2</v>
      </c>
      <c r="V738" s="1">
        <f t="shared" si="152"/>
        <v>67.099999999999994</v>
      </c>
      <c r="W738" s="10" t="str">
        <f t="shared" si="153"/>
        <v>Medium</v>
      </c>
      <c r="X738" s="1" t="s">
        <v>38</v>
      </c>
      <c r="Y738" s="1" t="str">
        <f t="shared" si="154"/>
        <v>No</v>
      </c>
      <c r="Z738" s="14">
        <v>5</v>
      </c>
      <c r="AA738" s="18">
        <f t="shared" si="155"/>
        <v>5</v>
      </c>
      <c r="AB738" s="18" t="str">
        <f t="shared" si="156"/>
        <v>No</v>
      </c>
      <c r="AC738" s="9" t="s">
        <v>2927</v>
      </c>
      <c r="AD738">
        <f>IF(AC738="",0,LEN(AC738)-LEN(SUBSTITUTE(AC738,",",""))+1)</f>
        <v>4</v>
      </c>
    </row>
    <row r="739" spans="1:30" ht="12.5" x14ac:dyDescent="0.25">
      <c r="A739" s="1" t="s">
        <v>2928</v>
      </c>
      <c r="B739" s="1" t="s">
        <v>2929</v>
      </c>
      <c r="C739" s="1" t="str">
        <v>Jeffrey Williamson</v>
      </c>
      <c r="D739" s="1" t="s">
        <v>2930</v>
      </c>
      <c r="E739" s="1" t="str">
        <v>juanwilson@gamble-wright.biz</v>
      </c>
      <c r="F739" t="str">
        <f t="shared" si="145"/>
        <v>Valid</v>
      </c>
      <c r="G739" s="1" t="s">
        <v>57</v>
      </c>
      <c r="H739" s="1" t="str">
        <f t="shared" si="146"/>
        <v>Female</v>
      </c>
      <c r="I739" s="1" t="s">
        <v>28</v>
      </c>
      <c r="J739" t="str">
        <f t="shared" si="147"/>
        <v>INDIA</v>
      </c>
      <c r="L739" s="1">
        <f t="shared" si="148"/>
        <v>19</v>
      </c>
      <c r="M739" s="1" t="str">
        <f t="shared" si="149"/>
        <v>Student</v>
      </c>
      <c r="N739" s="2">
        <v>45567</v>
      </c>
      <c r="O739" s="1" t="s">
        <v>235</v>
      </c>
      <c r="P739" s="1" t="s">
        <v>147</v>
      </c>
      <c r="Q739" s="4">
        <v>0.34</v>
      </c>
      <c r="R739" s="13">
        <f t="shared" si="150"/>
        <v>34</v>
      </c>
      <c r="S739" s="6">
        <f t="shared" si="144"/>
        <v>0.34</v>
      </c>
      <c r="T739" s="1" t="s">
        <v>46</v>
      </c>
      <c r="U739" s="1">
        <f t="shared" si="151"/>
        <v>1</v>
      </c>
      <c r="V739" s="1">
        <f t="shared" si="152"/>
        <v>24.099999999999998</v>
      </c>
      <c r="W739" s="10" t="str">
        <f t="shared" si="153"/>
        <v>Low</v>
      </c>
      <c r="X739" s="1" t="s">
        <v>76</v>
      </c>
      <c r="Y739" s="1" t="str">
        <f t="shared" si="154"/>
        <v>Yes</v>
      </c>
      <c r="Z739" s="14">
        <v>1</v>
      </c>
      <c r="AA739" s="18">
        <f t="shared" si="155"/>
        <v>1</v>
      </c>
      <c r="AB739" s="18" t="str">
        <f t="shared" si="156"/>
        <v>No</v>
      </c>
      <c r="AC739" s="9" t="s">
        <v>2931</v>
      </c>
      <c r="AD739">
        <f>IF(AC739="",0,LEN(AC739)-LEN(SUBSTITUTE(AC739,",",""))+1)</f>
        <v>6</v>
      </c>
    </row>
    <row r="740" spans="1:30" ht="12.5" x14ac:dyDescent="0.25">
      <c r="A740" s="1" t="s">
        <v>2932</v>
      </c>
      <c r="B740" s="1" t="s">
        <v>2933</v>
      </c>
      <c r="C740" s="1" t="str">
        <v>Nicholas Carr</v>
      </c>
      <c r="D740" s="1" t="s">
        <v>2934</v>
      </c>
      <c r="E740" s="1" t="str">
        <v>jeromeanderson@hill.com</v>
      </c>
      <c r="F740" t="str">
        <f t="shared" si="145"/>
        <v>Valid</v>
      </c>
      <c r="G740" s="1" t="s">
        <v>17</v>
      </c>
      <c r="H740" s="1" t="str">
        <f t="shared" si="146"/>
        <v>Female</v>
      </c>
      <c r="I740" s="1" t="s">
        <v>28</v>
      </c>
      <c r="J740" t="str">
        <f t="shared" si="147"/>
        <v>INDIA</v>
      </c>
      <c r="L740" s="1">
        <f t="shared" si="148"/>
        <v>19</v>
      </c>
      <c r="M740" s="1" t="str">
        <f t="shared" si="149"/>
        <v>Student</v>
      </c>
      <c r="N740" s="2">
        <v>45171</v>
      </c>
      <c r="O740" s="1" t="s">
        <v>19</v>
      </c>
      <c r="P740" s="1" t="s">
        <v>20</v>
      </c>
      <c r="Q740" s="4">
        <v>0.25</v>
      </c>
      <c r="R740" s="13">
        <f t="shared" si="150"/>
        <v>25</v>
      </c>
      <c r="S740" s="6">
        <f t="shared" si="144"/>
        <v>0.25</v>
      </c>
      <c r="T740" s="1">
        <v>2</v>
      </c>
      <c r="U740" s="1">
        <f t="shared" si="151"/>
        <v>2</v>
      </c>
      <c r="V740" s="1">
        <f t="shared" si="152"/>
        <v>18.100000000000001</v>
      </c>
      <c r="W740" s="10" t="str">
        <f t="shared" si="153"/>
        <v>Low</v>
      </c>
      <c r="X740" s="1" t="s">
        <v>32</v>
      </c>
      <c r="Y740" s="1" t="str">
        <f t="shared" si="154"/>
        <v>Yes</v>
      </c>
      <c r="AA740" s="18" t="str">
        <f t="shared" si="155"/>
        <v>Invalid</v>
      </c>
      <c r="AB740" s="18" t="str">
        <f t="shared" si="156"/>
        <v>High Performer</v>
      </c>
      <c r="AC740" s="9">
        <v>45171</v>
      </c>
      <c r="AD740">
        <f>IF(AC740="",0,LEN(AC740)-LEN(SUBSTITUTE(AC740,",",""))+1)</f>
        <v>1</v>
      </c>
    </row>
    <row r="741" spans="1:30" ht="12.5" x14ac:dyDescent="0.25">
      <c r="A741" s="1" t="s">
        <v>2935</v>
      </c>
      <c r="B741" s="1" t="s">
        <v>2936</v>
      </c>
      <c r="C741" s="1" t="str">
        <v>Jamie Warren</v>
      </c>
      <c r="D741" s="1" t="s">
        <v>2937</v>
      </c>
      <c r="E741" s="1" t="str">
        <v>matthewmendoza@simmons.com</v>
      </c>
      <c r="F741" t="str">
        <f t="shared" si="145"/>
        <v>Valid</v>
      </c>
      <c r="G741" s="1" t="s">
        <v>57</v>
      </c>
      <c r="H741" s="1" t="str">
        <f t="shared" si="146"/>
        <v>Female</v>
      </c>
      <c r="I741" s="1" t="s">
        <v>51</v>
      </c>
      <c r="J741" t="str">
        <f t="shared" si="147"/>
        <v>UK</v>
      </c>
      <c r="K741" s="14">
        <v>0</v>
      </c>
      <c r="L741" s="1">
        <f t="shared" si="148"/>
        <v>19</v>
      </c>
      <c r="M741" s="1" t="str">
        <f t="shared" si="149"/>
        <v>Student</v>
      </c>
      <c r="N741" s="9">
        <v>45320</v>
      </c>
      <c r="O741" s="1" t="s">
        <v>301</v>
      </c>
      <c r="P741" s="1" t="s">
        <v>20</v>
      </c>
      <c r="Q741" s="4">
        <v>50</v>
      </c>
      <c r="R741" s="13">
        <f t="shared" si="150"/>
        <v>50</v>
      </c>
      <c r="S741" s="6">
        <f t="shared" si="144"/>
        <v>0.5</v>
      </c>
      <c r="T741" s="1">
        <v>2</v>
      </c>
      <c r="U741" s="1">
        <f t="shared" si="151"/>
        <v>2</v>
      </c>
      <c r="V741" s="1">
        <f t="shared" si="152"/>
        <v>35.6</v>
      </c>
      <c r="W741" s="10" t="str">
        <f t="shared" si="153"/>
        <v>Low</v>
      </c>
      <c r="X741" s="1" t="s">
        <v>38</v>
      </c>
      <c r="Y741" s="1" t="str">
        <f t="shared" si="154"/>
        <v>No</v>
      </c>
      <c r="Z741" s="14">
        <v>5</v>
      </c>
      <c r="AA741" s="18">
        <f t="shared" si="155"/>
        <v>5</v>
      </c>
      <c r="AB741" s="18" t="str">
        <f t="shared" si="156"/>
        <v>No</v>
      </c>
      <c r="AC741" s="9" t="s">
        <v>213</v>
      </c>
      <c r="AD741">
        <f>IF(AC741="",0,LEN(AC741)-LEN(SUBSTITUTE(AC741,",",""))+1)</f>
        <v>1</v>
      </c>
    </row>
    <row r="742" spans="1:30" ht="12.5" x14ac:dyDescent="0.25">
      <c r="A742" s="1" t="s">
        <v>2938</v>
      </c>
      <c r="B742" s="1" t="s">
        <v>2939</v>
      </c>
      <c r="C742" s="1" t="str">
        <v>Steven White</v>
      </c>
      <c r="D742" s="1" t="s">
        <v>2940</v>
      </c>
      <c r="E742" s="1" t="str">
        <v>guerreromarc@kennedy-kerr.com</v>
      </c>
      <c r="F742" t="str">
        <f t="shared" si="145"/>
        <v>Valid</v>
      </c>
      <c r="G742" s="1" t="s">
        <v>27</v>
      </c>
      <c r="H742" s="1" t="str">
        <f t="shared" si="146"/>
        <v>Male</v>
      </c>
      <c r="I742" s="1" t="s">
        <v>51</v>
      </c>
      <c r="J742" t="str">
        <f t="shared" si="147"/>
        <v>UK</v>
      </c>
      <c r="K742" s="14">
        <v>0</v>
      </c>
      <c r="L742" s="1">
        <f t="shared" si="148"/>
        <v>19</v>
      </c>
      <c r="M742" s="1" t="str">
        <f t="shared" si="149"/>
        <v>Student</v>
      </c>
      <c r="N742" s="9">
        <v>45093</v>
      </c>
      <c r="O742" s="1" t="s">
        <v>90</v>
      </c>
      <c r="P742" s="1" t="s">
        <v>31</v>
      </c>
      <c r="Q742" s="4">
        <v>0.48</v>
      </c>
      <c r="R742" s="13">
        <f t="shared" si="150"/>
        <v>48</v>
      </c>
      <c r="S742" s="6">
        <f t="shared" si="144"/>
        <v>0.48</v>
      </c>
      <c r="T742" s="1">
        <v>1.5</v>
      </c>
      <c r="U742" s="1">
        <f t="shared" si="151"/>
        <v>1.5</v>
      </c>
      <c r="V742" s="1">
        <f t="shared" si="152"/>
        <v>34.049999999999997</v>
      </c>
      <c r="W742" s="10" t="str">
        <f t="shared" si="153"/>
        <v>Low</v>
      </c>
      <c r="X742" s="1">
        <v>0</v>
      </c>
      <c r="Y742" s="1" t="str">
        <f t="shared" si="154"/>
        <v>No</v>
      </c>
      <c r="Z742" s="14">
        <v>4</v>
      </c>
      <c r="AA742" s="18">
        <f t="shared" si="155"/>
        <v>4</v>
      </c>
      <c r="AB742" s="18" t="str">
        <f t="shared" si="156"/>
        <v>No</v>
      </c>
      <c r="AC742" s="9" t="s">
        <v>1668</v>
      </c>
      <c r="AD742">
        <f>IF(AC742="",0,LEN(AC742)-LEN(SUBSTITUTE(AC742,",",""))+1)</f>
        <v>3</v>
      </c>
    </row>
    <row r="743" spans="1:30" ht="12.5" x14ac:dyDescent="0.25">
      <c r="A743" s="1" t="s">
        <v>2941</v>
      </c>
      <c r="B743" s="1" t="s">
        <v>2942</v>
      </c>
      <c r="C743" s="1" t="str">
        <v>Eric Davis</v>
      </c>
      <c r="D743" s="1" t="s">
        <v>2943</v>
      </c>
      <c r="E743" s="1" t="str">
        <v>markfigueroa@paul-chapman.org</v>
      </c>
      <c r="F743" t="str">
        <f t="shared" si="145"/>
        <v>Valid</v>
      </c>
      <c r="G743" s="1" t="s">
        <v>57</v>
      </c>
      <c r="H743" s="1" t="str">
        <f t="shared" si="146"/>
        <v>Female</v>
      </c>
      <c r="I743" s="1" t="s">
        <v>136</v>
      </c>
      <c r="J743" t="str">
        <f t="shared" si="147"/>
        <v>UK</v>
      </c>
      <c r="K743" s="14">
        <v>43</v>
      </c>
      <c r="L743" s="1">
        <f t="shared" si="148"/>
        <v>43</v>
      </c>
      <c r="M743" s="1" t="str">
        <f t="shared" si="149"/>
        <v>Senior</v>
      </c>
      <c r="N743" s="2">
        <v>45414</v>
      </c>
      <c r="O743" s="1" t="s">
        <v>45</v>
      </c>
      <c r="P743" s="1" t="s">
        <v>20</v>
      </c>
      <c r="Q743" s="4">
        <v>83</v>
      </c>
      <c r="R743" s="13">
        <f t="shared" si="150"/>
        <v>83</v>
      </c>
      <c r="S743" s="6">
        <f t="shared" si="144"/>
        <v>0.83</v>
      </c>
      <c r="T743" s="1" t="s">
        <v>21</v>
      </c>
      <c r="U743" s="1">
        <f t="shared" si="151"/>
        <v>1.5</v>
      </c>
      <c r="V743" s="1">
        <f t="shared" si="152"/>
        <v>58.55</v>
      </c>
      <c r="W743" s="10" t="str">
        <f t="shared" si="153"/>
        <v>Medium</v>
      </c>
      <c r="X743" s="1" t="s">
        <v>32</v>
      </c>
      <c r="Y743" s="1" t="str">
        <f t="shared" si="154"/>
        <v>Yes</v>
      </c>
      <c r="Z743" s="14">
        <v>2</v>
      </c>
      <c r="AA743" s="18">
        <f t="shared" si="155"/>
        <v>2</v>
      </c>
      <c r="AB743" s="18" t="str">
        <f t="shared" si="156"/>
        <v>No</v>
      </c>
      <c r="AC743" s="9" t="s">
        <v>2944</v>
      </c>
      <c r="AD743">
        <f>IF(AC743="",0,LEN(AC743)-LEN(SUBSTITUTE(AC743,",",""))+1)</f>
        <v>4</v>
      </c>
    </row>
    <row r="744" spans="1:30" ht="12.5" x14ac:dyDescent="0.25">
      <c r="A744" s="1" t="s">
        <v>2945</v>
      </c>
      <c r="B744" s="1" t="s">
        <v>2946</v>
      </c>
      <c r="C744" s="1" t="str">
        <v>Anita Rodriguez</v>
      </c>
      <c r="D744" s="1" t="s">
        <v>2947</v>
      </c>
      <c r="E744" s="1" t="str">
        <v>willisrhonda@roth.com</v>
      </c>
      <c r="F744" t="str">
        <f t="shared" si="145"/>
        <v>Valid</v>
      </c>
      <c r="G744" s="1" t="s">
        <v>17</v>
      </c>
      <c r="H744" s="1" t="str">
        <f t="shared" si="146"/>
        <v>Female</v>
      </c>
      <c r="I744" s="1" t="s">
        <v>51</v>
      </c>
      <c r="J744" t="str">
        <f t="shared" si="147"/>
        <v>UK</v>
      </c>
      <c r="K744" s="14">
        <v>0</v>
      </c>
      <c r="L744" s="1">
        <f t="shared" si="148"/>
        <v>19</v>
      </c>
      <c r="M744" s="1" t="str">
        <f t="shared" si="149"/>
        <v>Student</v>
      </c>
      <c r="N744" s="2">
        <v>45057</v>
      </c>
      <c r="O744" s="1" t="s">
        <v>69</v>
      </c>
      <c r="P744" s="1" t="s">
        <v>31</v>
      </c>
      <c r="Q744" s="4">
        <v>49</v>
      </c>
      <c r="R744" s="13">
        <f t="shared" si="150"/>
        <v>49</v>
      </c>
      <c r="S744" s="6">
        <f t="shared" si="144"/>
        <v>0.49</v>
      </c>
      <c r="T744" s="1" t="s">
        <v>46</v>
      </c>
      <c r="U744" s="1">
        <f t="shared" si="151"/>
        <v>1</v>
      </c>
      <c r="V744" s="1">
        <f t="shared" si="152"/>
        <v>34.599999999999994</v>
      </c>
      <c r="W744" s="10" t="str">
        <f t="shared" si="153"/>
        <v>Low</v>
      </c>
      <c r="X744" s="1" t="s">
        <v>76</v>
      </c>
      <c r="Y744" s="1" t="str">
        <f t="shared" si="154"/>
        <v>Yes</v>
      </c>
      <c r="Z744" s="14">
        <v>2</v>
      </c>
      <c r="AA744" s="18">
        <f t="shared" si="155"/>
        <v>2</v>
      </c>
      <c r="AB744" s="18" t="str">
        <f t="shared" si="156"/>
        <v>No</v>
      </c>
      <c r="AC744" s="9">
        <v>45057</v>
      </c>
      <c r="AD744">
        <f>IF(AC744="",0,LEN(AC744)-LEN(SUBSTITUTE(AC744,",",""))+1)</f>
        <v>1</v>
      </c>
    </row>
    <row r="745" spans="1:30" ht="12.5" x14ac:dyDescent="0.25">
      <c r="A745" s="1" t="s">
        <v>2948</v>
      </c>
      <c r="B745" s="1" t="s">
        <v>2949</v>
      </c>
      <c r="C745" s="1" t="str">
        <v>John Juarez</v>
      </c>
      <c r="D745" s="1" t="s">
        <v>2950</v>
      </c>
      <c r="E745" s="1" t="str">
        <v>andersonrobert@king.net</v>
      </c>
      <c r="F745" t="str">
        <f t="shared" si="145"/>
        <v>Valid</v>
      </c>
      <c r="G745" s="1" t="s">
        <v>109</v>
      </c>
      <c r="H745" s="1" t="str">
        <f t="shared" si="146"/>
        <v>Male</v>
      </c>
      <c r="I745" s="1" t="s">
        <v>44</v>
      </c>
      <c r="J745" t="str">
        <f t="shared" si="147"/>
        <v>CANADA</v>
      </c>
      <c r="K745" s="14">
        <v>23</v>
      </c>
      <c r="L745" s="1">
        <f t="shared" si="148"/>
        <v>23</v>
      </c>
      <c r="M745" s="1" t="str">
        <f t="shared" si="149"/>
        <v>Early Career</v>
      </c>
      <c r="N745" s="2">
        <v>44569</v>
      </c>
      <c r="O745" s="1" t="s">
        <v>19</v>
      </c>
      <c r="P745" s="1" t="s">
        <v>20</v>
      </c>
      <c r="Q745" s="4">
        <v>100</v>
      </c>
      <c r="R745" s="13">
        <f t="shared" si="150"/>
        <v>100</v>
      </c>
      <c r="S745" s="6">
        <f t="shared" si="144"/>
        <v>1</v>
      </c>
      <c r="T745" s="1">
        <v>45</v>
      </c>
      <c r="U745" s="1">
        <f t="shared" si="151"/>
        <v>45</v>
      </c>
      <c r="V745" s="1">
        <f t="shared" si="152"/>
        <v>83.5</v>
      </c>
      <c r="W745" s="10" t="str">
        <f t="shared" si="153"/>
        <v>High</v>
      </c>
      <c r="X745" s="1" t="s">
        <v>32</v>
      </c>
      <c r="Y745" s="1" t="str">
        <f t="shared" si="154"/>
        <v>Yes</v>
      </c>
      <c r="Z745" s="14">
        <v>1</v>
      </c>
      <c r="AA745" s="18">
        <f t="shared" si="155"/>
        <v>1</v>
      </c>
      <c r="AB745" s="18" t="str">
        <f t="shared" si="156"/>
        <v>No</v>
      </c>
      <c r="AC745" s="9" t="s">
        <v>297</v>
      </c>
      <c r="AD745">
        <f>IF(AC745="",0,LEN(AC745)-LEN(SUBSTITUTE(AC745,",",""))+1)</f>
        <v>5</v>
      </c>
    </row>
    <row r="746" spans="1:30" ht="12.5" x14ac:dyDescent="0.25">
      <c r="A746" s="1" t="s">
        <v>2951</v>
      </c>
      <c r="B746" s="1" t="s">
        <v>2952</v>
      </c>
      <c r="C746" s="1" t="str">
        <v>Susan Jones</v>
      </c>
      <c r="D746" s="1" t="s">
        <v>2953</v>
      </c>
      <c r="E746" s="1" t="str">
        <v>jacksonjoshua@gmail.com</v>
      </c>
      <c r="F746" t="str">
        <f t="shared" si="145"/>
        <v>Valid</v>
      </c>
      <c r="G746" s="1" t="s">
        <v>119</v>
      </c>
      <c r="H746" s="1" t="str">
        <f t="shared" si="146"/>
        <v>Female</v>
      </c>
      <c r="I746" s="1" t="s">
        <v>51</v>
      </c>
      <c r="J746" t="str">
        <f t="shared" si="147"/>
        <v>UK</v>
      </c>
      <c r="K746" s="14">
        <v>0</v>
      </c>
      <c r="L746" s="1">
        <f t="shared" si="148"/>
        <v>19</v>
      </c>
      <c r="M746" s="1" t="str">
        <f t="shared" si="149"/>
        <v>Student</v>
      </c>
      <c r="N746" s="9">
        <v>45197</v>
      </c>
      <c r="O746" s="1" t="s">
        <v>36</v>
      </c>
      <c r="P746" s="1" t="s">
        <v>37</v>
      </c>
      <c r="Q746" s="4">
        <v>58</v>
      </c>
      <c r="R746" s="13">
        <f t="shared" si="150"/>
        <v>58</v>
      </c>
      <c r="S746" s="6">
        <f t="shared" si="144"/>
        <v>0.57999999999999996</v>
      </c>
      <c r="T746" s="1" t="s">
        <v>21</v>
      </c>
      <c r="U746" s="1">
        <f t="shared" si="151"/>
        <v>1.5</v>
      </c>
      <c r="V746" s="1">
        <f t="shared" si="152"/>
        <v>41.05</v>
      </c>
      <c r="W746" s="10" t="str">
        <f t="shared" si="153"/>
        <v>Medium</v>
      </c>
      <c r="X746" s="1" t="s">
        <v>32</v>
      </c>
      <c r="Y746" s="1" t="str">
        <f t="shared" si="154"/>
        <v>Yes</v>
      </c>
      <c r="Z746" s="14">
        <v>3</v>
      </c>
      <c r="AA746" s="18">
        <f t="shared" si="155"/>
        <v>3</v>
      </c>
      <c r="AB746" s="18" t="str">
        <f t="shared" si="156"/>
        <v>No</v>
      </c>
      <c r="AC746" s="9" t="s">
        <v>2954</v>
      </c>
      <c r="AD746">
        <f>IF(AC746="",0,LEN(AC746)-LEN(SUBSTITUTE(AC746,",",""))+1)</f>
        <v>2</v>
      </c>
    </row>
    <row r="747" spans="1:30" ht="12.5" x14ac:dyDescent="0.25">
      <c r="A747" s="1" t="s">
        <v>2955</v>
      </c>
      <c r="B747" s="1" t="s">
        <v>2956</v>
      </c>
      <c r="C747" s="1" t="str">
        <v>Melissa Yang</v>
      </c>
      <c r="D747" s="1" t="s">
        <v>2957</v>
      </c>
      <c r="E747" s="1" t="str">
        <v>gcohen@gmail.com</v>
      </c>
      <c r="F747" t="str">
        <f t="shared" si="145"/>
        <v>Valid</v>
      </c>
      <c r="G747" s="1" t="s">
        <v>57</v>
      </c>
      <c r="H747" s="1" t="str">
        <f t="shared" si="146"/>
        <v>Female</v>
      </c>
      <c r="I747" s="1" t="s">
        <v>156</v>
      </c>
      <c r="J747" t="str">
        <f t="shared" si="147"/>
        <v>IN</v>
      </c>
      <c r="K747" s="14">
        <v>0</v>
      </c>
      <c r="L747" s="1">
        <f t="shared" si="148"/>
        <v>19</v>
      </c>
      <c r="M747" s="1" t="str">
        <f t="shared" si="149"/>
        <v>Student</v>
      </c>
      <c r="N747" s="9">
        <v>45107</v>
      </c>
      <c r="O747" s="1" t="s">
        <v>52</v>
      </c>
      <c r="P747" s="1" t="s">
        <v>37</v>
      </c>
      <c r="Q747" s="4">
        <v>16</v>
      </c>
      <c r="R747" s="13">
        <f t="shared" si="150"/>
        <v>16</v>
      </c>
      <c r="S747" s="6">
        <f t="shared" si="144"/>
        <v>0.16</v>
      </c>
      <c r="T747" s="1">
        <v>45</v>
      </c>
      <c r="U747" s="1">
        <f t="shared" si="151"/>
        <v>45</v>
      </c>
      <c r="V747" s="1">
        <f t="shared" si="152"/>
        <v>24.7</v>
      </c>
      <c r="W747" s="10" t="str">
        <f t="shared" si="153"/>
        <v>Low</v>
      </c>
      <c r="X747" s="1" t="s">
        <v>38</v>
      </c>
      <c r="Y747" s="1" t="str">
        <f t="shared" si="154"/>
        <v>No</v>
      </c>
      <c r="Z747" s="14">
        <v>4</v>
      </c>
      <c r="AA747" s="18">
        <f t="shared" si="155"/>
        <v>4</v>
      </c>
      <c r="AB747" s="18" t="str">
        <f t="shared" si="156"/>
        <v>No</v>
      </c>
      <c r="AC747" s="9" t="s">
        <v>2958</v>
      </c>
      <c r="AD747">
        <f>IF(AC747="",0,LEN(AC747)-LEN(SUBSTITUTE(AC747,",",""))+1)</f>
        <v>7</v>
      </c>
    </row>
    <row r="748" spans="1:30" ht="12.5" x14ac:dyDescent="0.25">
      <c r="A748" s="1" t="s">
        <v>2959</v>
      </c>
      <c r="B748" s="1" t="s">
        <v>2960</v>
      </c>
      <c r="C748" s="1" t="str">
        <v>Jeanette Lawson</v>
      </c>
      <c r="D748" s="1" t="s">
        <v>2961</v>
      </c>
      <c r="E748" s="1" t="str">
        <v>adamarmstrong@horton.info</v>
      </c>
      <c r="F748" t="str">
        <f t="shared" si="145"/>
        <v>Valid</v>
      </c>
      <c r="G748" s="1" t="s">
        <v>95</v>
      </c>
      <c r="H748" s="1" t="str">
        <f t="shared" si="146"/>
        <v>Male</v>
      </c>
      <c r="I748" s="1" t="s">
        <v>51</v>
      </c>
      <c r="J748" t="str">
        <f t="shared" si="147"/>
        <v>UK</v>
      </c>
      <c r="K748" s="14">
        <v>45</v>
      </c>
      <c r="L748" s="1">
        <f t="shared" si="148"/>
        <v>45</v>
      </c>
      <c r="M748" s="1" t="str">
        <f t="shared" si="149"/>
        <v>Senior</v>
      </c>
      <c r="N748" s="9">
        <v>44915</v>
      </c>
      <c r="O748" s="1" t="s">
        <v>75</v>
      </c>
      <c r="P748" s="1" t="s">
        <v>37</v>
      </c>
      <c r="Q748" s="4">
        <v>7</v>
      </c>
      <c r="R748" s="13">
        <f t="shared" si="150"/>
        <v>7</v>
      </c>
      <c r="S748" s="6">
        <f t="shared" si="144"/>
        <v>7.0000000000000007E-2</v>
      </c>
      <c r="T748" s="1">
        <v>45</v>
      </c>
      <c r="U748" s="1">
        <f t="shared" si="151"/>
        <v>45</v>
      </c>
      <c r="V748" s="1">
        <f t="shared" si="152"/>
        <v>18.399999999999999</v>
      </c>
      <c r="W748" s="10" t="str">
        <f t="shared" si="153"/>
        <v>Low</v>
      </c>
      <c r="X748" s="1" t="s">
        <v>22</v>
      </c>
      <c r="Y748" s="1" t="str">
        <f t="shared" si="154"/>
        <v>No</v>
      </c>
      <c r="AA748" s="18" t="str">
        <f t="shared" si="155"/>
        <v>Invalid</v>
      </c>
      <c r="AB748" s="18" t="str">
        <f t="shared" si="156"/>
        <v>No</v>
      </c>
      <c r="AC748" s="9" t="s">
        <v>521</v>
      </c>
      <c r="AD748">
        <f>IF(AC748="",0,LEN(AC748)-LEN(SUBSTITUTE(AC748,",",""))+1)</f>
        <v>1</v>
      </c>
    </row>
    <row r="749" spans="1:30" ht="12.5" x14ac:dyDescent="0.25">
      <c r="A749" s="1" t="s">
        <v>2962</v>
      </c>
      <c r="B749" s="1" t="s">
        <v>2963</v>
      </c>
      <c r="C749" s="1" t="str">
        <v>Daniel Erickson</v>
      </c>
      <c r="D749" s="1" t="s">
        <v>2964</v>
      </c>
      <c r="E749" s="1" t="str">
        <v>jeffreyferguson@williams-hernandez.com</v>
      </c>
      <c r="F749" t="str">
        <f t="shared" si="145"/>
        <v>Valid</v>
      </c>
      <c r="G749" s="1" t="s">
        <v>119</v>
      </c>
      <c r="H749" s="1" t="str">
        <f t="shared" si="146"/>
        <v>Female</v>
      </c>
      <c r="I749" s="1" t="s">
        <v>74</v>
      </c>
      <c r="J749" t="str">
        <f t="shared" si="147"/>
        <v>USA</v>
      </c>
      <c r="K749" s="14">
        <v>20</v>
      </c>
      <c r="L749" s="1">
        <f t="shared" si="148"/>
        <v>20</v>
      </c>
      <c r="M749" s="1" t="str">
        <f t="shared" si="149"/>
        <v>Student</v>
      </c>
      <c r="N749" s="9">
        <v>45440</v>
      </c>
      <c r="O749" s="1" t="s">
        <v>69</v>
      </c>
      <c r="P749" s="1" t="s">
        <v>31</v>
      </c>
      <c r="Q749" s="4">
        <v>0.59</v>
      </c>
      <c r="R749" s="13">
        <f t="shared" si="150"/>
        <v>59</v>
      </c>
      <c r="S749" s="6">
        <f t="shared" si="144"/>
        <v>0.59</v>
      </c>
      <c r="T749" s="1" t="s">
        <v>21</v>
      </c>
      <c r="U749" s="1">
        <f t="shared" si="151"/>
        <v>1.5</v>
      </c>
      <c r="V749" s="1">
        <f t="shared" si="152"/>
        <v>41.75</v>
      </c>
      <c r="W749" s="10" t="str">
        <f t="shared" si="153"/>
        <v>Medium</v>
      </c>
      <c r="X749" s="1" t="s">
        <v>38</v>
      </c>
      <c r="Y749" s="1" t="str">
        <f t="shared" si="154"/>
        <v>No</v>
      </c>
      <c r="AA749" s="18" t="str">
        <f t="shared" si="155"/>
        <v>Invalid</v>
      </c>
      <c r="AB749" s="18" t="str">
        <f t="shared" si="156"/>
        <v>No</v>
      </c>
      <c r="AC749" s="9" t="s">
        <v>2965</v>
      </c>
      <c r="AD749">
        <f>IF(AC749="",0,LEN(AC749)-LEN(SUBSTITUTE(AC749,",",""))+1)</f>
        <v>2</v>
      </c>
    </row>
    <row r="750" spans="1:30" ht="12.5" x14ac:dyDescent="0.25">
      <c r="A750" s="1" t="s">
        <v>2966</v>
      </c>
      <c r="B750" s="1" t="s">
        <v>2967</v>
      </c>
      <c r="C750" s="1" t="str">
        <v>Danielle Colon</v>
      </c>
      <c r="D750" s="1" t="s">
        <v>2968</v>
      </c>
      <c r="E750" s="1" t="str">
        <v>wongcynthia@nguyen-potts.net</v>
      </c>
      <c r="F750" t="str">
        <f t="shared" si="145"/>
        <v>Valid</v>
      </c>
      <c r="G750" s="1" t="s">
        <v>119</v>
      </c>
      <c r="H750" s="1" t="str">
        <f t="shared" si="146"/>
        <v>Female</v>
      </c>
      <c r="I750" s="1" t="s">
        <v>74</v>
      </c>
      <c r="J750" t="str">
        <f t="shared" si="147"/>
        <v>USA</v>
      </c>
      <c r="L750" s="1">
        <f t="shared" si="148"/>
        <v>19</v>
      </c>
      <c r="M750" s="1" t="str">
        <f t="shared" si="149"/>
        <v>Student</v>
      </c>
      <c r="N750" s="9">
        <v>44864</v>
      </c>
      <c r="O750" s="1" t="s">
        <v>158</v>
      </c>
      <c r="P750" s="1" t="s">
        <v>59</v>
      </c>
      <c r="Q750" s="4">
        <v>0.43</v>
      </c>
      <c r="R750" s="13">
        <f t="shared" si="150"/>
        <v>43</v>
      </c>
      <c r="S750" s="6">
        <f t="shared" si="144"/>
        <v>0.43</v>
      </c>
      <c r="T750" s="1">
        <v>2</v>
      </c>
      <c r="U750" s="1">
        <f t="shared" si="151"/>
        <v>2</v>
      </c>
      <c r="V750" s="1">
        <f t="shared" si="152"/>
        <v>30.7</v>
      </c>
      <c r="W750" s="10" t="str">
        <f t="shared" si="153"/>
        <v>Low</v>
      </c>
      <c r="X750" s="1" t="s">
        <v>22</v>
      </c>
      <c r="Y750" s="1" t="str">
        <f t="shared" si="154"/>
        <v>No</v>
      </c>
      <c r="Z750" s="14">
        <v>5</v>
      </c>
      <c r="AA750" s="18">
        <f t="shared" si="155"/>
        <v>5</v>
      </c>
      <c r="AB750" s="18" t="str">
        <f t="shared" si="156"/>
        <v>No</v>
      </c>
      <c r="AC750" s="9" t="s">
        <v>2969</v>
      </c>
      <c r="AD750">
        <f>IF(AC750="",0,LEN(AC750)-LEN(SUBSTITUTE(AC750,",",""))+1)</f>
        <v>7</v>
      </c>
    </row>
    <row r="751" spans="1:30" ht="12.5" x14ac:dyDescent="0.25">
      <c r="A751" s="1" t="s">
        <v>2970</v>
      </c>
      <c r="B751" s="1" t="s">
        <v>2971</v>
      </c>
      <c r="C751" s="1" t="str">
        <v>Erika Brown</v>
      </c>
      <c r="D751" s="1" t="s">
        <v>2972</v>
      </c>
      <c r="E751" s="1" t="str">
        <v>jeffrey42@bonilla-medina.org</v>
      </c>
      <c r="F751" t="str">
        <f t="shared" si="145"/>
        <v>Valid</v>
      </c>
      <c r="G751" s="1" t="s">
        <v>57</v>
      </c>
      <c r="H751" s="1" t="str">
        <f t="shared" si="146"/>
        <v>Female</v>
      </c>
      <c r="I751" s="1" t="s">
        <v>18</v>
      </c>
      <c r="J751" t="str">
        <f t="shared" si="147"/>
        <v>US</v>
      </c>
      <c r="K751" s="14">
        <v>33</v>
      </c>
      <c r="L751" s="1">
        <f t="shared" si="148"/>
        <v>33</v>
      </c>
      <c r="M751" s="1" t="str">
        <f t="shared" si="149"/>
        <v>Mid Career</v>
      </c>
      <c r="N751" s="9">
        <v>45068</v>
      </c>
      <c r="O751" s="1" t="s">
        <v>158</v>
      </c>
      <c r="P751" s="1" t="s">
        <v>59</v>
      </c>
      <c r="Q751" s="4">
        <v>0.76</v>
      </c>
      <c r="R751" s="13">
        <f t="shared" si="150"/>
        <v>76</v>
      </c>
      <c r="S751" s="6">
        <f t="shared" si="144"/>
        <v>0.76</v>
      </c>
      <c r="T751" s="1">
        <v>2</v>
      </c>
      <c r="U751" s="1">
        <f t="shared" si="151"/>
        <v>2</v>
      </c>
      <c r="V751" s="1">
        <f t="shared" si="152"/>
        <v>53.8</v>
      </c>
      <c r="W751" s="10" t="str">
        <f t="shared" si="153"/>
        <v>Medium</v>
      </c>
      <c r="X751" s="1" t="s">
        <v>76</v>
      </c>
      <c r="Y751" s="1" t="str">
        <f t="shared" si="154"/>
        <v>Yes</v>
      </c>
      <c r="Z751" s="14">
        <v>6</v>
      </c>
      <c r="AA751" s="18">
        <f t="shared" si="155"/>
        <v>6</v>
      </c>
      <c r="AB751" s="18" t="str">
        <f t="shared" si="156"/>
        <v>High Performer</v>
      </c>
      <c r="AC751" s="9" t="s">
        <v>2973</v>
      </c>
      <c r="AD751">
        <f>IF(AC751="",0,LEN(AC751)-LEN(SUBSTITUTE(AC751,",",""))+1)</f>
        <v>4</v>
      </c>
    </row>
    <row r="752" spans="1:30" ht="12.5" x14ac:dyDescent="0.25">
      <c r="A752" s="1" t="s">
        <v>2974</v>
      </c>
      <c r="B752" s="1" t="s">
        <v>2975</v>
      </c>
      <c r="C752" s="1" t="str">
        <v>Dawn Sims</v>
      </c>
      <c r="D752" s="1" t="s">
        <v>2976</v>
      </c>
      <c r="E752" s="1" t="str">
        <v>rwalker@perkins.com</v>
      </c>
      <c r="F752" t="str">
        <f t="shared" si="145"/>
        <v>Valid</v>
      </c>
      <c r="G752" s="1" t="s">
        <v>119</v>
      </c>
      <c r="H752" s="1" t="str">
        <f t="shared" si="146"/>
        <v>Female</v>
      </c>
      <c r="I752" s="1" t="s">
        <v>18</v>
      </c>
      <c r="J752" t="str">
        <f t="shared" si="147"/>
        <v>US</v>
      </c>
      <c r="K752" s="14">
        <v>34</v>
      </c>
      <c r="L752" s="1">
        <f t="shared" si="148"/>
        <v>34</v>
      </c>
      <c r="M752" s="1" t="str">
        <f t="shared" si="149"/>
        <v>Mid Career</v>
      </c>
      <c r="N752" s="9">
        <v>44823</v>
      </c>
      <c r="O752" s="1" t="s">
        <v>58</v>
      </c>
      <c r="P752" s="1" t="s">
        <v>59</v>
      </c>
      <c r="Q752" s="4">
        <v>0.18</v>
      </c>
      <c r="R752" s="13">
        <f t="shared" si="150"/>
        <v>18</v>
      </c>
      <c r="S752" s="6">
        <f t="shared" si="144"/>
        <v>0.18</v>
      </c>
      <c r="T752" s="1" t="s">
        <v>46</v>
      </c>
      <c r="U752" s="1">
        <f t="shared" si="151"/>
        <v>1</v>
      </c>
      <c r="V752" s="1">
        <f t="shared" si="152"/>
        <v>12.9</v>
      </c>
      <c r="W752" s="10" t="str">
        <f t="shared" si="153"/>
        <v>Low</v>
      </c>
      <c r="X752" s="1" t="s">
        <v>32</v>
      </c>
      <c r="Y752" s="1" t="str">
        <f t="shared" si="154"/>
        <v>Yes</v>
      </c>
      <c r="Z752" s="14">
        <v>1</v>
      </c>
      <c r="AA752" s="18">
        <f t="shared" si="155"/>
        <v>1</v>
      </c>
      <c r="AB752" s="18" t="str">
        <f t="shared" si="156"/>
        <v>No</v>
      </c>
      <c r="AC752" s="9" t="s">
        <v>2797</v>
      </c>
      <c r="AD752">
        <f>IF(AC752="",0,LEN(AC752)-LEN(SUBSTITUTE(AC752,",",""))+1)</f>
        <v>5</v>
      </c>
    </row>
    <row r="753" spans="1:30" ht="12.5" x14ac:dyDescent="0.25">
      <c r="A753" s="1" t="s">
        <v>2977</v>
      </c>
      <c r="B753" s="1" t="s">
        <v>2978</v>
      </c>
      <c r="C753" s="1" t="str">
        <v>Steven Davis</v>
      </c>
      <c r="D753" s="1" t="s">
        <v>2979</v>
      </c>
      <c r="E753" s="1" t="str">
        <v>llopez@hudson.com</v>
      </c>
      <c r="F753" t="str">
        <f t="shared" si="145"/>
        <v>Valid</v>
      </c>
      <c r="G753" s="1" t="s">
        <v>88</v>
      </c>
      <c r="H753" s="1" t="str">
        <f t="shared" si="146"/>
        <v>Male</v>
      </c>
      <c r="I753" s="1" t="s">
        <v>136</v>
      </c>
      <c r="J753" t="str">
        <f t="shared" si="147"/>
        <v>UK</v>
      </c>
      <c r="K753" s="14">
        <v>0</v>
      </c>
      <c r="L753" s="1">
        <f t="shared" si="148"/>
        <v>19</v>
      </c>
      <c r="M753" s="1" t="str">
        <f t="shared" si="149"/>
        <v>Student</v>
      </c>
      <c r="N753" s="9">
        <v>45350</v>
      </c>
      <c r="O753" s="1" t="s">
        <v>235</v>
      </c>
      <c r="P753" s="1" t="s">
        <v>147</v>
      </c>
      <c r="Q753" s="4">
        <v>0.96</v>
      </c>
      <c r="R753" s="13">
        <f t="shared" si="150"/>
        <v>96</v>
      </c>
      <c r="S753" s="6">
        <f t="shared" si="144"/>
        <v>0.96</v>
      </c>
      <c r="T753" s="1" t="s">
        <v>64</v>
      </c>
      <c r="U753" s="1">
        <f t="shared" si="151"/>
        <v>2</v>
      </c>
      <c r="V753" s="1">
        <f t="shared" si="152"/>
        <v>67.799999999999983</v>
      </c>
      <c r="W753" s="10" t="str">
        <f t="shared" si="153"/>
        <v>Medium</v>
      </c>
      <c r="X753" s="1" t="s">
        <v>22</v>
      </c>
      <c r="Y753" s="1" t="str">
        <f t="shared" si="154"/>
        <v>No</v>
      </c>
      <c r="Z753" s="14">
        <v>3</v>
      </c>
      <c r="AA753" s="18">
        <f t="shared" si="155"/>
        <v>3</v>
      </c>
      <c r="AB753" s="18" t="str">
        <f t="shared" si="156"/>
        <v>No</v>
      </c>
      <c r="AC753" s="9" t="s">
        <v>2980</v>
      </c>
      <c r="AD753">
        <f>IF(AC753="",0,LEN(AC753)-LEN(SUBSTITUTE(AC753,",",""))+1)</f>
        <v>2</v>
      </c>
    </row>
    <row r="754" spans="1:30" ht="12.5" x14ac:dyDescent="0.25">
      <c r="A754" s="1" t="s">
        <v>2981</v>
      </c>
      <c r="B754" s="1" t="s">
        <v>2982</v>
      </c>
      <c r="C754" s="1" t="str">
        <v>Ruth Mcdaniel</v>
      </c>
      <c r="D754" s="1" t="s">
        <v>2983</v>
      </c>
      <c r="E754" s="1" t="str">
        <v>thomasronald@stout-waller.com</v>
      </c>
      <c r="F754" t="str">
        <f t="shared" si="145"/>
        <v>Valid</v>
      </c>
      <c r="G754" s="1" t="s">
        <v>109</v>
      </c>
      <c r="H754" s="1" t="str">
        <f t="shared" si="146"/>
        <v>Male</v>
      </c>
      <c r="I754" s="1" t="s">
        <v>156</v>
      </c>
      <c r="J754" t="str">
        <f t="shared" si="147"/>
        <v>IN</v>
      </c>
      <c r="K754" s="14">
        <v>0</v>
      </c>
      <c r="L754" s="1">
        <f t="shared" si="148"/>
        <v>19</v>
      </c>
      <c r="M754" s="1" t="str">
        <f t="shared" si="149"/>
        <v>Student</v>
      </c>
      <c r="N754" s="2">
        <v>45809</v>
      </c>
      <c r="O754" s="1" t="s">
        <v>58</v>
      </c>
      <c r="P754" s="1" t="s">
        <v>59</v>
      </c>
      <c r="Q754" s="4">
        <v>0.76</v>
      </c>
      <c r="R754" s="13">
        <f t="shared" si="150"/>
        <v>76</v>
      </c>
      <c r="S754" s="6">
        <f t="shared" si="144"/>
        <v>0.76</v>
      </c>
      <c r="T754" s="1">
        <v>1.5</v>
      </c>
      <c r="U754" s="1">
        <f t="shared" si="151"/>
        <v>1.5</v>
      </c>
      <c r="V754" s="1">
        <f t="shared" si="152"/>
        <v>53.65</v>
      </c>
      <c r="W754" s="10" t="str">
        <f t="shared" si="153"/>
        <v>Medium</v>
      </c>
      <c r="X754" s="1">
        <v>0</v>
      </c>
      <c r="Y754" s="1" t="str">
        <f t="shared" si="154"/>
        <v>No</v>
      </c>
      <c r="Z754" s="14">
        <v>2</v>
      </c>
      <c r="AA754" s="18">
        <f t="shared" si="155"/>
        <v>2</v>
      </c>
      <c r="AB754" s="18" t="str">
        <f t="shared" si="156"/>
        <v>No</v>
      </c>
      <c r="AC754" s="9" t="s">
        <v>2984</v>
      </c>
      <c r="AD754">
        <f>IF(AC754="",0,LEN(AC754)-LEN(SUBSTITUTE(AC754,",",""))+1)</f>
        <v>7</v>
      </c>
    </row>
    <row r="755" spans="1:30" ht="12.5" x14ac:dyDescent="0.25">
      <c r="A755" s="1" t="s">
        <v>2985</v>
      </c>
      <c r="B755" s="1" t="s">
        <v>2986</v>
      </c>
      <c r="C755" s="1" t="str">
        <v>Brett Cruz</v>
      </c>
      <c r="D755" s="1" t="s">
        <v>2987</v>
      </c>
      <c r="E755" s="1" t="str">
        <v>hinesdeanna@anderson.com</v>
      </c>
      <c r="F755" t="str">
        <f t="shared" si="145"/>
        <v>Valid</v>
      </c>
      <c r="G755" s="1" t="s">
        <v>88</v>
      </c>
      <c r="H755" s="1" t="str">
        <f t="shared" si="146"/>
        <v>Male</v>
      </c>
      <c r="I755" s="1" t="s">
        <v>44</v>
      </c>
      <c r="J755" t="str">
        <f t="shared" si="147"/>
        <v>CANADA</v>
      </c>
      <c r="K755" s="14">
        <v>0</v>
      </c>
      <c r="L755" s="1">
        <f t="shared" si="148"/>
        <v>19</v>
      </c>
      <c r="M755" s="1" t="str">
        <f t="shared" si="149"/>
        <v>Student</v>
      </c>
      <c r="N755" s="2">
        <v>45358</v>
      </c>
      <c r="O755" s="1" t="s">
        <v>36</v>
      </c>
      <c r="P755" s="1" t="s">
        <v>37</v>
      </c>
      <c r="Q755" s="4">
        <v>63</v>
      </c>
      <c r="R755" s="13">
        <f t="shared" si="150"/>
        <v>63</v>
      </c>
      <c r="S755" s="6">
        <f t="shared" si="144"/>
        <v>0.63</v>
      </c>
      <c r="T755" s="1" t="s">
        <v>64</v>
      </c>
      <c r="U755" s="1">
        <f t="shared" si="151"/>
        <v>2</v>
      </c>
      <c r="V755" s="1">
        <f t="shared" si="152"/>
        <v>44.699999999999996</v>
      </c>
      <c r="W755" s="10" t="str">
        <f t="shared" si="153"/>
        <v>Medium</v>
      </c>
      <c r="X755" s="1" t="s">
        <v>38</v>
      </c>
      <c r="Y755" s="1" t="str">
        <f t="shared" si="154"/>
        <v>No</v>
      </c>
      <c r="Z755" s="14">
        <v>6</v>
      </c>
      <c r="AA755" s="18">
        <f t="shared" si="155"/>
        <v>6</v>
      </c>
      <c r="AB755" s="18" t="str">
        <f t="shared" si="156"/>
        <v>No</v>
      </c>
      <c r="AC755" s="9" t="s">
        <v>2988</v>
      </c>
      <c r="AD755">
        <f>IF(AC755="",0,LEN(AC755)-LEN(SUBSTITUTE(AC755,",",""))+1)</f>
        <v>3</v>
      </c>
    </row>
    <row r="756" spans="1:30" ht="12.5" x14ac:dyDescent="0.25">
      <c r="A756" s="1" t="s">
        <v>2989</v>
      </c>
      <c r="B756" s="1" t="s">
        <v>2990</v>
      </c>
      <c r="C756" s="1" t="str">
        <v>Alexandra Conner</v>
      </c>
      <c r="D756" s="1" t="s">
        <v>2991</v>
      </c>
      <c r="E756" s="1" t="str">
        <v>harristimothy@hotmail.com</v>
      </c>
      <c r="F756" t="str">
        <f t="shared" si="145"/>
        <v>Valid</v>
      </c>
      <c r="G756" s="1" t="s">
        <v>88</v>
      </c>
      <c r="H756" s="1" t="str">
        <f t="shared" si="146"/>
        <v>Male</v>
      </c>
      <c r="I756" s="1" t="s">
        <v>96</v>
      </c>
      <c r="J756" t="str">
        <f t="shared" si="147"/>
        <v>INDIA</v>
      </c>
      <c r="K756" s="14">
        <v>42</v>
      </c>
      <c r="L756" s="1">
        <f t="shared" si="148"/>
        <v>42</v>
      </c>
      <c r="M756" s="1" t="str">
        <f t="shared" si="149"/>
        <v>Senior</v>
      </c>
      <c r="N756" s="9">
        <v>44879</v>
      </c>
      <c r="O756" s="1" t="s">
        <v>146</v>
      </c>
      <c r="P756" s="1" t="s">
        <v>147</v>
      </c>
      <c r="Q756" s="4">
        <v>12</v>
      </c>
      <c r="R756" s="13">
        <f t="shared" si="150"/>
        <v>12</v>
      </c>
      <c r="S756" s="6">
        <f t="shared" si="144"/>
        <v>0.12</v>
      </c>
      <c r="T756" s="1" t="s">
        <v>46</v>
      </c>
      <c r="U756" s="1">
        <f t="shared" si="151"/>
        <v>1</v>
      </c>
      <c r="V756" s="1">
        <f t="shared" si="152"/>
        <v>8.6999999999999993</v>
      </c>
      <c r="W756" s="10" t="str">
        <f t="shared" si="153"/>
        <v>Low</v>
      </c>
      <c r="X756" s="1" t="s">
        <v>22</v>
      </c>
      <c r="Y756" s="1" t="str">
        <f t="shared" si="154"/>
        <v>No</v>
      </c>
      <c r="Z756" s="14">
        <v>1</v>
      </c>
      <c r="AA756" s="18">
        <f t="shared" si="155"/>
        <v>1</v>
      </c>
      <c r="AB756" s="18" t="str">
        <f t="shared" si="156"/>
        <v>No</v>
      </c>
      <c r="AC756" s="9" t="s">
        <v>2992</v>
      </c>
      <c r="AD756">
        <f>IF(AC756="",0,LEN(AC756)-LEN(SUBSTITUTE(AC756,",",""))+1)</f>
        <v>8</v>
      </c>
    </row>
    <row r="757" spans="1:30" ht="12.5" x14ac:dyDescent="0.25">
      <c r="A757" s="1" t="s">
        <v>2993</v>
      </c>
      <c r="B757" s="1" t="s">
        <v>2994</v>
      </c>
      <c r="C757" s="1" t="str">
        <v>David Stephens</v>
      </c>
      <c r="D757" s="1" t="s">
        <v>127</v>
      </c>
      <c r="E757" s="1" t="str">
        <v>invalid-email</v>
      </c>
      <c r="F757" t="str">
        <f t="shared" si="145"/>
        <v>Invalid</v>
      </c>
      <c r="G757" s="1" t="s">
        <v>27</v>
      </c>
      <c r="H757" s="1" t="str">
        <f t="shared" si="146"/>
        <v>Male</v>
      </c>
      <c r="I757" s="1" t="s">
        <v>96</v>
      </c>
      <c r="J757" t="str">
        <f t="shared" si="147"/>
        <v>INDIA</v>
      </c>
      <c r="K757" s="14">
        <v>44</v>
      </c>
      <c r="L757" s="1">
        <f t="shared" si="148"/>
        <v>44</v>
      </c>
      <c r="M757" s="1" t="str">
        <f t="shared" si="149"/>
        <v>Senior</v>
      </c>
      <c r="N757" s="9">
        <v>45348</v>
      </c>
      <c r="O757" s="1" t="s">
        <v>36</v>
      </c>
      <c r="P757" s="1" t="s">
        <v>37</v>
      </c>
      <c r="Q757" s="4">
        <v>0.01</v>
      </c>
      <c r="R757" s="13">
        <f t="shared" si="150"/>
        <v>1</v>
      </c>
      <c r="S757" s="6">
        <f t="shared" si="144"/>
        <v>0.01</v>
      </c>
      <c r="T757" s="1" t="s">
        <v>46</v>
      </c>
      <c r="U757" s="1">
        <f t="shared" si="151"/>
        <v>1</v>
      </c>
      <c r="V757" s="1">
        <f t="shared" si="152"/>
        <v>1</v>
      </c>
      <c r="W757" s="10" t="str">
        <f t="shared" si="153"/>
        <v>Low</v>
      </c>
      <c r="X757" s="1">
        <v>0</v>
      </c>
      <c r="Y757" s="1" t="str">
        <f t="shared" si="154"/>
        <v>No</v>
      </c>
      <c r="Z757" s="14">
        <v>3</v>
      </c>
      <c r="AA757" s="18">
        <f t="shared" si="155"/>
        <v>3</v>
      </c>
      <c r="AB757" s="18" t="str">
        <f t="shared" si="156"/>
        <v>No</v>
      </c>
      <c r="AC757" s="9" t="s">
        <v>2995</v>
      </c>
      <c r="AD757">
        <f>IF(AC757="",0,LEN(AC757)-LEN(SUBSTITUTE(AC757,",",""))+1)</f>
        <v>4</v>
      </c>
    </row>
    <row r="758" spans="1:30" ht="12.5" x14ac:dyDescent="0.25">
      <c r="A758" s="1" t="s">
        <v>2996</v>
      </c>
      <c r="B758" s="1" t="s">
        <v>2997</v>
      </c>
      <c r="C758" s="1" t="str">
        <v>Ashley Phillips</v>
      </c>
      <c r="D758" s="1" t="s">
        <v>2998</v>
      </c>
      <c r="E758" s="1" t="str">
        <v>aaronwalker@gmail.com</v>
      </c>
      <c r="F758" t="str">
        <f t="shared" si="145"/>
        <v>Valid</v>
      </c>
      <c r="G758" s="1" t="s">
        <v>17</v>
      </c>
      <c r="H758" s="1" t="str">
        <f t="shared" si="146"/>
        <v>Female</v>
      </c>
      <c r="I758" s="1" t="s">
        <v>51</v>
      </c>
      <c r="J758" t="str">
        <f t="shared" si="147"/>
        <v>UK</v>
      </c>
      <c r="L758" s="1">
        <f t="shared" si="148"/>
        <v>19</v>
      </c>
      <c r="M758" s="1" t="str">
        <f t="shared" si="149"/>
        <v>Student</v>
      </c>
      <c r="N758" s="9">
        <v>45073</v>
      </c>
      <c r="O758" s="1" t="s">
        <v>58</v>
      </c>
      <c r="P758" s="1" t="s">
        <v>59</v>
      </c>
      <c r="Q758" s="4">
        <v>0.69</v>
      </c>
      <c r="R758" s="13">
        <f t="shared" si="150"/>
        <v>69</v>
      </c>
      <c r="S758" s="6">
        <f t="shared" si="144"/>
        <v>0.69</v>
      </c>
      <c r="T758" s="1">
        <v>2</v>
      </c>
      <c r="U758" s="1">
        <f t="shared" si="151"/>
        <v>2</v>
      </c>
      <c r="V758" s="1">
        <f t="shared" si="152"/>
        <v>48.9</v>
      </c>
      <c r="W758" s="10" t="str">
        <f t="shared" si="153"/>
        <v>Medium</v>
      </c>
      <c r="X758" s="1">
        <v>1</v>
      </c>
      <c r="Y758" s="1" t="str">
        <f t="shared" si="154"/>
        <v>Yes</v>
      </c>
      <c r="Z758" s="14">
        <v>4</v>
      </c>
      <c r="AA758" s="18">
        <f t="shared" si="155"/>
        <v>4</v>
      </c>
      <c r="AB758" s="18" t="str">
        <f t="shared" si="156"/>
        <v>High Performer</v>
      </c>
      <c r="AC758" s="9" t="s">
        <v>2999</v>
      </c>
      <c r="AD758">
        <f>IF(AC758="",0,LEN(AC758)-LEN(SUBSTITUTE(AC758,",",""))+1)</f>
        <v>7</v>
      </c>
    </row>
    <row r="759" spans="1:30" ht="12.5" x14ac:dyDescent="0.25">
      <c r="A759" s="1" t="s">
        <v>3000</v>
      </c>
      <c r="B759" s="1" t="s">
        <v>3001</v>
      </c>
      <c r="C759" s="1" t="str">
        <v>Thomas Cohen</v>
      </c>
      <c r="D759" s="1" t="s">
        <v>3002</v>
      </c>
      <c r="E759" s="1" t="str">
        <v>hjackson@garcia.com</v>
      </c>
      <c r="F759" t="str">
        <f t="shared" si="145"/>
        <v>Valid</v>
      </c>
      <c r="G759" s="1" t="s">
        <v>17</v>
      </c>
      <c r="H759" s="1" t="str">
        <f t="shared" si="146"/>
        <v>Female</v>
      </c>
      <c r="I759" s="1" t="s">
        <v>74</v>
      </c>
      <c r="J759" t="str">
        <f t="shared" si="147"/>
        <v>USA</v>
      </c>
      <c r="K759" s="14">
        <v>43</v>
      </c>
      <c r="L759" s="1">
        <f t="shared" si="148"/>
        <v>43</v>
      </c>
      <c r="M759" s="1" t="str">
        <f t="shared" si="149"/>
        <v>Senior</v>
      </c>
      <c r="N759" s="9">
        <v>45321</v>
      </c>
      <c r="O759" s="1" t="s">
        <v>90</v>
      </c>
      <c r="P759" s="1" t="s">
        <v>31</v>
      </c>
      <c r="Q759" s="4">
        <v>0.84</v>
      </c>
      <c r="R759" s="13">
        <f t="shared" si="150"/>
        <v>84</v>
      </c>
      <c r="S759" s="6">
        <f t="shared" si="144"/>
        <v>0.84</v>
      </c>
      <c r="T759" s="1" t="s">
        <v>64</v>
      </c>
      <c r="U759" s="1">
        <f t="shared" si="151"/>
        <v>2</v>
      </c>
      <c r="V759" s="1">
        <f t="shared" si="152"/>
        <v>59.4</v>
      </c>
      <c r="W759" s="10" t="str">
        <f t="shared" si="153"/>
        <v>Medium</v>
      </c>
      <c r="X759" s="1" t="s">
        <v>76</v>
      </c>
      <c r="Y759" s="1" t="str">
        <f t="shared" si="154"/>
        <v>Yes</v>
      </c>
      <c r="AA759" s="18" t="str">
        <f t="shared" si="155"/>
        <v>Invalid</v>
      </c>
      <c r="AB759" s="18" t="str">
        <f t="shared" si="156"/>
        <v>High Performer</v>
      </c>
      <c r="AC759" s="9" t="s">
        <v>3003</v>
      </c>
      <c r="AD759">
        <f>IF(AC759="",0,LEN(AC759)-LEN(SUBSTITUTE(AC759,",",""))+1)</f>
        <v>7</v>
      </c>
    </row>
    <row r="760" spans="1:30" ht="12.5" x14ac:dyDescent="0.25">
      <c r="A760" s="1" t="s">
        <v>3004</v>
      </c>
      <c r="B760" s="1" t="s">
        <v>3005</v>
      </c>
      <c r="C760" s="1" t="str">
        <v>Tamara Huang</v>
      </c>
      <c r="D760" s="1" t="s">
        <v>3006</v>
      </c>
      <c r="E760" s="1" t="str">
        <v>royrogers@shelton.com</v>
      </c>
      <c r="F760" t="str">
        <f t="shared" si="145"/>
        <v>Valid</v>
      </c>
      <c r="G760" s="1" t="s">
        <v>95</v>
      </c>
      <c r="H760" s="1" t="str">
        <f t="shared" si="146"/>
        <v>Male</v>
      </c>
      <c r="I760" s="1" t="s">
        <v>44</v>
      </c>
      <c r="J760" t="str">
        <f t="shared" si="147"/>
        <v>CANADA</v>
      </c>
      <c r="L760" s="1">
        <f t="shared" si="148"/>
        <v>19</v>
      </c>
      <c r="M760" s="1" t="str">
        <f t="shared" si="149"/>
        <v>Student</v>
      </c>
      <c r="N760" s="2">
        <v>44628</v>
      </c>
      <c r="O760" s="1" t="s">
        <v>69</v>
      </c>
      <c r="P760" s="1" t="s">
        <v>31</v>
      </c>
      <c r="Q760" s="4">
        <v>79</v>
      </c>
      <c r="R760" s="13">
        <f t="shared" si="150"/>
        <v>79</v>
      </c>
      <c r="S760" s="6">
        <f t="shared" si="144"/>
        <v>0.79</v>
      </c>
      <c r="T760" s="1" t="s">
        <v>64</v>
      </c>
      <c r="U760" s="1">
        <f t="shared" si="151"/>
        <v>2</v>
      </c>
      <c r="V760" s="1">
        <f t="shared" si="152"/>
        <v>55.9</v>
      </c>
      <c r="W760" s="10" t="str">
        <f t="shared" si="153"/>
        <v>Medium</v>
      </c>
      <c r="X760" s="1" t="s">
        <v>38</v>
      </c>
      <c r="Y760" s="1" t="str">
        <f t="shared" si="154"/>
        <v>No</v>
      </c>
      <c r="Z760" s="14">
        <v>5</v>
      </c>
      <c r="AA760" s="18">
        <f t="shared" si="155"/>
        <v>5</v>
      </c>
      <c r="AB760" s="18" t="str">
        <f t="shared" si="156"/>
        <v>No</v>
      </c>
      <c r="AC760" s="9" t="s">
        <v>480</v>
      </c>
      <c r="AD760">
        <f>IF(AC760="",0,LEN(AC760)-LEN(SUBSTITUTE(AC760,",",""))+1)</f>
        <v>2</v>
      </c>
    </row>
    <row r="761" spans="1:30" ht="12.5" x14ac:dyDescent="0.25">
      <c r="A761" s="1" t="s">
        <v>3007</v>
      </c>
      <c r="B761" s="1" t="s">
        <v>3008</v>
      </c>
      <c r="C761" s="1" t="str">
        <v>Thomas Stanley</v>
      </c>
      <c r="D761" s="1" t="s">
        <v>3009</v>
      </c>
      <c r="E761" s="1" t="str">
        <v>mccormickmichelle@gmail.com</v>
      </c>
      <c r="F761" t="str">
        <f t="shared" si="145"/>
        <v>Valid</v>
      </c>
      <c r="G761" s="1" t="s">
        <v>88</v>
      </c>
      <c r="H761" s="1" t="str">
        <f t="shared" si="146"/>
        <v>Male</v>
      </c>
      <c r="I761" s="1" t="s">
        <v>18</v>
      </c>
      <c r="J761" t="str">
        <f t="shared" si="147"/>
        <v>US</v>
      </c>
      <c r="L761" s="1">
        <f t="shared" si="148"/>
        <v>19</v>
      </c>
      <c r="M761" s="1" t="str">
        <f t="shared" si="149"/>
        <v>Student</v>
      </c>
      <c r="N761" s="2">
        <v>45334</v>
      </c>
      <c r="O761" s="1" t="s">
        <v>69</v>
      </c>
      <c r="P761" s="1" t="s">
        <v>31</v>
      </c>
      <c r="Q761" s="4">
        <v>15</v>
      </c>
      <c r="R761" s="13">
        <f t="shared" si="150"/>
        <v>15</v>
      </c>
      <c r="S761" s="6">
        <f t="shared" si="144"/>
        <v>0.15</v>
      </c>
      <c r="T761" s="1" t="s">
        <v>21</v>
      </c>
      <c r="U761" s="1">
        <f t="shared" si="151"/>
        <v>1.5</v>
      </c>
      <c r="V761" s="1">
        <f t="shared" si="152"/>
        <v>10.95</v>
      </c>
      <c r="W761" s="10" t="str">
        <f t="shared" si="153"/>
        <v>Low</v>
      </c>
      <c r="X761" s="1">
        <v>1</v>
      </c>
      <c r="Y761" s="1" t="str">
        <f t="shared" si="154"/>
        <v>Yes</v>
      </c>
      <c r="Z761" s="14">
        <v>3</v>
      </c>
      <c r="AA761" s="18">
        <f t="shared" si="155"/>
        <v>3</v>
      </c>
      <c r="AB761" s="18" t="str">
        <f t="shared" si="156"/>
        <v>No</v>
      </c>
      <c r="AC761" s="9" t="s">
        <v>3010</v>
      </c>
      <c r="AD761">
        <f>IF(AC761="",0,LEN(AC761)-LEN(SUBSTITUTE(AC761,",",""))+1)</f>
        <v>2</v>
      </c>
    </row>
    <row r="762" spans="1:30" ht="12.5" x14ac:dyDescent="0.25">
      <c r="A762" s="1" t="s">
        <v>3011</v>
      </c>
      <c r="B762" s="1" t="s">
        <v>3012</v>
      </c>
      <c r="C762" s="1" t="str">
        <v>Robert Bray</v>
      </c>
      <c r="D762" s="1" t="s">
        <v>3013</v>
      </c>
      <c r="E762" s="1" t="str">
        <v>lanesusan@thomas-morris.com</v>
      </c>
      <c r="F762" t="str">
        <f t="shared" si="145"/>
        <v>Valid</v>
      </c>
      <c r="G762" s="1" t="s">
        <v>88</v>
      </c>
      <c r="H762" s="1" t="str">
        <f t="shared" si="146"/>
        <v>Male</v>
      </c>
      <c r="I762" s="1" t="s">
        <v>28</v>
      </c>
      <c r="J762" t="str">
        <f t="shared" si="147"/>
        <v>INDIA</v>
      </c>
      <c r="K762" s="14">
        <v>18</v>
      </c>
      <c r="L762" s="1">
        <f t="shared" si="148"/>
        <v>18</v>
      </c>
      <c r="M762" s="1" t="str">
        <f t="shared" si="149"/>
        <v>Student</v>
      </c>
      <c r="N762" s="9">
        <v>45676</v>
      </c>
      <c r="O762" s="1" t="s">
        <v>52</v>
      </c>
      <c r="P762" s="1" t="s">
        <v>37</v>
      </c>
      <c r="Q762" s="4">
        <v>53</v>
      </c>
      <c r="R762" s="13">
        <f t="shared" si="150"/>
        <v>53</v>
      </c>
      <c r="S762" s="6">
        <f t="shared" si="144"/>
        <v>0.53</v>
      </c>
      <c r="T762" s="1">
        <v>2</v>
      </c>
      <c r="U762" s="1">
        <f t="shared" si="151"/>
        <v>2</v>
      </c>
      <c r="V762" s="1">
        <f t="shared" si="152"/>
        <v>37.699999999999996</v>
      </c>
      <c r="W762" s="10" t="str">
        <f t="shared" si="153"/>
        <v>Low</v>
      </c>
      <c r="X762" s="1" t="s">
        <v>32</v>
      </c>
      <c r="Y762" s="1" t="str">
        <f t="shared" si="154"/>
        <v>Yes</v>
      </c>
      <c r="AA762" s="18" t="str">
        <f t="shared" si="155"/>
        <v>Invalid</v>
      </c>
      <c r="AB762" s="18" t="str">
        <f t="shared" si="156"/>
        <v>High Performer</v>
      </c>
      <c r="AC762" s="9" t="s">
        <v>3014</v>
      </c>
      <c r="AD762">
        <f>IF(AC762="",0,LEN(AC762)-LEN(SUBSTITUTE(AC762,",",""))+1)</f>
        <v>5</v>
      </c>
    </row>
    <row r="763" spans="1:30" ht="12.5" x14ac:dyDescent="0.25">
      <c r="A763" s="1" t="s">
        <v>3015</v>
      </c>
      <c r="B763" s="1" t="s">
        <v>3016</v>
      </c>
      <c r="C763" s="1" t="str">
        <v>John Dudley Dds</v>
      </c>
      <c r="D763" s="1" t="s">
        <v>3017</v>
      </c>
      <c r="E763" s="1" t="str">
        <v>leahvaldez@gmail.com</v>
      </c>
      <c r="F763" t="str">
        <f t="shared" si="145"/>
        <v>Valid</v>
      </c>
      <c r="G763" s="1" t="s">
        <v>43</v>
      </c>
      <c r="H763" s="1" t="str">
        <f t="shared" si="146"/>
        <v>Female</v>
      </c>
      <c r="I763" s="1" t="s">
        <v>18</v>
      </c>
      <c r="J763" t="str">
        <f t="shared" si="147"/>
        <v>US</v>
      </c>
      <c r="K763" s="14">
        <v>44</v>
      </c>
      <c r="L763" s="1">
        <f t="shared" si="148"/>
        <v>44</v>
      </c>
      <c r="M763" s="1" t="str">
        <f t="shared" si="149"/>
        <v>Senior</v>
      </c>
      <c r="N763" s="9">
        <v>44940</v>
      </c>
      <c r="O763" s="1" t="s">
        <v>30</v>
      </c>
      <c r="P763" s="1" t="s">
        <v>31</v>
      </c>
      <c r="Q763" s="4">
        <v>0.73</v>
      </c>
      <c r="R763" s="13">
        <f t="shared" si="150"/>
        <v>73</v>
      </c>
      <c r="S763" s="6">
        <f t="shared" si="144"/>
        <v>0.73</v>
      </c>
      <c r="T763" s="1">
        <v>2</v>
      </c>
      <c r="U763" s="1">
        <f t="shared" si="151"/>
        <v>2</v>
      </c>
      <c r="V763" s="1">
        <f t="shared" si="152"/>
        <v>51.699999999999996</v>
      </c>
      <c r="W763" s="10" t="str">
        <f t="shared" si="153"/>
        <v>Medium</v>
      </c>
      <c r="X763" s="1">
        <v>1</v>
      </c>
      <c r="Y763" s="1" t="str">
        <f t="shared" si="154"/>
        <v>Yes</v>
      </c>
      <c r="Z763" s="14">
        <v>4</v>
      </c>
      <c r="AA763" s="18">
        <f t="shared" si="155"/>
        <v>4</v>
      </c>
      <c r="AB763" s="18" t="str">
        <f t="shared" si="156"/>
        <v>High Performer</v>
      </c>
      <c r="AC763" s="9" t="s">
        <v>3018</v>
      </c>
      <c r="AD763">
        <f>IF(AC763="",0,LEN(AC763)-LEN(SUBSTITUTE(AC763,",",""))+1)</f>
        <v>6</v>
      </c>
    </row>
    <row r="764" spans="1:30" ht="12.5" x14ac:dyDescent="0.25">
      <c r="A764" s="1" t="s">
        <v>3019</v>
      </c>
      <c r="B764" s="1" t="s">
        <v>3020</v>
      </c>
      <c r="C764" s="1" t="str">
        <v>Kim Underwood</v>
      </c>
      <c r="D764" s="1" t="s">
        <v>3021</v>
      </c>
      <c r="E764" s="1" t="str">
        <v>carpenterrobert@hotmail.com</v>
      </c>
      <c r="F764" t="str">
        <f t="shared" si="145"/>
        <v>Valid</v>
      </c>
      <c r="G764" s="1" t="s">
        <v>109</v>
      </c>
      <c r="H764" s="1" t="str">
        <f t="shared" si="146"/>
        <v>Male</v>
      </c>
      <c r="I764" s="1" t="s">
        <v>96</v>
      </c>
      <c r="J764" t="str">
        <f t="shared" si="147"/>
        <v>INDIA</v>
      </c>
      <c r="K764" s="14">
        <v>0</v>
      </c>
      <c r="L764" s="1">
        <f t="shared" si="148"/>
        <v>19</v>
      </c>
      <c r="M764" s="1" t="str">
        <f t="shared" si="149"/>
        <v>Student</v>
      </c>
      <c r="N764" s="9">
        <v>45253</v>
      </c>
      <c r="O764" s="1" t="s">
        <v>158</v>
      </c>
      <c r="P764" s="1" t="s">
        <v>59</v>
      </c>
      <c r="Q764" s="4">
        <v>0.4</v>
      </c>
      <c r="R764" s="13">
        <f t="shared" si="150"/>
        <v>40</v>
      </c>
      <c r="S764" s="6">
        <f t="shared" si="144"/>
        <v>0.4</v>
      </c>
      <c r="T764" s="1" t="s">
        <v>46</v>
      </c>
      <c r="U764" s="1">
        <f t="shared" si="151"/>
        <v>1</v>
      </c>
      <c r="V764" s="1">
        <f t="shared" si="152"/>
        <v>28.3</v>
      </c>
      <c r="W764" s="10" t="str">
        <f t="shared" si="153"/>
        <v>Low</v>
      </c>
      <c r="X764" s="1" t="s">
        <v>38</v>
      </c>
      <c r="Y764" s="1" t="str">
        <f t="shared" si="154"/>
        <v>No</v>
      </c>
      <c r="Z764" s="14">
        <v>5</v>
      </c>
      <c r="AA764" s="18">
        <f t="shared" si="155"/>
        <v>5</v>
      </c>
      <c r="AB764" s="18" t="str">
        <f t="shared" si="156"/>
        <v>No</v>
      </c>
      <c r="AC764" s="9" t="s">
        <v>3022</v>
      </c>
      <c r="AD764">
        <f>IF(AC764="",0,LEN(AC764)-LEN(SUBSTITUTE(AC764,",",""))+1)</f>
        <v>7</v>
      </c>
    </row>
    <row r="765" spans="1:30" ht="12.5" x14ac:dyDescent="0.25">
      <c r="A765" s="1" t="s">
        <v>3023</v>
      </c>
      <c r="B765" s="1" t="s">
        <v>3024</v>
      </c>
      <c r="C765" s="1" t="str">
        <v>Isaiah Harris</v>
      </c>
      <c r="D765" s="1" t="s">
        <v>3025</v>
      </c>
      <c r="E765" s="1" t="str">
        <v>angela21@pruitt.com</v>
      </c>
      <c r="F765" t="str">
        <f t="shared" si="145"/>
        <v>Valid</v>
      </c>
      <c r="G765" s="1" t="s">
        <v>109</v>
      </c>
      <c r="H765" s="1" t="str">
        <f t="shared" si="146"/>
        <v>Male</v>
      </c>
      <c r="I765" s="1" t="s">
        <v>28</v>
      </c>
      <c r="J765" t="str">
        <f t="shared" si="147"/>
        <v>INDIA</v>
      </c>
      <c r="K765" s="14">
        <v>0</v>
      </c>
      <c r="L765" s="1">
        <f t="shared" si="148"/>
        <v>19</v>
      </c>
      <c r="M765" s="1" t="str">
        <f t="shared" si="149"/>
        <v>Student</v>
      </c>
      <c r="N765" s="9">
        <v>45735</v>
      </c>
      <c r="O765" s="1" t="s">
        <v>75</v>
      </c>
      <c r="P765" s="1" t="s">
        <v>37</v>
      </c>
      <c r="Q765" s="4">
        <v>0.11</v>
      </c>
      <c r="R765" s="13">
        <f t="shared" si="150"/>
        <v>11</v>
      </c>
      <c r="S765" s="6">
        <f t="shared" si="144"/>
        <v>0.11</v>
      </c>
      <c r="T765" s="1">
        <v>2</v>
      </c>
      <c r="U765" s="1">
        <f t="shared" si="151"/>
        <v>2</v>
      </c>
      <c r="V765" s="1">
        <f t="shared" si="152"/>
        <v>8.2999999999999989</v>
      </c>
      <c r="W765" s="10" t="str">
        <f t="shared" si="153"/>
        <v>Low</v>
      </c>
      <c r="X765" s="1" t="s">
        <v>76</v>
      </c>
      <c r="Y765" s="1" t="str">
        <f t="shared" si="154"/>
        <v>Yes</v>
      </c>
      <c r="Z765" s="14">
        <v>1</v>
      </c>
      <c r="AA765" s="18">
        <f t="shared" si="155"/>
        <v>1</v>
      </c>
      <c r="AB765" s="18" t="str">
        <f t="shared" si="156"/>
        <v>No</v>
      </c>
      <c r="AC765" s="9" t="s">
        <v>3026</v>
      </c>
      <c r="AD765">
        <f>IF(AC765="",0,LEN(AC765)-LEN(SUBSTITUTE(AC765,",",""))+1)</f>
        <v>3</v>
      </c>
    </row>
    <row r="766" spans="1:30" ht="12.5" x14ac:dyDescent="0.25">
      <c r="A766" s="1" t="s">
        <v>3027</v>
      </c>
      <c r="B766" s="1" t="s">
        <v>3028</v>
      </c>
      <c r="C766" s="1" t="str">
        <v>Tara Fisher</v>
      </c>
      <c r="D766" s="1" t="s">
        <v>3029</v>
      </c>
      <c r="E766" s="1" t="str">
        <v>briantaylor@padilla.biz</v>
      </c>
      <c r="F766" t="str">
        <f t="shared" si="145"/>
        <v>Valid</v>
      </c>
      <c r="G766" s="1" t="s">
        <v>43</v>
      </c>
      <c r="H766" s="1" t="str">
        <f t="shared" si="146"/>
        <v>Female</v>
      </c>
      <c r="I766" s="1" t="s">
        <v>89</v>
      </c>
      <c r="J766" t="str">
        <f t="shared" si="147"/>
        <v>GERMANY</v>
      </c>
      <c r="K766" s="14">
        <v>27</v>
      </c>
      <c r="L766" s="1">
        <f t="shared" si="148"/>
        <v>27</v>
      </c>
      <c r="M766" s="1" t="str">
        <f t="shared" si="149"/>
        <v>Early Career</v>
      </c>
      <c r="N766" s="2">
        <v>45145</v>
      </c>
      <c r="O766" s="1" t="s">
        <v>69</v>
      </c>
      <c r="P766" s="1" t="s">
        <v>31</v>
      </c>
      <c r="Q766" s="4">
        <v>58</v>
      </c>
      <c r="R766" s="13">
        <f t="shared" si="150"/>
        <v>58</v>
      </c>
      <c r="S766" s="6">
        <f t="shared" si="144"/>
        <v>0.57999999999999996</v>
      </c>
      <c r="T766" s="1" t="s">
        <v>46</v>
      </c>
      <c r="U766" s="1">
        <f t="shared" si="151"/>
        <v>1</v>
      </c>
      <c r="V766" s="1">
        <f t="shared" si="152"/>
        <v>40.899999999999991</v>
      </c>
      <c r="W766" s="10" t="str">
        <f t="shared" si="153"/>
        <v>Low</v>
      </c>
      <c r="X766" s="1" t="s">
        <v>22</v>
      </c>
      <c r="Y766" s="1" t="str">
        <f t="shared" si="154"/>
        <v>No</v>
      </c>
      <c r="AA766" s="18" t="str">
        <f t="shared" si="155"/>
        <v>Invalid</v>
      </c>
      <c r="AB766" s="18" t="str">
        <f t="shared" si="156"/>
        <v>No</v>
      </c>
      <c r="AC766" s="9">
        <v>45145</v>
      </c>
      <c r="AD766">
        <f>IF(AC766="",0,LEN(AC766)-LEN(SUBSTITUTE(AC766,",",""))+1)</f>
        <v>1</v>
      </c>
    </row>
    <row r="767" spans="1:30" ht="12.5" x14ac:dyDescent="0.25">
      <c r="A767" s="1" t="s">
        <v>3030</v>
      </c>
      <c r="B767" s="1" t="s">
        <v>3031</v>
      </c>
      <c r="C767" s="1" t="str">
        <v>Karen Wheeler</v>
      </c>
      <c r="D767" s="1" t="s">
        <v>3032</v>
      </c>
      <c r="E767" s="1" t="str">
        <v>thomasdonald@jones.biz</v>
      </c>
      <c r="F767" t="str">
        <f t="shared" si="145"/>
        <v>Valid</v>
      </c>
      <c r="G767" s="1" t="s">
        <v>17</v>
      </c>
      <c r="H767" s="1" t="str">
        <f t="shared" si="146"/>
        <v>Female</v>
      </c>
      <c r="I767" s="1" t="s">
        <v>74</v>
      </c>
      <c r="J767" t="str">
        <f t="shared" si="147"/>
        <v>USA</v>
      </c>
      <c r="K767" s="14">
        <v>0</v>
      </c>
      <c r="L767" s="1">
        <f t="shared" si="148"/>
        <v>19</v>
      </c>
      <c r="M767" s="1" t="str">
        <f t="shared" si="149"/>
        <v>Student</v>
      </c>
      <c r="N767" s="2">
        <v>45057</v>
      </c>
      <c r="O767" s="1" t="s">
        <v>58</v>
      </c>
      <c r="P767" s="1" t="s">
        <v>59</v>
      </c>
      <c r="Q767" s="4">
        <v>0.18</v>
      </c>
      <c r="R767" s="13">
        <f t="shared" si="150"/>
        <v>18</v>
      </c>
      <c r="S767" s="6">
        <f t="shared" si="144"/>
        <v>0.18</v>
      </c>
      <c r="T767" s="1">
        <v>2</v>
      </c>
      <c r="U767" s="1">
        <f t="shared" si="151"/>
        <v>2</v>
      </c>
      <c r="V767" s="1">
        <f t="shared" si="152"/>
        <v>13.2</v>
      </c>
      <c r="W767" s="10" t="str">
        <f t="shared" si="153"/>
        <v>Low</v>
      </c>
      <c r="X767" s="1" t="s">
        <v>22</v>
      </c>
      <c r="Y767" s="1" t="str">
        <f t="shared" si="154"/>
        <v>No</v>
      </c>
      <c r="AA767" s="18" t="str">
        <f t="shared" si="155"/>
        <v>Invalid</v>
      </c>
      <c r="AB767" s="18" t="str">
        <f t="shared" si="156"/>
        <v>No</v>
      </c>
      <c r="AC767" s="9">
        <v>45057</v>
      </c>
      <c r="AD767">
        <f>IF(AC767="",0,LEN(AC767)-LEN(SUBSTITUTE(AC767,",",""))+1)</f>
        <v>1</v>
      </c>
    </row>
    <row r="768" spans="1:30" ht="12.5" x14ac:dyDescent="0.25">
      <c r="A768" s="1" t="s">
        <v>3033</v>
      </c>
      <c r="B768" s="1" t="s">
        <v>3034</v>
      </c>
      <c r="C768" s="1" t="str">
        <v>Joseph Rush</v>
      </c>
      <c r="D768" s="1" t="s">
        <v>3035</v>
      </c>
      <c r="E768" s="1" t="str">
        <v>csharp@hotmail.com</v>
      </c>
      <c r="F768" t="str">
        <f t="shared" si="145"/>
        <v>Valid</v>
      </c>
      <c r="G768" s="1" t="s">
        <v>95</v>
      </c>
      <c r="H768" s="1" t="str">
        <f t="shared" si="146"/>
        <v>Male</v>
      </c>
      <c r="I768" s="1" t="s">
        <v>18</v>
      </c>
      <c r="J768" t="str">
        <f t="shared" si="147"/>
        <v>US</v>
      </c>
      <c r="L768" s="1">
        <f t="shared" si="148"/>
        <v>19</v>
      </c>
      <c r="M768" s="1" t="str">
        <f t="shared" si="149"/>
        <v>Student</v>
      </c>
      <c r="N768" s="9">
        <v>44890</v>
      </c>
      <c r="O768" s="1" t="s">
        <v>52</v>
      </c>
      <c r="P768" s="1" t="s">
        <v>37</v>
      </c>
      <c r="Q768" s="4">
        <v>0.46</v>
      </c>
      <c r="R768" s="13">
        <f t="shared" si="150"/>
        <v>46</v>
      </c>
      <c r="S768" s="6">
        <f t="shared" si="144"/>
        <v>0.46</v>
      </c>
      <c r="T768" s="1">
        <v>1.5</v>
      </c>
      <c r="U768" s="1">
        <f t="shared" si="151"/>
        <v>1.5</v>
      </c>
      <c r="V768" s="1">
        <f t="shared" si="152"/>
        <v>32.65</v>
      </c>
      <c r="W768" s="10" t="str">
        <f t="shared" si="153"/>
        <v>Low</v>
      </c>
      <c r="X768" s="1" t="s">
        <v>76</v>
      </c>
      <c r="Y768" s="1" t="str">
        <f t="shared" si="154"/>
        <v>Yes</v>
      </c>
      <c r="Z768" s="14">
        <v>6</v>
      </c>
      <c r="AA768" s="18">
        <f t="shared" si="155"/>
        <v>6</v>
      </c>
      <c r="AB768" s="18" t="str">
        <f t="shared" si="156"/>
        <v>High Performer</v>
      </c>
      <c r="AC768" s="9" t="s">
        <v>3036</v>
      </c>
      <c r="AD768">
        <f>IF(AC768="",0,LEN(AC768)-LEN(SUBSTITUTE(AC768,",",""))+1)</f>
        <v>3</v>
      </c>
    </row>
    <row r="769" spans="1:30" ht="12.5" x14ac:dyDescent="0.25">
      <c r="A769" s="1" t="s">
        <v>3037</v>
      </c>
      <c r="B769" s="1" t="s">
        <v>3038</v>
      </c>
      <c r="C769" s="1" t="str">
        <v>Marvin Munoz</v>
      </c>
      <c r="D769" s="1" t="s">
        <v>3039</v>
      </c>
      <c r="E769" s="1" t="str">
        <v>alexwall@vaughan.com</v>
      </c>
      <c r="F769" t="str">
        <f t="shared" si="145"/>
        <v>Valid</v>
      </c>
      <c r="G769" s="1" t="s">
        <v>95</v>
      </c>
      <c r="H769" s="1" t="str">
        <f t="shared" si="146"/>
        <v>Male</v>
      </c>
      <c r="I769" s="1" t="s">
        <v>51</v>
      </c>
      <c r="J769" t="str">
        <f t="shared" si="147"/>
        <v>UK</v>
      </c>
      <c r="K769" s="14">
        <v>0</v>
      </c>
      <c r="L769" s="1">
        <f t="shared" si="148"/>
        <v>19</v>
      </c>
      <c r="M769" s="1" t="str">
        <f t="shared" si="149"/>
        <v>Student</v>
      </c>
      <c r="N769" s="9">
        <v>45738</v>
      </c>
      <c r="O769" s="1" t="s">
        <v>146</v>
      </c>
      <c r="P769" s="1" t="s">
        <v>147</v>
      </c>
      <c r="Q769" s="4">
        <v>81</v>
      </c>
      <c r="R769" s="13">
        <f t="shared" si="150"/>
        <v>81</v>
      </c>
      <c r="S769" s="6">
        <f t="shared" si="144"/>
        <v>0.81</v>
      </c>
      <c r="T769" s="1" t="s">
        <v>64</v>
      </c>
      <c r="U769" s="1">
        <f t="shared" si="151"/>
        <v>2</v>
      </c>
      <c r="V769" s="1">
        <f t="shared" si="152"/>
        <v>57.3</v>
      </c>
      <c r="W769" s="10" t="str">
        <f t="shared" si="153"/>
        <v>Medium</v>
      </c>
      <c r="X769" s="1" t="s">
        <v>76</v>
      </c>
      <c r="Y769" s="1" t="str">
        <f t="shared" si="154"/>
        <v>Yes</v>
      </c>
      <c r="Z769" s="14">
        <v>4</v>
      </c>
      <c r="AA769" s="18">
        <f t="shared" si="155"/>
        <v>4</v>
      </c>
      <c r="AB769" s="18" t="str">
        <f t="shared" si="156"/>
        <v>High Performer</v>
      </c>
      <c r="AC769" s="9" t="s">
        <v>3040</v>
      </c>
      <c r="AD769">
        <f>IF(AC769="",0,LEN(AC769)-LEN(SUBSTITUTE(AC769,",",""))+1)</f>
        <v>7</v>
      </c>
    </row>
    <row r="770" spans="1:30" ht="12.5" x14ac:dyDescent="0.25">
      <c r="A770" s="1" t="s">
        <v>3041</v>
      </c>
      <c r="B770" s="1" t="s">
        <v>3042</v>
      </c>
      <c r="C770" s="1" t="str">
        <v>Christopher Dudley</v>
      </c>
      <c r="D770" s="1" t="s">
        <v>3043</v>
      </c>
      <c r="E770" s="1" t="str">
        <v>juliamorales@gmail.com</v>
      </c>
      <c r="F770" t="str">
        <f t="shared" si="145"/>
        <v>Valid</v>
      </c>
      <c r="G770" s="1" t="s">
        <v>27</v>
      </c>
      <c r="H770" s="1" t="str">
        <f t="shared" si="146"/>
        <v>Male</v>
      </c>
      <c r="I770" s="1" t="s">
        <v>74</v>
      </c>
      <c r="J770" t="str">
        <f t="shared" si="147"/>
        <v>USA</v>
      </c>
      <c r="K770" s="14">
        <v>0</v>
      </c>
      <c r="L770" s="1">
        <f t="shared" si="148"/>
        <v>19</v>
      </c>
      <c r="M770" s="1" t="str">
        <f t="shared" si="149"/>
        <v>Student</v>
      </c>
      <c r="N770" s="2">
        <v>45605</v>
      </c>
      <c r="O770" s="1" t="s">
        <v>301</v>
      </c>
      <c r="P770" s="1" t="s">
        <v>20</v>
      </c>
      <c r="Q770" s="4">
        <v>76</v>
      </c>
      <c r="R770" s="13">
        <f t="shared" si="150"/>
        <v>76</v>
      </c>
      <c r="S770" s="6">
        <f t="shared" ref="S770:S833" si="157">R770/100</f>
        <v>0.76</v>
      </c>
      <c r="T770" s="1" t="s">
        <v>64</v>
      </c>
      <c r="U770" s="1">
        <f t="shared" si="151"/>
        <v>2</v>
      </c>
      <c r="V770" s="1">
        <f t="shared" si="152"/>
        <v>53.8</v>
      </c>
      <c r="W770" s="10" t="str">
        <f t="shared" si="153"/>
        <v>Medium</v>
      </c>
      <c r="X770" s="1" t="s">
        <v>76</v>
      </c>
      <c r="Y770" s="1" t="str">
        <f t="shared" si="154"/>
        <v>Yes</v>
      </c>
      <c r="Z770" s="14">
        <v>5</v>
      </c>
      <c r="AA770" s="18">
        <f t="shared" si="155"/>
        <v>5</v>
      </c>
      <c r="AB770" s="18" t="str">
        <f t="shared" si="156"/>
        <v>High Performer</v>
      </c>
      <c r="AC770" s="9" t="s">
        <v>3044</v>
      </c>
      <c r="AD770">
        <f>IF(AC770="",0,LEN(AC770)-LEN(SUBSTITUTE(AC770,",",""))+1)</f>
        <v>6</v>
      </c>
    </row>
    <row r="771" spans="1:30" ht="12.5" x14ac:dyDescent="0.25">
      <c r="A771" s="1" t="s">
        <v>3045</v>
      </c>
      <c r="B771" s="1" t="s">
        <v>3046</v>
      </c>
      <c r="C771" s="1" t="str">
        <v>Lisa Jones</v>
      </c>
      <c r="D771" s="1" t="s">
        <v>3047</v>
      </c>
      <c r="E771" s="1" t="str">
        <v>pedwards@yahoo.com</v>
      </c>
      <c r="F771" t="str">
        <f t="shared" ref="F771:F834" si="158">IF(ISNUMBER(SEARCH("@", E771)), "Valid", "Invalid")</f>
        <v>Valid</v>
      </c>
      <c r="G771" s="1" t="s">
        <v>17</v>
      </c>
      <c r="H771" s="1" t="str">
        <f t="shared" ref="H771:H834" si="159">IF(OR(LOWER(G771)="m", LOWER(G771)="male"), "Male", IF(OR(LOWER(G771)="f", LOWER(G771)="female"), "Female","Other"))</f>
        <v>Female</v>
      </c>
      <c r="I771" s="1" t="s">
        <v>51</v>
      </c>
      <c r="J771" t="str">
        <f t="shared" ref="J771:J834" si="160">UPPER(TRIM(I771))</f>
        <v>UK</v>
      </c>
      <c r="L771" s="1">
        <f t="shared" ref="L771:L834" si="161">IF(OR(K771=0,K771&lt;10,K771&gt;100), $L$1202, K771)</f>
        <v>19</v>
      </c>
      <c r="M771" s="1" t="str">
        <f t="shared" ref="M771:M834" si="162">IF(K771&lt;22,"Student",
IF(K771&lt;=30,"Early Career",
IF(K771&lt;=40,"Mid Career",
IF(K771&lt;=50,"Senior","Expert"))))</f>
        <v>Student</v>
      </c>
      <c r="N771" s="9">
        <v>44998</v>
      </c>
      <c r="O771" s="1" t="s">
        <v>30</v>
      </c>
      <c r="P771" s="1" t="s">
        <v>31</v>
      </c>
      <c r="Q771" s="4">
        <v>14</v>
      </c>
      <c r="R771" s="13">
        <f t="shared" ref="R771:R834" si="163">IF(Q771&lt;=1, Q771*100, Q771)</f>
        <v>14</v>
      </c>
      <c r="S771" s="6">
        <f t="shared" si="157"/>
        <v>0.14000000000000001</v>
      </c>
      <c r="T771" s="1" t="s">
        <v>21</v>
      </c>
      <c r="U771" s="1">
        <f t="shared" ref="U771:U834" si="164">IF(ISNUMBER(T771), T771,
IF(ISNUMBER(SEARCH("min", T771)), VALUE(LEFT(T771, FIND(" ", T771)-1))/60,
IF(ISNUMBER(SEARCH("hour", T771)), VALUE(LEFT(T771, FIND(" ", T771)-1)),
"")))</f>
        <v>1.5</v>
      </c>
      <c r="V771" s="1">
        <f t="shared" ref="V771:V834" si="165">MIN( (0.7*R771 + 0.3*(U771)), 100 )</f>
        <v>10.249999999999998</v>
      </c>
      <c r="W771" s="10" t="str">
        <f t="shared" ref="W771:W834" si="166">IF(V771&lt;41,"Low",IF(V771&lt;71,"Medium","High"))</f>
        <v>Low</v>
      </c>
      <c r="X771" s="1" t="s">
        <v>76</v>
      </c>
      <c r="Y771" s="1" t="str">
        <f t="shared" ref="Y771:Y834" si="167">IF(OR(X771="Yes", X771="Y", X771=1), "Yes", "No")</f>
        <v>Yes</v>
      </c>
      <c r="Z771" s="14">
        <v>2</v>
      </c>
      <c r="AA771" s="18">
        <f t="shared" ref="AA771:AA834" si="168">IF(AND(Z771&gt;=1,Z771&lt;=6),Z771,"Invalid")</f>
        <v>2</v>
      </c>
      <c r="AB771" s="18" t="str">
        <f t="shared" ref="AB771:AB834" si="169">IF(AND(Y771="Yes",AA771&gt;=4),"High Performer","No")</f>
        <v>No</v>
      </c>
      <c r="AC771" s="9" t="s">
        <v>3048</v>
      </c>
      <c r="AD771">
        <f>IF(AC771="",0,LEN(AC771)-LEN(SUBSTITUTE(AC771,",",""))+1)</f>
        <v>3</v>
      </c>
    </row>
    <row r="772" spans="1:30" ht="12.5" x14ac:dyDescent="0.25">
      <c r="A772" s="1" t="s">
        <v>3049</v>
      </c>
      <c r="B772" s="1" t="s">
        <v>3050</v>
      </c>
      <c r="C772" s="1" t="str">
        <v>Chloe Rodriguez</v>
      </c>
      <c r="D772" s="1" t="s">
        <v>3051</v>
      </c>
      <c r="E772" s="1" t="str">
        <v>carrie50@campbell.com</v>
      </c>
      <c r="F772" t="str">
        <f t="shared" si="158"/>
        <v>Valid</v>
      </c>
      <c r="G772" s="1" t="s">
        <v>43</v>
      </c>
      <c r="H772" s="1" t="str">
        <f t="shared" si="159"/>
        <v>Female</v>
      </c>
      <c r="I772" s="1" t="s">
        <v>44</v>
      </c>
      <c r="J772" t="str">
        <f t="shared" si="160"/>
        <v>CANADA</v>
      </c>
      <c r="K772" s="14">
        <v>23</v>
      </c>
      <c r="L772" s="1">
        <f t="shared" si="161"/>
        <v>23</v>
      </c>
      <c r="M772" s="1" t="str">
        <f t="shared" si="162"/>
        <v>Early Career</v>
      </c>
      <c r="N772" s="9">
        <v>45249</v>
      </c>
      <c r="O772" s="1" t="s">
        <v>75</v>
      </c>
      <c r="P772" s="1" t="s">
        <v>37</v>
      </c>
      <c r="Q772" s="4">
        <v>63</v>
      </c>
      <c r="R772" s="13">
        <f t="shared" si="163"/>
        <v>63</v>
      </c>
      <c r="S772" s="6">
        <f t="shared" si="157"/>
        <v>0.63</v>
      </c>
      <c r="T772" s="1" t="s">
        <v>64</v>
      </c>
      <c r="U772" s="1">
        <f t="shared" si="164"/>
        <v>2</v>
      </c>
      <c r="V772" s="1">
        <f t="shared" si="165"/>
        <v>44.699999999999996</v>
      </c>
      <c r="W772" s="10" t="str">
        <f t="shared" si="166"/>
        <v>Medium</v>
      </c>
      <c r="X772" s="1">
        <v>0</v>
      </c>
      <c r="Y772" s="1" t="str">
        <f t="shared" si="167"/>
        <v>No</v>
      </c>
      <c r="Z772" s="14">
        <v>4</v>
      </c>
      <c r="AA772" s="18">
        <f t="shared" si="168"/>
        <v>4</v>
      </c>
      <c r="AB772" s="18" t="str">
        <f t="shared" si="169"/>
        <v>No</v>
      </c>
      <c r="AC772" s="9" t="s">
        <v>3052</v>
      </c>
      <c r="AD772">
        <f>IF(AC772="",0,LEN(AC772)-LEN(SUBSTITUTE(AC772,",",""))+1)</f>
        <v>5</v>
      </c>
    </row>
    <row r="773" spans="1:30" ht="12.5" x14ac:dyDescent="0.25">
      <c r="A773" s="1" t="s">
        <v>3053</v>
      </c>
      <c r="B773" s="1" t="s">
        <v>3054</v>
      </c>
      <c r="C773" s="1" t="str">
        <v>Chelsea Harris</v>
      </c>
      <c r="D773" s="1" t="s">
        <v>3055</v>
      </c>
      <c r="E773" s="1" t="str">
        <v>josephdavila@williams.com</v>
      </c>
      <c r="F773" t="str">
        <f t="shared" si="158"/>
        <v>Valid</v>
      </c>
      <c r="G773" s="1" t="s">
        <v>119</v>
      </c>
      <c r="H773" s="1" t="str">
        <f t="shared" si="159"/>
        <v>Female</v>
      </c>
      <c r="I773" s="1" t="s">
        <v>18</v>
      </c>
      <c r="J773" t="str">
        <f t="shared" si="160"/>
        <v>US</v>
      </c>
      <c r="L773" s="1">
        <f t="shared" si="161"/>
        <v>19</v>
      </c>
      <c r="M773" s="1" t="str">
        <f t="shared" si="162"/>
        <v>Student</v>
      </c>
      <c r="N773" s="9">
        <v>44759</v>
      </c>
      <c r="O773" s="1" t="s">
        <v>52</v>
      </c>
      <c r="P773" s="1" t="s">
        <v>37</v>
      </c>
      <c r="Q773" s="4">
        <v>75</v>
      </c>
      <c r="R773" s="13">
        <f t="shared" si="163"/>
        <v>75</v>
      </c>
      <c r="S773" s="6">
        <f t="shared" si="157"/>
        <v>0.75</v>
      </c>
      <c r="T773" s="1">
        <v>45</v>
      </c>
      <c r="U773" s="1">
        <f t="shared" si="164"/>
        <v>45</v>
      </c>
      <c r="V773" s="1">
        <f t="shared" si="165"/>
        <v>66</v>
      </c>
      <c r="W773" s="10" t="str">
        <f t="shared" si="166"/>
        <v>Medium</v>
      </c>
      <c r="X773" s="1" t="s">
        <v>32</v>
      </c>
      <c r="Y773" s="1" t="str">
        <f t="shared" si="167"/>
        <v>Yes</v>
      </c>
      <c r="Z773" s="14">
        <v>3</v>
      </c>
      <c r="AA773" s="18">
        <f t="shared" si="168"/>
        <v>3</v>
      </c>
      <c r="AB773" s="18" t="str">
        <f t="shared" si="169"/>
        <v>No</v>
      </c>
      <c r="AC773" s="9" t="s">
        <v>3056</v>
      </c>
      <c r="AD773">
        <f>IF(AC773="",0,LEN(AC773)-LEN(SUBSTITUTE(AC773,",",""))+1)</f>
        <v>2</v>
      </c>
    </row>
    <row r="774" spans="1:30" ht="12.5" x14ac:dyDescent="0.25">
      <c r="A774" s="1" t="s">
        <v>3057</v>
      </c>
      <c r="B774" s="1" t="s">
        <v>3058</v>
      </c>
      <c r="C774" s="1" t="str">
        <v>Dr. Tina Porter</v>
      </c>
      <c r="D774" s="1" t="s">
        <v>3059</v>
      </c>
      <c r="E774" s="1" t="str">
        <v>iswanson@hotmail.com</v>
      </c>
      <c r="F774" t="str">
        <f t="shared" si="158"/>
        <v>Valid</v>
      </c>
      <c r="G774" s="1" t="s">
        <v>17</v>
      </c>
      <c r="H774" s="1" t="str">
        <f t="shared" si="159"/>
        <v>Female</v>
      </c>
      <c r="I774" s="1" t="s">
        <v>136</v>
      </c>
      <c r="J774" t="str">
        <f t="shared" si="160"/>
        <v>UK</v>
      </c>
      <c r="K774" s="14">
        <v>23</v>
      </c>
      <c r="L774" s="1">
        <f t="shared" si="161"/>
        <v>23</v>
      </c>
      <c r="M774" s="1" t="str">
        <f t="shared" si="162"/>
        <v>Early Career</v>
      </c>
      <c r="N774" s="2">
        <v>45146</v>
      </c>
      <c r="O774" s="1" t="s">
        <v>75</v>
      </c>
      <c r="P774" s="1" t="s">
        <v>37</v>
      </c>
      <c r="Q774" s="4">
        <v>0.25</v>
      </c>
      <c r="R774" s="13">
        <f t="shared" si="163"/>
        <v>25</v>
      </c>
      <c r="S774" s="6">
        <f t="shared" si="157"/>
        <v>0.25</v>
      </c>
      <c r="T774" s="1">
        <v>45</v>
      </c>
      <c r="U774" s="1">
        <f t="shared" si="164"/>
        <v>45</v>
      </c>
      <c r="V774" s="1">
        <f t="shared" si="165"/>
        <v>31</v>
      </c>
      <c r="W774" s="10" t="str">
        <f t="shared" si="166"/>
        <v>Low</v>
      </c>
      <c r="X774" s="1" t="s">
        <v>32</v>
      </c>
      <c r="Y774" s="1" t="str">
        <f t="shared" si="167"/>
        <v>Yes</v>
      </c>
      <c r="Z774" s="14">
        <v>5</v>
      </c>
      <c r="AA774" s="18">
        <f t="shared" si="168"/>
        <v>5</v>
      </c>
      <c r="AB774" s="18" t="str">
        <f t="shared" si="169"/>
        <v>High Performer</v>
      </c>
      <c r="AC774" s="9" t="s">
        <v>3060</v>
      </c>
      <c r="AD774">
        <f>IF(AC774="",0,LEN(AC774)-LEN(SUBSTITUTE(AC774,",",""))+1)</f>
        <v>2</v>
      </c>
    </row>
    <row r="775" spans="1:30" ht="12.5" x14ac:dyDescent="0.25">
      <c r="A775" s="1" t="s">
        <v>3061</v>
      </c>
      <c r="B775" s="1" t="s">
        <v>3062</v>
      </c>
      <c r="C775" s="1" t="str">
        <v>Ashlee Aguirre</v>
      </c>
      <c r="D775" s="1" t="s">
        <v>127</v>
      </c>
      <c r="E775" s="1" t="str">
        <v>invalid-email</v>
      </c>
      <c r="F775" t="str">
        <f t="shared" si="158"/>
        <v>Invalid</v>
      </c>
      <c r="G775" s="1" t="s">
        <v>109</v>
      </c>
      <c r="H775" s="1" t="str">
        <f t="shared" si="159"/>
        <v>Male</v>
      </c>
      <c r="I775" s="1" t="s">
        <v>156</v>
      </c>
      <c r="J775" t="str">
        <f t="shared" si="160"/>
        <v>IN</v>
      </c>
      <c r="K775" s="14">
        <v>31</v>
      </c>
      <c r="L775" s="1">
        <f t="shared" si="161"/>
        <v>31</v>
      </c>
      <c r="M775" s="1" t="str">
        <f t="shared" si="162"/>
        <v>Mid Career</v>
      </c>
      <c r="N775" s="9">
        <v>45706</v>
      </c>
      <c r="O775" s="1" t="s">
        <v>69</v>
      </c>
      <c r="P775" s="1" t="s">
        <v>31</v>
      </c>
      <c r="Q775" s="4">
        <v>82</v>
      </c>
      <c r="R775" s="13">
        <f t="shared" si="163"/>
        <v>82</v>
      </c>
      <c r="S775" s="6">
        <f t="shared" si="157"/>
        <v>0.82</v>
      </c>
      <c r="T775" s="1">
        <v>45</v>
      </c>
      <c r="U775" s="1">
        <f t="shared" si="164"/>
        <v>45</v>
      </c>
      <c r="V775" s="1">
        <f t="shared" si="165"/>
        <v>70.900000000000006</v>
      </c>
      <c r="W775" s="10" t="str">
        <f t="shared" si="166"/>
        <v>Medium</v>
      </c>
      <c r="X775" s="1" t="s">
        <v>76</v>
      </c>
      <c r="Y775" s="1" t="str">
        <f t="shared" si="167"/>
        <v>Yes</v>
      </c>
      <c r="Z775" s="14">
        <v>5</v>
      </c>
      <c r="AA775" s="18">
        <f t="shared" si="168"/>
        <v>5</v>
      </c>
      <c r="AB775" s="18" t="str">
        <f t="shared" si="169"/>
        <v>High Performer</v>
      </c>
      <c r="AC775" s="9" t="s">
        <v>3063</v>
      </c>
      <c r="AD775">
        <f>IF(AC775="",0,LEN(AC775)-LEN(SUBSTITUTE(AC775,",",""))+1)</f>
        <v>5</v>
      </c>
    </row>
    <row r="776" spans="1:30" ht="12.5" x14ac:dyDescent="0.25">
      <c r="A776" s="1" t="s">
        <v>3064</v>
      </c>
      <c r="B776" s="1" t="s">
        <v>3065</v>
      </c>
      <c r="C776" s="1" t="str">
        <v>Sean Johnson</v>
      </c>
      <c r="D776" s="1" t="s">
        <v>3066</v>
      </c>
      <c r="E776" s="1" t="str">
        <v>faithmiller@davis.com</v>
      </c>
      <c r="F776" t="str">
        <f t="shared" si="158"/>
        <v>Valid</v>
      </c>
      <c r="G776" s="1" t="s">
        <v>57</v>
      </c>
      <c r="H776" s="1" t="str">
        <f t="shared" si="159"/>
        <v>Female</v>
      </c>
      <c r="I776" s="1" t="s">
        <v>89</v>
      </c>
      <c r="J776" t="str">
        <f t="shared" si="160"/>
        <v>GERMANY</v>
      </c>
      <c r="K776" s="14">
        <v>0</v>
      </c>
      <c r="L776" s="1">
        <f t="shared" si="161"/>
        <v>19</v>
      </c>
      <c r="M776" s="1" t="str">
        <f t="shared" si="162"/>
        <v>Student</v>
      </c>
      <c r="N776" s="9">
        <v>44891</v>
      </c>
      <c r="O776" s="1" t="s">
        <v>146</v>
      </c>
      <c r="P776" s="1" t="s">
        <v>147</v>
      </c>
      <c r="Q776" s="4">
        <v>0.4</v>
      </c>
      <c r="R776" s="13">
        <f t="shared" si="163"/>
        <v>40</v>
      </c>
      <c r="S776" s="6">
        <f t="shared" si="157"/>
        <v>0.4</v>
      </c>
      <c r="T776" s="1">
        <v>2</v>
      </c>
      <c r="U776" s="1">
        <f t="shared" si="164"/>
        <v>2</v>
      </c>
      <c r="V776" s="1">
        <f t="shared" si="165"/>
        <v>28.6</v>
      </c>
      <c r="W776" s="10" t="str">
        <f t="shared" si="166"/>
        <v>Low</v>
      </c>
      <c r="X776" s="1" t="s">
        <v>22</v>
      </c>
      <c r="Y776" s="1" t="str">
        <f t="shared" si="167"/>
        <v>No</v>
      </c>
      <c r="Z776" s="14">
        <v>1</v>
      </c>
      <c r="AA776" s="18">
        <f t="shared" si="168"/>
        <v>1</v>
      </c>
      <c r="AB776" s="18" t="str">
        <f t="shared" si="169"/>
        <v>No</v>
      </c>
      <c r="AC776" s="9" t="s">
        <v>3067</v>
      </c>
      <c r="AD776">
        <f>IF(AC776="",0,LEN(AC776)-LEN(SUBSTITUTE(AC776,",",""))+1)</f>
        <v>6</v>
      </c>
    </row>
    <row r="777" spans="1:30" ht="12.5" x14ac:dyDescent="0.25">
      <c r="A777" s="1" t="s">
        <v>3068</v>
      </c>
      <c r="B777" s="1" t="s">
        <v>3069</v>
      </c>
      <c r="C777" s="1" t="str">
        <v>Lisa Mills Phd</v>
      </c>
      <c r="D777" s="1" t="s">
        <v>3070</v>
      </c>
      <c r="E777" s="1" t="str">
        <v>matthewward@yahoo.com</v>
      </c>
      <c r="F777" t="str">
        <f t="shared" si="158"/>
        <v>Valid</v>
      </c>
      <c r="G777" s="1" t="s">
        <v>17</v>
      </c>
      <c r="H777" s="1" t="str">
        <f t="shared" si="159"/>
        <v>Female</v>
      </c>
      <c r="I777" s="1" t="s">
        <v>18</v>
      </c>
      <c r="J777" t="str">
        <f t="shared" si="160"/>
        <v>US</v>
      </c>
      <c r="L777" s="1">
        <f t="shared" si="161"/>
        <v>19</v>
      </c>
      <c r="M777" s="1" t="str">
        <f t="shared" si="162"/>
        <v>Student</v>
      </c>
      <c r="N777" s="9">
        <v>44908</v>
      </c>
      <c r="O777" s="1" t="s">
        <v>90</v>
      </c>
      <c r="P777" s="1" t="s">
        <v>31</v>
      </c>
      <c r="Q777" s="4">
        <v>0.67</v>
      </c>
      <c r="R777" s="13">
        <f t="shared" si="163"/>
        <v>67</v>
      </c>
      <c r="S777" s="6">
        <f t="shared" si="157"/>
        <v>0.67</v>
      </c>
      <c r="T777" s="1">
        <v>2</v>
      </c>
      <c r="U777" s="1">
        <f t="shared" si="164"/>
        <v>2</v>
      </c>
      <c r="V777" s="1">
        <f t="shared" si="165"/>
        <v>47.5</v>
      </c>
      <c r="W777" s="10" t="str">
        <f t="shared" si="166"/>
        <v>Medium</v>
      </c>
      <c r="X777" s="1" t="s">
        <v>32</v>
      </c>
      <c r="Y777" s="1" t="str">
        <f t="shared" si="167"/>
        <v>Yes</v>
      </c>
      <c r="Z777" s="14">
        <v>2</v>
      </c>
      <c r="AA777" s="18">
        <f t="shared" si="168"/>
        <v>2</v>
      </c>
      <c r="AB777" s="18" t="str">
        <f t="shared" si="169"/>
        <v>No</v>
      </c>
      <c r="AC777" s="9" t="s">
        <v>3071</v>
      </c>
      <c r="AD777">
        <f>IF(AC777="",0,LEN(AC777)-LEN(SUBSTITUTE(AC777,",",""))+1)</f>
        <v>7</v>
      </c>
    </row>
    <row r="778" spans="1:30" ht="12.5" x14ac:dyDescent="0.25">
      <c r="A778" s="1" t="s">
        <v>3072</v>
      </c>
      <c r="B778" s="1" t="s">
        <v>3073</v>
      </c>
      <c r="C778" s="1" t="str">
        <v>Daniel Bishop</v>
      </c>
      <c r="D778" s="1" t="s">
        <v>3074</v>
      </c>
      <c r="E778" s="1" t="str">
        <v>ashleygamble@ballard.com</v>
      </c>
      <c r="F778" t="str">
        <f t="shared" si="158"/>
        <v>Valid</v>
      </c>
      <c r="G778" s="1" t="s">
        <v>57</v>
      </c>
      <c r="H778" s="1" t="str">
        <f t="shared" si="159"/>
        <v>Female</v>
      </c>
      <c r="I778" s="1" t="s">
        <v>18</v>
      </c>
      <c r="J778" t="str">
        <f t="shared" si="160"/>
        <v>US</v>
      </c>
      <c r="K778" s="14">
        <v>0</v>
      </c>
      <c r="L778" s="1">
        <f t="shared" si="161"/>
        <v>19</v>
      </c>
      <c r="M778" s="1" t="str">
        <f t="shared" si="162"/>
        <v>Student</v>
      </c>
      <c r="N778" s="2">
        <v>44779</v>
      </c>
      <c r="O778" s="1" t="s">
        <v>235</v>
      </c>
      <c r="P778" s="1" t="s">
        <v>147</v>
      </c>
      <c r="Q778" s="4">
        <v>0.35</v>
      </c>
      <c r="R778" s="13">
        <f t="shared" si="163"/>
        <v>35</v>
      </c>
      <c r="S778" s="6">
        <f t="shared" si="157"/>
        <v>0.35</v>
      </c>
      <c r="T778" s="1" t="s">
        <v>64</v>
      </c>
      <c r="U778" s="1">
        <f t="shared" si="164"/>
        <v>2</v>
      </c>
      <c r="V778" s="1">
        <f t="shared" si="165"/>
        <v>25.1</v>
      </c>
      <c r="W778" s="10" t="str">
        <f t="shared" si="166"/>
        <v>Low</v>
      </c>
      <c r="X778" s="1" t="s">
        <v>76</v>
      </c>
      <c r="Y778" s="1" t="str">
        <f t="shared" si="167"/>
        <v>Yes</v>
      </c>
      <c r="Z778" s="14">
        <v>4</v>
      </c>
      <c r="AA778" s="18">
        <f t="shared" si="168"/>
        <v>4</v>
      </c>
      <c r="AB778" s="18" t="str">
        <f t="shared" si="169"/>
        <v>High Performer</v>
      </c>
      <c r="AC778" s="9">
        <v>44779</v>
      </c>
      <c r="AD778">
        <f>IF(AC778="",0,LEN(AC778)-LEN(SUBSTITUTE(AC778,",",""))+1)</f>
        <v>1</v>
      </c>
    </row>
    <row r="779" spans="1:30" ht="12.5" x14ac:dyDescent="0.25">
      <c r="A779" s="1" t="s">
        <v>3075</v>
      </c>
      <c r="B779" s="1" t="s">
        <v>3076</v>
      </c>
      <c r="C779" s="1" t="str">
        <v>Kathryn Gibson</v>
      </c>
      <c r="D779" s="1" t="s">
        <v>3077</v>
      </c>
      <c r="E779" s="1" t="str">
        <v>evan49@gomez-jones.info</v>
      </c>
      <c r="F779" t="str">
        <f t="shared" si="158"/>
        <v>Valid</v>
      </c>
      <c r="G779" s="1" t="s">
        <v>95</v>
      </c>
      <c r="H779" s="1" t="str">
        <f t="shared" si="159"/>
        <v>Male</v>
      </c>
      <c r="I779" s="1" t="s">
        <v>156</v>
      </c>
      <c r="J779" t="str">
        <f t="shared" si="160"/>
        <v>IN</v>
      </c>
      <c r="K779" s="14">
        <v>38</v>
      </c>
      <c r="L779" s="1">
        <f t="shared" si="161"/>
        <v>38</v>
      </c>
      <c r="M779" s="1" t="str">
        <f t="shared" si="162"/>
        <v>Mid Career</v>
      </c>
      <c r="N779" s="2">
        <v>45359</v>
      </c>
      <c r="O779" s="1" t="s">
        <v>90</v>
      </c>
      <c r="P779" s="1" t="s">
        <v>31</v>
      </c>
      <c r="Q779" s="4">
        <v>0.51</v>
      </c>
      <c r="R779" s="13">
        <f t="shared" si="163"/>
        <v>51</v>
      </c>
      <c r="S779" s="6">
        <f t="shared" si="157"/>
        <v>0.51</v>
      </c>
      <c r="T779" s="1">
        <v>2</v>
      </c>
      <c r="U779" s="1">
        <f t="shared" si="164"/>
        <v>2</v>
      </c>
      <c r="V779" s="1">
        <f t="shared" si="165"/>
        <v>36.299999999999997</v>
      </c>
      <c r="W779" s="10" t="str">
        <f t="shared" si="166"/>
        <v>Low</v>
      </c>
      <c r="X779" s="1" t="s">
        <v>76</v>
      </c>
      <c r="Y779" s="1" t="str">
        <f t="shared" si="167"/>
        <v>Yes</v>
      </c>
      <c r="Z779" s="14">
        <v>1</v>
      </c>
      <c r="AA779" s="18">
        <f t="shared" si="168"/>
        <v>1</v>
      </c>
      <c r="AB779" s="18" t="str">
        <f t="shared" si="169"/>
        <v>No</v>
      </c>
      <c r="AC779" s="9" t="s">
        <v>3078</v>
      </c>
      <c r="AD779">
        <f>IF(AC779="",0,LEN(AC779)-LEN(SUBSTITUTE(AC779,",",""))+1)</f>
        <v>8</v>
      </c>
    </row>
    <row r="780" spans="1:30" ht="12.5" x14ac:dyDescent="0.25">
      <c r="A780" s="1" t="s">
        <v>3079</v>
      </c>
      <c r="B780" s="1" t="s">
        <v>3080</v>
      </c>
      <c r="C780" s="1" t="str">
        <v>Jessica Glass</v>
      </c>
      <c r="D780" s="1" t="s">
        <v>3081</v>
      </c>
      <c r="E780" s="1" t="str">
        <v>swilliams@ortiz-harvey.com</v>
      </c>
      <c r="F780" t="str">
        <f t="shared" si="158"/>
        <v>Valid</v>
      </c>
      <c r="G780" s="1" t="s">
        <v>119</v>
      </c>
      <c r="H780" s="1" t="str">
        <f t="shared" si="159"/>
        <v>Female</v>
      </c>
      <c r="I780" s="1" t="s">
        <v>28</v>
      </c>
      <c r="J780" t="str">
        <f t="shared" si="160"/>
        <v>INDIA</v>
      </c>
      <c r="L780" s="1">
        <f t="shared" si="161"/>
        <v>19</v>
      </c>
      <c r="M780" s="1" t="str">
        <f t="shared" si="162"/>
        <v>Student</v>
      </c>
      <c r="N780" s="2">
        <v>45265</v>
      </c>
      <c r="O780" s="1" t="s">
        <v>114</v>
      </c>
      <c r="P780" s="1" t="s">
        <v>59</v>
      </c>
      <c r="Q780" s="4">
        <v>0.44</v>
      </c>
      <c r="R780" s="13">
        <f t="shared" si="163"/>
        <v>44</v>
      </c>
      <c r="S780" s="6">
        <f t="shared" si="157"/>
        <v>0.44</v>
      </c>
      <c r="T780" s="1">
        <v>2</v>
      </c>
      <c r="U780" s="1">
        <f t="shared" si="164"/>
        <v>2</v>
      </c>
      <c r="V780" s="1">
        <f t="shared" si="165"/>
        <v>31.4</v>
      </c>
      <c r="W780" s="10" t="str">
        <f t="shared" si="166"/>
        <v>Low</v>
      </c>
      <c r="X780" s="1" t="s">
        <v>38</v>
      </c>
      <c r="Y780" s="1" t="str">
        <f t="shared" si="167"/>
        <v>No</v>
      </c>
      <c r="Z780" s="14">
        <v>4</v>
      </c>
      <c r="AA780" s="18">
        <f t="shared" si="168"/>
        <v>4</v>
      </c>
      <c r="AB780" s="18" t="str">
        <f t="shared" si="169"/>
        <v>No</v>
      </c>
      <c r="AC780" s="9" t="s">
        <v>3082</v>
      </c>
      <c r="AD780">
        <f>IF(AC780="",0,LEN(AC780)-LEN(SUBSTITUTE(AC780,",",""))+1)</f>
        <v>5</v>
      </c>
    </row>
    <row r="781" spans="1:30" ht="12.5" x14ac:dyDescent="0.25">
      <c r="A781" s="1" t="s">
        <v>3083</v>
      </c>
      <c r="B781" s="1" t="s">
        <v>3084</v>
      </c>
      <c r="C781" s="1" t="str">
        <v>Jacqueline Fleming</v>
      </c>
      <c r="D781" s="1" t="s">
        <v>3085</v>
      </c>
      <c r="E781" s="1" t="str">
        <v>natalie09@hotmail.com</v>
      </c>
      <c r="F781" t="str">
        <f t="shared" si="158"/>
        <v>Valid</v>
      </c>
      <c r="G781" s="1" t="s">
        <v>109</v>
      </c>
      <c r="H781" s="1" t="str">
        <f t="shared" si="159"/>
        <v>Male</v>
      </c>
      <c r="I781" s="1" t="s">
        <v>74</v>
      </c>
      <c r="J781" t="str">
        <f t="shared" si="160"/>
        <v>USA</v>
      </c>
      <c r="K781" s="14">
        <v>0</v>
      </c>
      <c r="L781" s="1">
        <f t="shared" si="161"/>
        <v>19</v>
      </c>
      <c r="M781" s="1" t="str">
        <f t="shared" si="162"/>
        <v>Student</v>
      </c>
      <c r="N781" s="9">
        <v>45342</v>
      </c>
      <c r="O781" s="1" t="s">
        <v>114</v>
      </c>
      <c r="P781" s="1" t="s">
        <v>59</v>
      </c>
      <c r="Q781" s="4">
        <v>13</v>
      </c>
      <c r="R781" s="13">
        <f t="shared" si="163"/>
        <v>13</v>
      </c>
      <c r="S781" s="6">
        <f t="shared" si="157"/>
        <v>0.13</v>
      </c>
      <c r="T781" s="1">
        <v>2</v>
      </c>
      <c r="U781" s="1">
        <f t="shared" si="164"/>
        <v>2</v>
      </c>
      <c r="V781" s="1">
        <f t="shared" si="165"/>
        <v>9.6999999999999993</v>
      </c>
      <c r="W781" s="10" t="str">
        <f t="shared" si="166"/>
        <v>Low</v>
      </c>
      <c r="X781" s="1" t="s">
        <v>22</v>
      </c>
      <c r="Y781" s="1" t="str">
        <f t="shared" si="167"/>
        <v>No</v>
      </c>
      <c r="Z781" s="14">
        <v>1</v>
      </c>
      <c r="AA781" s="18">
        <f t="shared" si="168"/>
        <v>1</v>
      </c>
      <c r="AB781" s="18" t="str">
        <f t="shared" si="169"/>
        <v>No</v>
      </c>
      <c r="AC781" s="9" t="s">
        <v>3086</v>
      </c>
      <c r="AD781">
        <f>IF(AC781="",0,LEN(AC781)-LEN(SUBSTITUTE(AC781,",",""))+1)</f>
        <v>2</v>
      </c>
    </row>
    <row r="782" spans="1:30" ht="12.5" x14ac:dyDescent="0.25">
      <c r="A782" s="1" t="s">
        <v>3087</v>
      </c>
      <c r="B782" s="1" t="s">
        <v>3088</v>
      </c>
      <c r="C782" s="1" t="str">
        <v>Aimee Farrell</v>
      </c>
      <c r="D782" s="1" t="s">
        <v>3089</v>
      </c>
      <c r="E782" s="1" t="str">
        <v>zmoore@gmail.com</v>
      </c>
      <c r="F782" t="str">
        <f t="shared" si="158"/>
        <v>Valid</v>
      </c>
      <c r="G782" s="1" t="s">
        <v>95</v>
      </c>
      <c r="H782" s="1" t="str">
        <f t="shared" si="159"/>
        <v>Male</v>
      </c>
      <c r="I782" s="1" t="s">
        <v>44</v>
      </c>
      <c r="J782" t="str">
        <f t="shared" si="160"/>
        <v>CANADA</v>
      </c>
      <c r="K782" s="14">
        <v>43</v>
      </c>
      <c r="L782" s="1">
        <f t="shared" si="161"/>
        <v>43</v>
      </c>
      <c r="M782" s="1" t="str">
        <f t="shared" si="162"/>
        <v>Senior</v>
      </c>
      <c r="N782" s="2">
        <v>44658</v>
      </c>
      <c r="O782" s="1" t="s">
        <v>235</v>
      </c>
      <c r="P782" s="1" t="s">
        <v>147</v>
      </c>
      <c r="Q782" s="4">
        <v>47</v>
      </c>
      <c r="R782" s="13">
        <f t="shared" si="163"/>
        <v>47</v>
      </c>
      <c r="S782" s="6">
        <f t="shared" si="157"/>
        <v>0.47</v>
      </c>
      <c r="T782" s="1" t="s">
        <v>46</v>
      </c>
      <c r="U782" s="1">
        <f t="shared" si="164"/>
        <v>1</v>
      </c>
      <c r="V782" s="1">
        <f t="shared" si="165"/>
        <v>33.199999999999996</v>
      </c>
      <c r="W782" s="10" t="str">
        <f t="shared" si="166"/>
        <v>Low</v>
      </c>
      <c r="X782" s="1" t="s">
        <v>32</v>
      </c>
      <c r="Y782" s="1" t="str">
        <f t="shared" si="167"/>
        <v>Yes</v>
      </c>
      <c r="Z782" s="14">
        <v>6</v>
      </c>
      <c r="AA782" s="18">
        <f t="shared" si="168"/>
        <v>6</v>
      </c>
      <c r="AB782" s="18" t="str">
        <f t="shared" si="169"/>
        <v>High Performer</v>
      </c>
      <c r="AC782" s="9" t="s">
        <v>3090</v>
      </c>
      <c r="AD782">
        <f>IF(AC782="",0,LEN(AC782)-LEN(SUBSTITUTE(AC782,",",""))+1)</f>
        <v>4</v>
      </c>
    </row>
    <row r="783" spans="1:30" ht="12.5" x14ac:dyDescent="0.25">
      <c r="A783" s="1" t="s">
        <v>3091</v>
      </c>
      <c r="B783" s="1" t="s">
        <v>3092</v>
      </c>
      <c r="C783" s="1" t="str">
        <v>John Day</v>
      </c>
      <c r="D783" s="1" t="s">
        <v>3093</v>
      </c>
      <c r="E783" s="1" t="str">
        <v>millerjessica@yahoo.com</v>
      </c>
      <c r="F783" t="str">
        <f t="shared" si="158"/>
        <v>Valid</v>
      </c>
      <c r="G783" s="1" t="s">
        <v>119</v>
      </c>
      <c r="H783" s="1" t="str">
        <f t="shared" si="159"/>
        <v>Female</v>
      </c>
      <c r="I783" s="1" t="s">
        <v>74</v>
      </c>
      <c r="J783" t="str">
        <f t="shared" si="160"/>
        <v>USA</v>
      </c>
      <c r="L783" s="1">
        <f t="shared" si="161"/>
        <v>19</v>
      </c>
      <c r="M783" s="1" t="str">
        <f t="shared" si="162"/>
        <v>Student</v>
      </c>
      <c r="N783" s="9">
        <v>45004</v>
      </c>
      <c r="O783" s="1" t="s">
        <v>301</v>
      </c>
      <c r="P783" s="1" t="s">
        <v>20</v>
      </c>
      <c r="Q783" s="4">
        <v>0.48</v>
      </c>
      <c r="R783" s="13">
        <f t="shared" si="163"/>
        <v>48</v>
      </c>
      <c r="S783" s="6">
        <f t="shared" si="157"/>
        <v>0.48</v>
      </c>
      <c r="T783" s="1" t="s">
        <v>46</v>
      </c>
      <c r="U783" s="1">
        <f t="shared" si="164"/>
        <v>1</v>
      </c>
      <c r="V783" s="1">
        <f t="shared" si="165"/>
        <v>33.899999999999991</v>
      </c>
      <c r="W783" s="10" t="str">
        <f t="shared" si="166"/>
        <v>Low</v>
      </c>
      <c r="X783" s="1">
        <v>1</v>
      </c>
      <c r="Y783" s="1" t="str">
        <f t="shared" si="167"/>
        <v>Yes</v>
      </c>
      <c r="Z783" s="14">
        <v>3</v>
      </c>
      <c r="AA783" s="18">
        <f t="shared" si="168"/>
        <v>3</v>
      </c>
      <c r="AB783" s="18" t="str">
        <f t="shared" si="169"/>
        <v>No</v>
      </c>
      <c r="AC783" s="9" t="s">
        <v>1385</v>
      </c>
      <c r="AD783">
        <f>IF(AC783="",0,LEN(AC783)-LEN(SUBSTITUTE(AC783,",",""))+1)</f>
        <v>6</v>
      </c>
    </row>
    <row r="784" spans="1:30" ht="12.5" x14ac:dyDescent="0.25">
      <c r="A784" s="1" t="s">
        <v>3094</v>
      </c>
      <c r="B784" s="1" t="s">
        <v>3095</v>
      </c>
      <c r="C784" s="1" t="str">
        <v>Zachary Tucker</v>
      </c>
      <c r="D784" s="1" t="s">
        <v>3096</v>
      </c>
      <c r="E784" s="1" t="str">
        <v>ramirezbenjamin@gmail.com</v>
      </c>
      <c r="F784" t="str">
        <f t="shared" si="158"/>
        <v>Valid</v>
      </c>
      <c r="G784" s="1" t="s">
        <v>27</v>
      </c>
      <c r="H784" s="1" t="str">
        <f t="shared" si="159"/>
        <v>Male</v>
      </c>
      <c r="I784" s="1" t="s">
        <v>156</v>
      </c>
      <c r="J784" t="str">
        <f t="shared" si="160"/>
        <v>IN</v>
      </c>
      <c r="K784" s="14">
        <v>0</v>
      </c>
      <c r="L784" s="1">
        <f t="shared" si="161"/>
        <v>19</v>
      </c>
      <c r="M784" s="1" t="str">
        <f t="shared" si="162"/>
        <v>Student</v>
      </c>
      <c r="N784" s="2">
        <v>45506</v>
      </c>
      <c r="O784" s="1" t="s">
        <v>114</v>
      </c>
      <c r="P784" s="1" t="s">
        <v>59</v>
      </c>
      <c r="Q784" s="4">
        <v>0.67</v>
      </c>
      <c r="R784" s="13">
        <f t="shared" si="163"/>
        <v>67</v>
      </c>
      <c r="S784" s="6">
        <f t="shared" si="157"/>
        <v>0.67</v>
      </c>
      <c r="T784" s="1" t="s">
        <v>46</v>
      </c>
      <c r="U784" s="1">
        <f t="shared" si="164"/>
        <v>1</v>
      </c>
      <c r="V784" s="1">
        <f t="shared" si="165"/>
        <v>47.199999999999996</v>
      </c>
      <c r="W784" s="10" t="str">
        <f t="shared" si="166"/>
        <v>Medium</v>
      </c>
      <c r="X784" s="1" t="s">
        <v>76</v>
      </c>
      <c r="Y784" s="1" t="str">
        <f t="shared" si="167"/>
        <v>Yes</v>
      </c>
      <c r="Z784" s="14">
        <v>2</v>
      </c>
      <c r="AA784" s="18">
        <f t="shared" si="168"/>
        <v>2</v>
      </c>
      <c r="AB784" s="18" t="str">
        <f t="shared" si="169"/>
        <v>No</v>
      </c>
      <c r="AC784" s="9" t="s">
        <v>3097</v>
      </c>
      <c r="AD784">
        <f>IF(AC784="",0,LEN(AC784)-LEN(SUBSTITUTE(AC784,",",""))+1)</f>
        <v>8</v>
      </c>
    </row>
    <row r="785" spans="1:30" ht="12.5" x14ac:dyDescent="0.25">
      <c r="A785" s="1" t="s">
        <v>3098</v>
      </c>
      <c r="B785" s="1" t="s">
        <v>3099</v>
      </c>
      <c r="C785" s="1" t="str">
        <v>Victoria Schroeder</v>
      </c>
      <c r="D785" s="1" t="s">
        <v>3100</v>
      </c>
      <c r="E785" s="1" t="str">
        <v>kristine73@lewis.biz</v>
      </c>
      <c r="F785" t="str">
        <f t="shared" si="158"/>
        <v>Valid</v>
      </c>
      <c r="G785" s="1" t="s">
        <v>17</v>
      </c>
      <c r="H785" s="1" t="str">
        <f t="shared" si="159"/>
        <v>Female</v>
      </c>
      <c r="I785" s="1" t="s">
        <v>74</v>
      </c>
      <c r="J785" t="str">
        <f t="shared" si="160"/>
        <v>USA</v>
      </c>
      <c r="K785" s="14">
        <v>33</v>
      </c>
      <c r="L785" s="1">
        <f t="shared" si="161"/>
        <v>33</v>
      </c>
      <c r="M785" s="1" t="str">
        <f t="shared" si="162"/>
        <v>Mid Career</v>
      </c>
      <c r="N785" s="2">
        <v>45447</v>
      </c>
      <c r="O785" s="1" t="s">
        <v>52</v>
      </c>
      <c r="P785" s="1" t="s">
        <v>37</v>
      </c>
      <c r="Q785" s="4">
        <v>0.31</v>
      </c>
      <c r="R785" s="13">
        <f t="shared" si="163"/>
        <v>31</v>
      </c>
      <c r="S785" s="6">
        <f t="shared" si="157"/>
        <v>0.31</v>
      </c>
      <c r="T785" s="1">
        <v>2</v>
      </c>
      <c r="U785" s="1">
        <f t="shared" si="164"/>
        <v>2</v>
      </c>
      <c r="V785" s="1">
        <f t="shared" si="165"/>
        <v>22.3</v>
      </c>
      <c r="W785" s="10" t="str">
        <f t="shared" si="166"/>
        <v>Low</v>
      </c>
      <c r="X785" s="1">
        <v>0</v>
      </c>
      <c r="Y785" s="1" t="str">
        <f t="shared" si="167"/>
        <v>No</v>
      </c>
      <c r="AA785" s="18" t="str">
        <f t="shared" si="168"/>
        <v>Invalid</v>
      </c>
      <c r="AB785" s="18" t="str">
        <f t="shared" si="169"/>
        <v>No</v>
      </c>
      <c r="AC785" s="9" t="s">
        <v>3101</v>
      </c>
      <c r="AD785">
        <f>IF(AC785="",0,LEN(AC785)-LEN(SUBSTITUTE(AC785,",",""))+1)</f>
        <v>2</v>
      </c>
    </row>
    <row r="786" spans="1:30" ht="12.5" x14ac:dyDescent="0.25">
      <c r="A786" s="1" t="s">
        <v>3102</v>
      </c>
      <c r="B786" s="1" t="s">
        <v>3103</v>
      </c>
      <c r="C786" s="1" t="str">
        <v>Donald Miller</v>
      </c>
      <c r="D786" s="1" t="s">
        <v>3104</v>
      </c>
      <c r="E786" s="1" t="str">
        <v>qwarren@yahoo.com</v>
      </c>
      <c r="F786" t="str">
        <f t="shared" si="158"/>
        <v>Valid</v>
      </c>
      <c r="G786" s="1" t="s">
        <v>57</v>
      </c>
      <c r="H786" s="1" t="str">
        <f t="shared" si="159"/>
        <v>Female</v>
      </c>
      <c r="I786" s="1" t="s">
        <v>44</v>
      </c>
      <c r="J786" t="str">
        <f t="shared" si="160"/>
        <v>CANADA</v>
      </c>
      <c r="L786" s="1">
        <f t="shared" si="161"/>
        <v>19</v>
      </c>
      <c r="M786" s="1" t="str">
        <f t="shared" si="162"/>
        <v>Student</v>
      </c>
      <c r="N786" s="9">
        <v>45077</v>
      </c>
      <c r="O786" s="1" t="s">
        <v>170</v>
      </c>
      <c r="P786" s="1" t="s">
        <v>147</v>
      </c>
      <c r="Q786" s="4">
        <v>0.43</v>
      </c>
      <c r="R786" s="13">
        <f t="shared" si="163"/>
        <v>43</v>
      </c>
      <c r="S786" s="6">
        <f t="shared" si="157"/>
        <v>0.43</v>
      </c>
      <c r="T786" s="1" t="s">
        <v>21</v>
      </c>
      <c r="U786" s="1">
        <f t="shared" si="164"/>
        <v>1.5</v>
      </c>
      <c r="V786" s="1">
        <f t="shared" si="165"/>
        <v>30.549999999999997</v>
      </c>
      <c r="W786" s="10" t="str">
        <f t="shared" si="166"/>
        <v>Low</v>
      </c>
      <c r="X786" s="1">
        <v>1</v>
      </c>
      <c r="Y786" s="1" t="str">
        <f t="shared" si="167"/>
        <v>Yes</v>
      </c>
      <c r="Z786" s="14">
        <v>2</v>
      </c>
      <c r="AA786" s="18">
        <f t="shared" si="168"/>
        <v>2</v>
      </c>
      <c r="AB786" s="18" t="str">
        <f t="shared" si="169"/>
        <v>No</v>
      </c>
      <c r="AC786" s="9" t="s">
        <v>3105</v>
      </c>
      <c r="AD786">
        <f>IF(AC786="",0,LEN(AC786)-LEN(SUBSTITUTE(AC786,",",""))+1)</f>
        <v>7</v>
      </c>
    </row>
    <row r="787" spans="1:30" ht="12.5" x14ac:dyDescent="0.25">
      <c r="A787" s="1" t="s">
        <v>3106</v>
      </c>
      <c r="B787" s="1" t="s">
        <v>3107</v>
      </c>
      <c r="C787" s="1" t="str">
        <v>Gloria Mullins</v>
      </c>
      <c r="D787" s="1" t="s">
        <v>3108</v>
      </c>
      <c r="E787" s="1" t="str">
        <v>michaelbarnes@nichols-bowers.biz</v>
      </c>
      <c r="F787" t="str">
        <f t="shared" si="158"/>
        <v>Valid</v>
      </c>
      <c r="G787" s="1" t="s">
        <v>88</v>
      </c>
      <c r="H787" s="1" t="str">
        <f t="shared" si="159"/>
        <v>Male</v>
      </c>
      <c r="I787" s="1" t="s">
        <v>89</v>
      </c>
      <c r="J787" t="str">
        <f t="shared" si="160"/>
        <v>GERMANY</v>
      </c>
      <c r="L787" s="1">
        <f t="shared" si="161"/>
        <v>19</v>
      </c>
      <c r="M787" s="1" t="str">
        <f t="shared" si="162"/>
        <v>Student</v>
      </c>
      <c r="N787" s="9">
        <v>44943</v>
      </c>
      <c r="O787" s="1" t="s">
        <v>19</v>
      </c>
      <c r="P787" s="1" t="s">
        <v>20</v>
      </c>
      <c r="Q787" s="4">
        <v>0.56999999999999995</v>
      </c>
      <c r="R787" s="13">
        <f t="shared" si="163"/>
        <v>56.999999999999993</v>
      </c>
      <c r="S787" s="6">
        <f t="shared" si="157"/>
        <v>0.56999999999999995</v>
      </c>
      <c r="T787" s="1">
        <v>2</v>
      </c>
      <c r="U787" s="1">
        <f t="shared" si="164"/>
        <v>2</v>
      </c>
      <c r="V787" s="1">
        <f t="shared" si="165"/>
        <v>40.499999999999993</v>
      </c>
      <c r="W787" s="10" t="str">
        <f t="shared" si="166"/>
        <v>Low</v>
      </c>
      <c r="X787" s="1">
        <v>0</v>
      </c>
      <c r="Y787" s="1" t="str">
        <f t="shared" si="167"/>
        <v>No</v>
      </c>
      <c r="Z787" s="14">
        <v>6</v>
      </c>
      <c r="AA787" s="18">
        <f t="shared" si="168"/>
        <v>6</v>
      </c>
      <c r="AB787" s="18" t="str">
        <f t="shared" si="169"/>
        <v>No</v>
      </c>
      <c r="AC787" s="9" t="s">
        <v>3109</v>
      </c>
      <c r="AD787">
        <f>IF(AC787="",0,LEN(AC787)-LEN(SUBSTITUTE(AC787,",",""))+1)</f>
        <v>4</v>
      </c>
    </row>
    <row r="788" spans="1:30" ht="12.5" x14ac:dyDescent="0.25">
      <c r="A788" s="1" t="s">
        <v>3110</v>
      </c>
      <c r="B788" s="1" t="s">
        <v>3111</v>
      </c>
      <c r="C788" s="1" t="str">
        <v>Kristina English</v>
      </c>
      <c r="D788" s="1" t="s">
        <v>127</v>
      </c>
      <c r="E788" s="1" t="str">
        <v>invalid-email</v>
      </c>
      <c r="F788" t="str">
        <f t="shared" si="158"/>
        <v>Invalid</v>
      </c>
      <c r="G788" s="1" t="s">
        <v>119</v>
      </c>
      <c r="H788" s="1" t="str">
        <f t="shared" si="159"/>
        <v>Female</v>
      </c>
      <c r="I788" s="1" t="s">
        <v>51</v>
      </c>
      <c r="J788" t="str">
        <f t="shared" si="160"/>
        <v>UK</v>
      </c>
      <c r="K788" s="14">
        <v>26</v>
      </c>
      <c r="L788" s="1">
        <f t="shared" si="161"/>
        <v>26</v>
      </c>
      <c r="M788" s="1" t="str">
        <f t="shared" si="162"/>
        <v>Early Career</v>
      </c>
      <c r="N788" s="2">
        <v>45179</v>
      </c>
      <c r="O788" s="1" t="s">
        <v>75</v>
      </c>
      <c r="P788" s="1" t="s">
        <v>37</v>
      </c>
      <c r="Q788" s="4">
        <v>0.13</v>
      </c>
      <c r="R788" s="13">
        <f t="shared" si="163"/>
        <v>13</v>
      </c>
      <c r="S788" s="6">
        <f t="shared" si="157"/>
        <v>0.13</v>
      </c>
      <c r="T788" s="1" t="s">
        <v>21</v>
      </c>
      <c r="U788" s="1">
        <f t="shared" si="164"/>
        <v>1.5</v>
      </c>
      <c r="V788" s="1">
        <f t="shared" si="165"/>
        <v>9.5499999999999989</v>
      </c>
      <c r="W788" s="10" t="str">
        <f t="shared" si="166"/>
        <v>Low</v>
      </c>
      <c r="X788" s="1">
        <v>1</v>
      </c>
      <c r="Y788" s="1" t="str">
        <f t="shared" si="167"/>
        <v>Yes</v>
      </c>
      <c r="AA788" s="18" t="str">
        <f t="shared" si="168"/>
        <v>Invalid</v>
      </c>
      <c r="AB788" s="18" t="str">
        <f t="shared" si="169"/>
        <v>High Performer</v>
      </c>
      <c r="AC788" s="9" t="s">
        <v>3112</v>
      </c>
      <c r="AD788">
        <f>IF(AC788="",0,LEN(AC788)-LEN(SUBSTITUTE(AC788,",",""))+1)</f>
        <v>2</v>
      </c>
    </row>
    <row r="789" spans="1:30" ht="12.5" x14ac:dyDescent="0.25">
      <c r="A789" s="1" t="s">
        <v>3113</v>
      </c>
      <c r="B789" s="1" t="s">
        <v>3114</v>
      </c>
      <c r="C789" s="1" t="str">
        <v>Erica Downs</v>
      </c>
      <c r="D789" s="1" t="s">
        <v>3115</v>
      </c>
      <c r="E789" s="1" t="str">
        <v>hernandezstephen@gmail.com</v>
      </c>
      <c r="F789" t="str">
        <f t="shared" si="158"/>
        <v>Valid</v>
      </c>
      <c r="G789" s="1" t="s">
        <v>88</v>
      </c>
      <c r="H789" s="1" t="str">
        <f t="shared" si="159"/>
        <v>Male</v>
      </c>
      <c r="I789" s="1" t="s">
        <v>96</v>
      </c>
      <c r="J789" t="str">
        <f t="shared" si="160"/>
        <v>INDIA</v>
      </c>
      <c r="K789" s="14">
        <v>28</v>
      </c>
      <c r="L789" s="1">
        <f t="shared" si="161"/>
        <v>28</v>
      </c>
      <c r="M789" s="1" t="str">
        <f t="shared" si="162"/>
        <v>Early Career</v>
      </c>
      <c r="N789" s="2">
        <v>45171</v>
      </c>
      <c r="O789" s="1" t="s">
        <v>58</v>
      </c>
      <c r="P789" s="1" t="s">
        <v>59</v>
      </c>
      <c r="Q789" s="4">
        <v>10</v>
      </c>
      <c r="R789" s="13">
        <f t="shared" si="163"/>
        <v>10</v>
      </c>
      <c r="S789" s="6">
        <f t="shared" si="157"/>
        <v>0.1</v>
      </c>
      <c r="T789" s="1">
        <v>1.5</v>
      </c>
      <c r="U789" s="1">
        <f t="shared" si="164"/>
        <v>1.5</v>
      </c>
      <c r="V789" s="1">
        <f t="shared" si="165"/>
        <v>7.45</v>
      </c>
      <c r="W789" s="10" t="str">
        <f t="shared" si="166"/>
        <v>Low</v>
      </c>
      <c r="X789" s="1" t="s">
        <v>32</v>
      </c>
      <c r="Y789" s="1" t="str">
        <f t="shared" si="167"/>
        <v>Yes</v>
      </c>
      <c r="Z789" s="14">
        <v>3</v>
      </c>
      <c r="AA789" s="18">
        <f t="shared" si="168"/>
        <v>3</v>
      </c>
      <c r="AB789" s="18" t="str">
        <f t="shared" si="169"/>
        <v>No</v>
      </c>
      <c r="AC789" s="9" t="s">
        <v>3116</v>
      </c>
      <c r="AD789">
        <f>IF(AC789="",0,LEN(AC789)-LEN(SUBSTITUTE(AC789,",",""))+1)</f>
        <v>5</v>
      </c>
    </row>
    <row r="790" spans="1:30" ht="12.5" x14ac:dyDescent="0.25">
      <c r="A790" s="1" t="s">
        <v>3117</v>
      </c>
      <c r="B790" s="1" t="s">
        <v>3118</v>
      </c>
      <c r="C790" s="1" t="str">
        <v>Jennifer Meyer</v>
      </c>
      <c r="D790" s="1" t="s">
        <v>3119</v>
      </c>
      <c r="E790" s="1" t="str">
        <v>iharding@cole.com</v>
      </c>
      <c r="F790" t="str">
        <f t="shared" si="158"/>
        <v>Valid</v>
      </c>
      <c r="G790" s="1" t="s">
        <v>27</v>
      </c>
      <c r="H790" s="1" t="str">
        <f t="shared" si="159"/>
        <v>Male</v>
      </c>
      <c r="I790" s="1" t="s">
        <v>96</v>
      </c>
      <c r="J790" t="str">
        <f t="shared" si="160"/>
        <v>INDIA</v>
      </c>
      <c r="L790" s="1">
        <f t="shared" si="161"/>
        <v>19</v>
      </c>
      <c r="M790" s="1" t="str">
        <f t="shared" si="162"/>
        <v>Student</v>
      </c>
      <c r="N790" s="9">
        <v>45433</v>
      </c>
      <c r="O790" s="1" t="s">
        <v>19</v>
      </c>
      <c r="P790" s="1" t="s">
        <v>20</v>
      </c>
      <c r="Q790" s="4">
        <v>24</v>
      </c>
      <c r="R790" s="13">
        <f t="shared" si="163"/>
        <v>24</v>
      </c>
      <c r="S790" s="6">
        <f t="shared" si="157"/>
        <v>0.24</v>
      </c>
      <c r="T790" s="1" t="s">
        <v>46</v>
      </c>
      <c r="U790" s="1">
        <f t="shared" si="164"/>
        <v>1</v>
      </c>
      <c r="V790" s="1">
        <f t="shared" si="165"/>
        <v>17.099999999999998</v>
      </c>
      <c r="W790" s="10" t="str">
        <f t="shared" si="166"/>
        <v>Low</v>
      </c>
      <c r="X790" s="1" t="s">
        <v>76</v>
      </c>
      <c r="Y790" s="1" t="str">
        <f t="shared" si="167"/>
        <v>Yes</v>
      </c>
      <c r="Z790" s="14">
        <v>3</v>
      </c>
      <c r="AA790" s="18">
        <f t="shared" si="168"/>
        <v>3</v>
      </c>
      <c r="AB790" s="18" t="str">
        <f t="shared" si="169"/>
        <v>No</v>
      </c>
      <c r="AC790" s="9" t="s">
        <v>3120</v>
      </c>
      <c r="AD790">
        <f>IF(AC790="",0,LEN(AC790)-LEN(SUBSTITUTE(AC790,",",""))+1)</f>
        <v>7</v>
      </c>
    </row>
    <row r="791" spans="1:30" ht="12.5" x14ac:dyDescent="0.25">
      <c r="A791" s="1" t="s">
        <v>3121</v>
      </c>
      <c r="B791" s="1" t="s">
        <v>3122</v>
      </c>
      <c r="C791" s="1" t="str">
        <v>James Bailey</v>
      </c>
      <c r="D791" s="1" t="s">
        <v>3123</v>
      </c>
      <c r="E791" s="1" t="str">
        <v>woodmichael@mosley-shaw.com</v>
      </c>
      <c r="F791" t="str">
        <f t="shared" si="158"/>
        <v>Valid</v>
      </c>
      <c r="G791" s="1" t="s">
        <v>17</v>
      </c>
      <c r="H791" s="1" t="str">
        <f t="shared" si="159"/>
        <v>Female</v>
      </c>
      <c r="I791" s="1" t="s">
        <v>44</v>
      </c>
      <c r="J791" t="str">
        <f t="shared" si="160"/>
        <v>CANADA</v>
      </c>
      <c r="K791" s="14">
        <v>0</v>
      </c>
      <c r="L791" s="1">
        <f t="shared" si="161"/>
        <v>19</v>
      </c>
      <c r="M791" s="1" t="str">
        <f t="shared" si="162"/>
        <v>Student</v>
      </c>
      <c r="N791" s="9">
        <v>44949</v>
      </c>
      <c r="O791" s="1" t="s">
        <v>45</v>
      </c>
      <c r="P791" s="1" t="s">
        <v>20</v>
      </c>
      <c r="Q791" s="4">
        <v>0.06</v>
      </c>
      <c r="R791" s="13">
        <f t="shared" si="163"/>
        <v>6</v>
      </c>
      <c r="S791" s="6">
        <f t="shared" si="157"/>
        <v>0.06</v>
      </c>
      <c r="T791" s="1">
        <v>1.5</v>
      </c>
      <c r="U791" s="1">
        <f t="shared" si="164"/>
        <v>1.5</v>
      </c>
      <c r="V791" s="1">
        <f t="shared" si="165"/>
        <v>4.6499999999999995</v>
      </c>
      <c r="W791" s="10" t="str">
        <f t="shared" si="166"/>
        <v>Low</v>
      </c>
      <c r="X791" s="1" t="s">
        <v>38</v>
      </c>
      <c r="Y791" s="1" t="str">
        <f t="shared" si="167"/>
        <v>No</v>
      </c>
      <c r="Z791" s="14">
        <v>1</v>
      </c>
      <c r="AA791" s="18">
        <f t="shared" si="168"/>
        <v>1</v>
      </c>
      <c r="AB791" s="18" t="str">
        <f t="shared" si="169"/>
        <v>No</v>
      </c>
      <c r="AC791" s="9" t="s">
        <v>3124</v>
      </c>
      <c r="AD791">
        <f>IF(AC791="",0,LEN(AC791)-LEN(SUBSTITUTE(AC791,",",""))+1)</f>
        <v>4</v>
      </c>
    </row>
    <row r="792" spans="1:30" ht="12.5" x14ac:dyDescent="0.25">
      <c r="A792" s="1" t="s">
        <v>3125</v>
      </c>
      <c r="B792" s="1" t="s">
        <v>3126</v>
      </c>
      <c r="C792" s="1" t="str">
        <v>Guy Clayton</v>
      </c>
      <c r="D792" s="1" t="s">
        <v>3127</v>
      </c>
      <c r="E792" s="1" t="str">
        <v>daniel27@yahoo.com</v>
      </c>
      <c r="F792" t="str">
        <f t="shared" si="158"/>
        <v>Valid</v>
      </c>
      <c r="G792" s="1" t="s">
        <v>43</v>
      </c>
      <c r="H792" s="1" t="str">
        <f t="shared" si="159"/>
        <v>Female</v>
      </c>
      <c r="I792" s="1" t="s">
        <v>156</v>
      </c>
      <c r="J792" t="str">
        <f t="shared" si="160"/>
        <v>IN</v>
      </c>
      <c r="L792" s="1">
        <f t="shared" si="161"/>
        <v>19</v>
      </c>
      <c r="M792" s="1" t="str">
        <f t="shared" si="162"/>
        <v>Student</v>
      </c>
      <c r="N792" s="9">
        <v>45744</v>
      </c>
      <c r="O792" s="1" t="s">
        <v>58</v>
      </c>
      <c r="P792" s="1" t="s">
        <v>59</v>
      </c>
      <c r="Q792" s="4">
        <v>88</v>
      </c>
      <c r="R792" s="13">
        <f t="shared" si="163"/>
        <v>88</v>
      </c>
      <c r="S792" s="6">
        <f t="shared" si="157"/>
        <v>0.88</v>
      </c>
      <c r="T792" s="1" t="s">
        <v>21</v>
      </c>
      <c r="U792" s="1">
        <f t="shared" si="164"/>
        <v>1.5</v>
      </c>
      <c r="V792" s="1">
        <f t="shared" si="165"/>
        <v>62.05</v>
      </c>
      <c r="W792" s="10" t="str">
        <f t="shared" si="166"/>
        <v>Medium</v>
      </c>
      <c r="X792" s="1" t="s">
        <v>32</v>
      </c>
      <c r="Y792" s="1" t="str">
        <f t="shared" si="167"/>
        <v>Yes</v>
      </c>
      <c r="Z792" s="14">
        <v>3</v>
      </c>
      <c r="AA792" s="18">
        <f t="shared" si="168"/>
        <v>3</v>
      </c>
      <c r="AB792" s="18" t="str">
        <f t="shared" si="169"/>
        <v>No</v>
      </c>
      <c r="AC792" s="9" t="s">
        <v>3128</v>
      </c>
      <c r="AD792">
        <f>IF(AC792="",0,LEN(AC792)-LEN(SUBSTITUTE(AC792,",",""))+1)</f>
        <v>2</v>
      </c>
    </row>
    <row r="793" spans="1:30" ht="12.5" x14ac:dyDescent="0.25">
      <c r="A793" s="1" t="s">
        <v>3129</v>
      </c>
      <c r="B793" s="1" t="s">
        <v>3130</v>
      </c>
      <c r="C793" s="1" t="str">
        <v>Jane Bruce</v>
      </c>
      <c r="D793" s="1" t="s">
        <v>3131</v>
      </c>
      <c r="E793" s="1" t="str">
        <v>jacqueline11@gmail.com</v>
      </c>
      <c r="F793" t="str">
        <f t="shared" si="158"/>
        <v>Valid</v>
      </c>
      <c r="G793" s="1" t="s">
        <v>43</v>
      </c>
      <c r="H793" s="1" t="str">
        <f t="shared" si="159"/>
        <v>Female</v>
      </c>
      <c r="I793" s="1" t="s">
        <v>51</v>
      </c>
      <c r="J793" t="str">
        <f t="shared" si="160"/>
        <v>UK</v>
      </c>
      <c r="K793" s="14">
        <v>0</v>
      </c>
      <c r="L793" s="1">
        <f t="shared" si="161"/>
        <v>19</v>
      </c>
      <c r="M793" s="1" t="str">
        <f t="shared" si="162"/>
        <v>Student</v>
      </c>
      <c r="N793" s="2">
        <v>45118</v>
      </c>
      <c r="O793" s="1" t="s">
        <v>19</v>
      </c>
      <c r="P793" s="1" t="s">
        <v>20</v>
      </c>
      <c r="Q793" s="4">
        <v>79</v>
      </c>
      <c r="R793" s="13">
        <f t="shared" si="163"/>
        <v>79</v>
      </c>
      <c r="S793" s="6">
        <f t="shared" si="157"/>
        <v>0.79</v>
      </c>
      <c r="T793" s="1">
        <v>45</v>
      </c>
      <c r="U793" s="1">
        <f t="shared" si="164"/>
        <v>45</v>
      </c>
      <c r="V793" s="1">
        <f t="shared" si="165"/>
        <v>68.8</v>
      </c>
      <c r="W793" s="10" t="str">
        <f t="shared" si="166"/>
        <v>Medium</v>
      </c>
      <c r="X793" s="1" t="s">
        <v>22</v>
      </c>
      <c r="Y793" s="1" t="str">
        <f t="shared" si="167"/>
        <v>No</v>
      </c>
      <c r="Z793" s="14">
        <v>4</v>
      </c>
      <c r="AA793" s="18">
        <f t="shared" si="168"/>
        <v>4</v>
      </c>
      <c r="AB793" s="18" t="str">
        <f t="shared" si="169"/>
        <v>No</v>
      </c>
      <c r="AC793" s="9" t="s">
        <v>3132</v>
      </c>
      <c r="AD793">
        <f>IF(AC793="",0,LEN(AC793)-LEN(SUBSTITUTE(AC793,",",""))+1)</f>
        <v>3</v>
      </c>
    </row>
    <row r="794" spans="1:30" ht="12.5" x14ac:dyDescent="0.25">
      <c r="A794" s="1" t="s">
        <v>3133</v>
      </c>
      <c r="B794" s="1" t="s">
        <v>3134</v>
      </c>
      <c r="C794" s="1" t="str">
        <v>Jon Walton</v>
      </c>
      <c r="D794" s="1" t="s">
        <v>3135</v>
      </c>
      <c r="E794" s="1" t="str">
        <v>zgordon@contreras.com</v>
      </c>
      <c r="F794" t="str">
        <f t="shared" si="158"/>
        <v>Valid</v>
      </c>
      <c r="G794" s="1" t="s">
        <v>17</v>
      </c>
      <c r="H794" s="1" t="str">
        <f t="shared" si="159"/>
        <v>Female</v>
      </c>
      <c r="I794" s="1" t="s">
        <v>51</v>
      </c>
      <c r="J794" t="str">
        <f t="shared" si="160"/>
        <v>UK</v>
      </c>
      <c r="K794" s="14">
        <v>39</v>
      </c>
      <c r="L794" s="1">
        <f t="shared" si="161"/>
        <v>39</v>
      </c>
      <c r="M794" s="1" t="str">
        <f t="shared" si="162"/>
        <v>Mid Career</v>
      </c>
      <c r="N794" s="9">
        <v>44797</v>
      </c>
      <c r="O794" s="1" t="s">
        <v>52</v>
      </c>
      <c r="P794" s="1" t="s">
        <v>37</v>
      </c>
      <c r="Q794" s="4">
        <v>0.54</v>
      </c>
      <c r="R794" s="13">
        <f t="shared" si="163"/>
        <v>54</v>
      </c>
      <c r="S794" s="6">
        <f t="shared" si="157"/>
        <v>0.54</v>
      </c>
      <c r="T794" s="1">
        <v>1.5</v>
      </c>
      <c r="U794" s="1">
        <f t="shared" si="164"/>
        <v>1.5</v>
      </c>
      <c r="V794" s="1">
        <f t="shared" si="165"/>
        <v>38.25</v>
      </c>
      <c r="W794" s="10" t="str">
        <f t="shared" si="166"/>
        <v>Low</v>
      </c>
      <c r="X794" s="1" t="s">
        <v>38</v>
      </c>
      <c r="Y794" s="1" t="str">
        <f t="shared" si="167"/>
        <v>No</v>
      </c>
      <c r="Z794" s="14">
        <v>3</v>
      </c>
      <c r="AA794" s="18">
        <f t="shared" si="168"/>
        <v>3</v>
      </c>
      <c r="AB794" s="18" t="str">
        <f t="shared" si="169"/>
        <v>No</v>
      </c>
      <c r="AC794" s="9" t="s">
        <v>3136</v>
      </c>
      <c r="AD794">
        <f>IF(AC794="",0,LEN(AC794)-LEN(SUBSTITUTE(AC794,",",""))+1)</f>
        <v>3</v>
      </c>
    </row>
    <row r="795" spans="1:30" ht="12.5" x14ac:dyDescent="0.25">
      <c r="A795" s="1" t="s">
        <v>3137</v>
      </c>
      <c r="B795" s="1" t="s">
        <v>3138</v>
      </c>
      <c r="C795" s="1" t="str">
        <v>Scott Sampson</v>
      </c>
      <c r="D795" s="1" t="s">
        <v>3139</v>
      </c>
      <c r="E795" s="1" t="str">
        <v>pgutierrez@hotmail.com</v>
      </c>
      <c r="F795" t="str">
        <f t="shared" si="158"/>
        <v>Valid</v>
      </c>
      <c r="G795" s="1" t="s">
        <v>27</v>
      </c>
      <c r="H795" s="1" t="str">
        <f t="shared" si="159"/>
        <v>Male</v>
      </c>
      <c r="I795" s="1" t="s">
        <v>89</v>
      </c>
      <c r="J795" t="str">
        <f t="shared" si="160"/>
        <v>GERMANY</v>
      </c>
      <c r="K795" s="14">
        <v>0</v>
      </c>
      <c r="L795" s="1">
        <f t="shared" si="161"/>
        <v>19</v>
      </c>
      <c r="M795" s="1" t="str">
        <f t="shared" si="162"/>
        <v>Student</v>
      </c>
      <c r="N795" s="9">
        <v>45004</v>
      </c>
      <c r="O795" s="1" t="s">
        <v>90</v>
      </c>
      <c r="P795" s="1" t="s">
        <v>31</v>
      </c>
      <c r="Q795" s="4">
        <v>0.05</v>
      </c>
      <c r="R795" s="13">
        <f t="shared" si="163"/>
        <v>5</v>
      </c>
      <c r="S795" s="6">
        <f t="shared" si="157"/>
        <v>0.05</v>
      </c>
      <c r="T795" s="1" t="s">
        <v>21</v>
      </c>
      <c r="U795" s="1">
        <f t="shared" si="164"/>
        <v>1.5</v>
      </c>
      <c r="V795" s="1">
        <f t="shared" si="165"/>
        <v>3.95</v>
      </c>
      <c r="W795" s="10" t="str">
        <f t="shared" si="166"/>
        <v>Low</v>
      </c>
      <c r="X795" s="1" t="s">
        <v>22</v>
      </c>
      <c r="Y795" s="1" t="str">
        <f t="shared" si="167"/>
        <v>No</v>
      </c>
      <c r="Z795" s="14">
        <v>6</v>
      </c>
      <c r="AA795" s="18">
        <f t="shared" si="168"/>
        <v>6</v>
      </c>
      <c r="AB795" s="18" t="str">
        <f t="shared" si="169"/>
        <v>No</v>
      </c>
      <c r="AC795" s="9" t="s">
        <v>3140</v>
      </c>
      <c r="AD795">
        <f>IF(AC795="",0,LEN(AC795)-LEN(SUBSTITUTE(AC795,",",""))+1)</f>
        <v>8</v>
      </c>
    </row>
    <row r="796" spans="1:30" ht="12.5" x14ac:dyDescent="0.25">
      <c r="A796" s="1" t="s">
        <v>3141</v>
      </c>
      <c r="B796" s="1" t="s">
        <v>3142</v>
      </c>
      <c r="C796" s="1" t="str">
        <v>Drew Hobbs</v>
      </c>
      <c r="D796" s="1" t="s">
        <v>3143</v>
      </c>
      <c r="E796" s="1" t="str">
        <v>mary63@gmail.com</v>
      </c>
      <c r="F796" t="str">
        <f t="shared" si="158"/>
        <v>Valid</v>
      </c>
      <c r="G796" s="1" t="s">
        <v>119</v>
      </c>
      <c r="H796" s="1" t="str">
        <f t="shared" si="159"/>
        <v>Female</v>
      </c>
      <c r="I796" s="1" t="s">
        <v>44</v>
      </c>
      <c r="J796" t="str">
        <f t="shared" si="160"/>
        <v>CANADA</v>
      </c>
      <c r="L796" s="1">
        <f t="shared" si="161"/>
        <v>19</v>
      </c>
      <c r="M796" s="1" t="str">
        <f t="shared" si="162"/>
        <v>Student</v>
      </c>
      <c r="N796" s="3">
        <v>45272</v>
      </c>
      <c r="O796" s="1" t="s">
        <v>19</v>
      </c>
      <c r="P796" s="1" t="s">
        <v>20</v>
      </c>
      <c r="Q796" s="4">
        <v>0.62</v>
      </c>
      <c r="R796" s="13">
        <f t="shared" si="163"/>
        <v>62</v>
      </c>
      <c r="S796" s="6">
        <f t="shared" si="157"/>
        <v>0.62</v>
      </c>
      <c r="T796" s="1" t="s">
        <v>46</v>
      </c>
      <c r="U796" s="1">
        <f t="shared" si="164"/>
        <v>1</v>
      </c>
      <c r="V796" s="1">
        <f t="shared" si="165"/>
        <v>43.699999999999996</v>
      </c>
      <c r="W796" s="10" t="str">
        <f t="shared" si="166"/>
        <v>Medium</v>
      </c>
      <c r="X796" s="1" t="s">
        <v>32</v>
      </c>
      <c r="Y796" s="1" t="str">
        <f t="shared" si="167"/>
        <v>Yes</v>
      </c>
      <c r="AA796" s="18" t="str">
        <f t="shared" si="168"/>
        <v>Invalid</v>
      </c>
      <c r="AB796" s="18" t="str">
        <f t="shared" si="169"/>
        <v>High Performer</v>
      </c>
      <c r="AC796" s="9" t="s">
        <v>3144</v>
      </c>
      <c r="AD796">
        <f>IF(AC796="",0,LEN(AC796)-LEN(SUBSTITUTE(AC796,",",""))+1)</f>
        <v>5</v>
      </c>
    </row>
    <row r="797" spans="1:30" ht="12.5" x14ac:dyDescent="0.25">
      <c r="A797" s="1" t="s">
        <v>3145</v>
      </c>
      <c r="B797" s="1" t="s">
        <v>3146</v>
      </c>
      <c r="C797" s="1" t="str">
        <v>Sara Stone</v>
      </c>
      <c r="D797" s="1" t="s">
        <v>3147</v>
      </c>
      <c r="E797" s="1" t="str">
        <v>george96@gmail.com</v>
      </c>
      <c r="F797" t="str">
        <f t="shared" si="158"/>
        <v>Valid</v>
      </c>
      <c r="G797" s="1" t="s">
        <v>95</v>
      </c>
      <c r="H797" s="1" t="str">
        <f t="shared" si="159"/>
        <v>Male</v>
      </c>
      <c r="I797" s="1" t="s">
        <v>51</v>
      </c>
      <c r="J797" t="str">
        <f t="shared" si="160"/>
        <v>UK</v>
      </c>
      <c r="K797" s="14">
        <v>31</v>
      </c>
      <c r="L797" s="1">
        <f t="shared" si="161"/>
        <v>31</v>
      </c>
      <c r="M797" s="1" t="str">
        <f t="shared" si="162"/>
        <v>Mid Career</v>
      </c>
      <c r="N797" s="2">
        <v>45566</v>
      </c>
      <c r="O797" s="1" t="s">
        <v>75</v>
      </c>
      <c r="P797" s="1" t="s">
        <v>37</v>
      </c>
      <c r="Q797" s="4">
        <v>76</v>
      </c>
      <c r="R797" s="13">
        <f t="shared" si="163"/>
        <v>76</v>
      </c>
      <c r="S797" s="6">
        <f t="shared" si="157"/>
        <v>0.76</v>
      </c>
      <c r="T797" s="1">
        <v>45</v>
      </c>
      <c r="U797" s="1">
        <f t="shared" si="164"/>
        <v>45</v>
      </c>
      <c r="V797" s="1">
        <f t="shared" si="165"/>
        <v>66.699999999999989</v>
      </c>
      <c r="W797" s="10" t="str">
        <f t="shared" si="166"/>
        <v>Medium</v>
      </c>
      <c r="X797" s="1" t="s">
        <v>22</v>
      </c>
      <c r="Y797" s="1" t="str">
        <f t="shared" si="167"/>
        <v>No</v>
      </c>
      <c r="Z797" s="14">
        <v>4</v>
      </c>
      <c r="AA797" s="18">
        <f t="shared" si="168"/>
        <v>4</v>
      </c>
      <c r="AB797" s="18" t="str">
        <f t="shared" si="169"/>
        <v>No</v>
      </c>
      <c r="AC797" s="9" t="s">
        <v>3148</v>
      </c>
      <c r="AD797">
        <f>IF(AC797="",0,LEN(AC797)-LEN(SUBSTITUTE(AC797,",",""))+1)</f>
        <v>6</v>
      </c>
    </row>
    <row r="798" spans="1:30" ht="12.5" x14ac:dyDescent="0.25">
      <c r="A798" s="1" t="s">
        <v>3149</v>
      </c>
      <c r="B798" s="1" t="s">
        <v>3150</v>
      </c>
      <c r="C798" s="1" t="str">
        <v>Sandra Solis</v>
      </c>
      <c r="D798" s="1" t="s">
        <v>3151</v>
      </c>
      <c r="E798" s="1" t="str">
        <v>sheilamyers@hotmail.com</v>
      </c>
      <c r="F798" t="str">
        <f t="shared" si="158"/>
        <v>Valid</v>
      </c>
      <c r="G798" s="1" t="s">
        <v>43</v>
      </c>
      <c r="H798" s="1" t="str">
        <f t="shared" si="159"/>
        <v>Female</v>
      </c>
      <c r="I798" s="1" t="s">
        <v>18</v>
      </c>
      <c r="J798" t="str">
        <f t="shared" si="160"/>
        <v>US</v>
      </c>
      <c r="K798" s="14">
        <v>38</v>
      </c>
      <c r="L798" s="1">
        <f t="shared" si="161"/>
        <v>38</v>
      </c>
      <c r="M798" s="1" t="str">
        <f t="shared" si="162"/>
        <v>Mid Career</v>
      </c>
      <c r="N798" s="9">
        <v>45521</v>
      </c>
      <c r="O798" s="1" t="s">
        <v>52</v>
      </c>
      <c r="P798" s="1" t="s">
        <v>37</v>
      </c>
      <c r="Q798" s="4">
        <v>0.89</v>
      </c>
      <c r="R798" s="13">
        <f t="shared" si="163"/>
        <v>89</v>
      </c>
      <c r="S798" s="6">
        <f t="shared" si="157"/>
        <v>0.89</v>
      </c>
      <c r="T798" s="1" t="s">
        <v>21</v>
      </c>
      <c r="U798" s="1">
        <f t="shared" si="164"/>
        <v>1.5</v>
      </c>
      <c r="V798" s="1">
        <f t="shared" si="165"/>
        <v>62.75</v>
      </c>
      <c r="W798" s="10" t="str">
        <f t="shared" si="166"/>
        <v>Medium</v>
      </c>
      <c r="X798" s="1">
        <v>0</v>
      </c>
      <c r="Y798" s="1" t="str">
        <f t="shared" si="167"/>
        <v>No</v>
      </c>
      <c r="Z798" s="14">
        <v>4</v>
      </c>
      <c r="AA798" s="18">
        <f t="shared" si="168"/>
        <v>4</v>
      </c>
      <c r="AB798" s="18" t="str">
        <f t="shared" si="169"/>
        <v>No</v>
      </c>
      <c r="AC798" s="9" t="s">
        <v>751</v>
      </c>
      <c r="AD798">
        <f>IF(AC798="",0,LEN(AC798)-LEN(SUBSTITUTE(AC798,",",""))+1)</f>
        <v>1</v>
      </c>
    </row>
    <row r="799" spans="1:30" ht="12.5" x14ac:dyDescent="0.25">
      <c r="A799" s="1" t="s">
        <v>3152</v>
      </c>
      <c r="B799" s="1" t="s">
        <v>3153</v>
      </c>
      <c r="C799" s="1" t="str">
        <v>David Mckinney</v>
      </c>
      <c r="D799" s="1" t="s">
        <v>3154</v>
      </c>
      <c r="E799" s="1" t="str">
        <v>welchkristen@rangel.com</v>
      </c>
      <c r="F799" t="str">
        <f t="shared" si="158"/>
        <v>Valid</v>
      </c>
      <c r="G799" s="1" t="s">
        <v>27</v>
      </c>
      <c r="H799" s="1" t="str">
        <f t="shared" si="159"/>
        <v>Male</v>
      </c>
      <c r="I799" s="1" t="s">
        <v>44</v>
      </c>
      <c r="J799" t="str">
        <f t="shared" si="160"/>
        <v>CANADA</v>
      </c>
      <c r="K799" s="14">
        <v>24</v>
      </c>
      <c r="L799" s="1">
        <f t="shared" si="161"/>
        <v>24</v>
      </c>
      <c r="M799" s="1" t="str">
        <f t="shared" si="162"/>
        <v>Early Career</v>
      </c>
      <c r="N799" s="2">
        <v>44927</v>
      </c>
      <c r="O799" s="1" t="s">
        <v>69</v>
      </c>
      <c r="P799" s="1" t="s">
        <v>31</v>
      </c>
      <c r="Q799" s="4">
        <v>44</v>
      </c>
      <c r="R799" s="13">
        <f t="shared" si="163"/>
        <v>44</v>
      </c>
      <c r="S799" s="6">
        <f t="shared" si="157"/>
        <v>0.44</v>
      </c>
      <c r="T799" s="1">
        <v>2</v>
      </c>
      <c r="U799" s="1">
        <f t="shared" si="164"/>
        <v>2</v>
      </c>
      <c r="V799" s="1">
        <f t="shared" si="165"/>
        <v>31.4</v>
      </c>
      <c r="W799" s="10" t="str">
        <f t="shared" si="166"/>
        <v>Low</v>
      </c>
      <c r="X799" s="1">
        <v>0</v>
      </c>
      <c r="Y799" s="1" t="str">
        <f t="shared" si="167"/>
        <v>No</v>
      </c>
      <c r="Z799" s="14">
        <v>3</v>
      </c>
      <c r="AA799" s="18">
        <f t="shared" si="168"/>
        <v>3</v>
      </c>
      <c r="AB799" s="18" t="str">
        <f t="shared" si="169"/>
        <v>No</v>
      </c>
      <c r="AC799" s="9" t="s">
        <v>3155</v>
      </c>
      <c r="AD799">
        <f>IF(AC799="",0,LEN(AC799)-LEN(SUBSTITUTE(AC799,",",""))+1)</f>
        <v>3</v>
      </c>
    </row>
    <row r="800" spans="1:30" ht="12.5" x14ac:dyDescent="0.25">
      <c r="A800" s="1" t="s">
        <v>3156</v>
      </c>
      <c r="B800" s="1" t="s">
        <v>3157</v>
      </c>
      <c r="C800" s="1" t="str">
        <v>Randy Hernandez</v>
      </c>
      <c r="D800" s="1" t="s">
        <v>3158</v>
      </c>
      <c r="E800" s="1" t="str">
        <v>ujohnson@lucero.com</v>
      </c>
      <c r="F800" t="str">
        <f t="shared" si="158"/>
        <v>Valid</v>
      </c>
      <c r="G800" s="1" t="s">
        <v>95</v>
      </c>
      <c r="H800" s="1" t="str">
        <f t="shared" si="159"/>
        <v>Male</v>
      </c>
      <c r="I800" s="1" t="s">
        <v>136</v>
      </c>
      <c r="J800" t="str">
        <f t="shared" si="160"/>
        <v>UK</v>
      </c>
      <c r="K800" s="14">
        <v>39</v>
      </c>
      <c r="L800" s="1">
        <f t="shared" si="161"/>
        <v>39</v>
      </c>
      <c r="M800" s="1" t="str">
        <f t="shared" si="162"/>
        <v>Mid Career</v>
      </c>
      <c r="N800" s="9">
        <v>44974</v>
      </c>
      <c r="O800" s="1" t="s">
        <v>75</v>
      </c>
      <c r="P800" s="1" t="s">
        <v>37</v>
      </c>
      <c r="Q800" s="4">
        <v>72</v>
      </c>
      <c r="R800" s="13">
        <f t="shared" si="163"/>
        <v>72</v>
      </c>
      <c r="S800" s="6">
        <f t="shared" si="157"/>
        <v>0.72</v>
      </c>
      <c r="T800" s="1" t="s">
        <v>64</v>
      </c>
      <c r="U800" s="1">
        <f t="shared" si="164"/>
        <v>2</v>
      </c>
      <c r="V800" s="1">
        <f t="shared" si="165"/>
        <v>51</v>
      </c>
      <c r="W800" s="10" t="str">
        <f t="shared" si="166"/>
        <v>Medium</v>
      </c>
      <c r="X800" s="1" t="s">
        <v>22</v>
      </c>
      <c r="Y800" s="1" t="str">
        <f t="shared" si="167"/>
        <v>No</v>
      </c>
      <c r="Z800" s="14">
        <v>6</v>
      </c>
      <c r="AA800" s="18">
        <f t="shared" si="168"/>
        <v>6</v>
      </c>
      <c r="AB800" s="18" t="str">
        <f t="shared" si="169"/>
        <v>No</v>
      </c>
      <c r="AC800" s="9" t="s">
        <v>3159</v>
      </c>
      <c r="AD800">
        <f>IF(AC800="",0,LEN(AC800)-LEN(SUBSTITUTE(AC800,",",""))+1)</f>
        <v>2</v>
      </c>
    </row>
    <row r="801" spans="1:30" ht="12.5" x14ac:dyDescent="0.25">
      <c r="A801" s="1" t="s">
        <v>3160</v>
      </c>
      <c r="B801" s="1" t="s">
        <v>3161</v>
      </c>
      <c r="C801" s="1" t="str">
        <v>Joseph Sanchez</v>
      </c>
      <c r="D801" s="1" t="s">
        <v>3162</v>
      </c>
      <c r="E801" s="1" t="str">
        <v>donna41@gmail.com</v>
      </c>
      <c r="F801" t="str">
        <f t="shared" si="158"/>
        <v>Valid</v>
      </c>
      <c r="G801" s="1" t="s">
        <v>43</v>
      </c>
      <c r="H801" s="1" t="str">
        <f t="shared" si="159"/>
        <v>Female</v>
      </c>
      <c r="I801" s="1" t="s">
        <v>44</v>
      </c>
      <c r="J801" t="str">
        <f t="shared" si="160"/>
        <v>CANADA</v>
      </c>
      <c r="K801" s="14">
        <v>0</v>
      </c>
      <c r="L801" s="1">
        <f t="shared" si="161"/>
        <v>19</v>
      </c>
      <c r="M801" s="1" t="str">
        <f t="shared" si="162"/>
        <v>Student</v>
      </c>
      <c r="N801" s="9">
        <v>44947</v>
      </c>
      <c r="O801" s="1" t="s">
        <v>69</v>
      </c>
      <c r="P801" s="1" t="s">
        <v>31</v>
      </c>
      <c r="Q801" s="4">
        <v>0.08</v>
      </c>
      <c r="R801" s="13">
        <f t="shared" si="163"/>
        <v>8</v>
      </c>
      <c r="S801" s="6">
        <f t="shared" si="157"/>
        <v>0.08</v>
      </c>
      <c r="T801" s="1">
        <v>2</v>
      </c>
      <c r="U801" s="1">
        <f t="shared" si="164"/>
        <v>2</v>
      </c>
      <c r="V801" s="1">
        <f t="shared" si="165"/>
        <v>6.1999999999999993</v>
      </c>
      <c r="W801" s="10" t="str">
        <f t="shared" si="166"/>
        <v>Low</v>
      </c>
      <c r="X801" s="1" t="s">
        <v>38</v>
      </c>
      <c r="Y801" s="1" t="str">
        <f t="shared" si="167"/>
        <v>No</v>
      </c>
      <c r="Z801" s="14">
        <v>6</v>
      </c>
      <c r="AA801" s="18">
        <f t="shared" si="168"/>
        <v>6</v>
      </c>
      <c r="AB801" s="18" t="str">
        <f t="shared" si="169"/>
        <v>No</v>
      </c>
      <c r="AC801" s="9" t="s">
        <v>3163</v>
      </c>
      <c r="AD801">
        <f>IF(AC801="",0,LEN(AC801)-LEN(SUBSTITUTE(AC801,",",""))+1)</f>
        <v>3</v>
      </c>
    </row>
    <row r="802" spans="1:30" ht="12.5" x14ac:dyDescent="0.25">
      <c r="A802" s="1" t="s">
        <v>3164</v>
      </c>
      <c r="B802" s="1" t="s">
        <v>3165</v>
      </c>
      <c r="C802" s="1" t="str">
        <v>Ashley Ho</v>
      </c>
      <c r="D802" s="1" t="s">
        <v>3166</v>
      </c>
      <c r="E802" s="1" t="str">
        <v>thomasjose@davis.com</v>
      </c>
      <c r="F802" t="str">
        <f t="shared" si="158"/>
        <v>Valid</v>
      </c>
      <c r="G802" s="1" t="s">
        <v>27</v>
      </c>
      <c r="H802" s="1" t="str">
        <f t="shared" si="159"/>
        <v>Male</v>
      </c>
      <c r="I802" s="1" t="s">
        <v>96</v>
      </c>
      <c r="J802" t="str">
        <f t="shared" si="160"/>
        <v>INDIA</v>
      </c>
      <c r="K802" s="14">
        <v>0</v>
      </c>
      <c r="L802" s="1">
        <f t="shared" si="161"/>
        <v>19</v>
      </c>
      <c r="M802" s="1" t="str">
        <f t="shared" si="162"/>
        <v>Student</v>
      </c>
      <c r="N802" s="2">
        <v>45455</v>
      </c>
      <c r="O802" s="1" t="s">
        <v>36</v>
      </c>
      <c r="P802" s="1" t="s">
        <v>37</v>
      </c>
      <c r="Q802" s="4">
        <v>0</v>
      </c>
      <c r="R802" s="13">
        <f t="shared" si="163"/>
        <v>0</v>
      </c>
      <c r="S802" s="6">
        <f t="shared" si="157"/>
        <v>0</v>
      </c>
      <c r="T802" s="1">
        <v>2</v>
      </c>
      <c r="U802" s="1">
        <f t="shared" si="164"/>
        <v>2</v>
      </c>
      <c r="V802" s="1">
        <f t="shared" si="165"/>
        <v>0.6</v>
      </c>
      <c r="W802" s="10" t="str">
        <f t="shared" si="166"/>
        <v>Low</v>
      </c>
      <c r="X802" s="1" t="s">
        <v>76</v>
      </c>
      <c r="Y802" s="1" t="str">
        <f t="shared" si="167"/>
        <v>Yes</v>
      </c>
      <c r="Z802" s="14">
        <v>1</v>
      </c>
      <c r="AA802" s="18">
        <f t="shared" si="168"/>
        <v>1</v>
      </c>
      <c r="AB802" s="18" t="str">
        <f t="shared" si="169"/>
        <v>No</v>
      </c>
      <c r="AC802" s="9" t="s">
        <v>3167</v>
      </c>
      <c r="AD802">
        <f>IF(AC802="",0,LEN(AC802)-LEN(SUBSTITUTE(AC802,",",""))+1)</f>
        <v>7</v>
      </c>
    </row>
    <row r="803" spans="1:30" ht="12.5" x14ac:dyDescent="0.25">
      <c r="A803" s="1" t="s">
        <v>3168</v>
      </c>
      <c r="B803" s="1" t="s">
        <v>3169</v>
      </c>
      <c r="C803" s="1" t="str">
        <v>Benjamin Chung</v>
      </c>
      <c r="D803" s="1" t="s">
        <v>3170</v>
      </c>
      <c r="E803" s="1" t="str">
        <v>gracebrooks@schultz-hayes.com</v>
      </c>
      <c r="F803" t="str">
        <f t="shared" si="158"/>
        <v>Valid</v>
      </c>
      <c r="G803" s="1" t="s">
        <v>57</v>
      </c>
      <c r="H803" s="1" t="str">
        <f t="shared" si="159"/>
        <v>Female</v>
      </c>
      <c r="I803" s="1" t="s">
        <v>89</v>
      </c>
      <c r="J803" t="str">
        <f t="shared" si="160"/>
        <v>GERMANY</v>
      </c>
      <c r="K803" s="14">
        <v>0</v>
      </c>
      <c r="L803" s="1">
        <f t="shared" si="161"/>
        <v>19</v>
      </c>
      <c r="M803" s="1" t="str">
        <f t="shared" si="162"/>
        <v>Student</v>
      </c>
      <c r="N803" s="9">
        <v>44981</v>
      </c>
      <c r="O803" s="1" t="s">
        <v>36</v>
      </c>
      <c r="P803" s="1" t="s">
        <v>37</v>
      </c>
      <c r="Q803" s="4">
        <v>0.1</v>
      </c>
      <c r="R803" s="13">
        <f t="shared" si="163"/>
        <v>10</v>
      </c>
      <c r="S803" s="6">
        <f t="shared" si="157"/>
        <v>0.1</v>
      </c>
      <c r="T803" s="1" t="s">
        <v>64</v>
      </c>
      <c r="U803" s="1">
        <f t="shared" si="164"/>
        <v>2</v>
      </c>
      <c r="V803" s="1">
        <f t="shared" si="165"/>
        <v>7.6</v>
      </c>
      <c r="W803" s="10" t="str">
        <f t="shared" si="166"/>
        <v>Low</v>
      </c>
      <c r="X803" s="1" t="s">
        <v>38</v>
      </c>
      <c r="Y803" s="1" t="str">
        <f t="shared" si="167"/>
        <v>No</v>
      </c>
      <c r="Z803" s="14">
        <v>3</v>
      </c>
      <c r="AA803" s="18">
        <f t="shared" si="168"/>
        <v>3</v>
      </c>
      <c r="AB803" s="18" t="str">
        <f t="shared" si="169"/>
        <v>No</v>
      </c>
      <c r="AC803" s="9" t="s">
        <v>3171</v>
      </c>
      <c r="AD803">
        <f>IF(AC803="",0,LEN(AC803)-LEN(SUBSTITUTE(AC803,",",""))+1)</f>
        <v>4</v>
      </c>
    </row>
    <row r="804" spans="1:30" ht="12.5" x14ac:dyDescent="0.25">
      <c r="A804" s="1" t="s">
        <v>3172</v>
      </c>
      <c r="B804" s="1" t="s">
        <v>3173</v>
      </c>
      <c r="C804" s="1" t="str">
        <v>Lynn Bond</v>
      </c>
      <c r="D804" s="1" t="s">
        <v>3174</v>
      </c>
      <c r="E804" s="1" t="str">
        <v>victoria79@payne.com</v>
      </c>
      <c r="F804" t="str">
        <f t="shared" si="158"/>
        <v>Valid</v>
      </c>
      <c r="G804" s="1" t="s">
        <v>109</v>
      </c>
      <c r="H804" s="1" t="str">
        <f t="shared" si="159"/>
        <v>Male</v>
      </c>
      <c r="I804" s="1" t="s">
        <v>89</v>
      </c>
      <c r="J804" t="str">
        <f t="shared" si="160"/>
        <v>GERMANY</v>
      </c>
      <c r="K804" s="14">
        <v>26</v>
      </c>
      <c r="L804" s="1">
        <f t="shared" si="161"/>
        <v>26</v>
      </c>
      <c r="M804" s="1" t="str">
        <f t="shared" si="162"/>
        <v>Early Career</v>
      </c>
      <c r="N804" s="2">
        <v>45231</v>
      </c>
      <c r="O804" s="1" t="s">
        <v>158</v>
      </c>
      <c r="P804" s="1" t="s">
        <v>59</v>
      </c>
      <c r="Q804" s="4">
        <v>0.22</v>
      </c>
      <c r="R804" s="13">
        <f t="shared" si="163"/>
        <v>22</v>
      </c>
      <c r="S804" s="6">
        <f t="shared" si="157"/>
        <v>0.22</v>
      </c>
      <c r="T804" s="1">
        <v>2</v>
      </c>
      <c r="U804" s="1">
        <f t="shared" si="164"/>
        <v>2</v>
      </c>
      <c r="V804" s="1">
        <f t="shared" si="165"/>
        <v>15.999999999999998</v>
      </c>
      <c r="W804" s="10" t="str">
        <f t="shared" si="166"/>
        <v>Low</v>
      </c>
      <c r="X804" s="1" t="s">
        <v>22</v>
      </c>
      <c r="Y804" s="1" t="str">
        <f t="shared" si="167"/>
        <v>No</v>
      </c>
      <c r="Z804" s="14">
        <v>5</v>
      </c>
      <c r="AA804" s="18">
        <f t="shared" si="168"/>
        <v>5</v>
      </c>
      <c r="AB804" s="18" t="str">
        <f t="shared" si="169"/>
        <v>No</v>
      </c>
      <c r="AC804" s="9" t="s">
        <v>3175</v>
      </c>
      <c r="AD804">
        <f>IF(AC804="",0,LEN(AC804)-LEN(SUBSTITUTE(AC804,",",""))+1)</f>
        <v>5</v>
      </c>
    </row>
    <row r="805" spans="1:30" ht="12.5" x14ac:dyDescent="0.25">
      <c r="A805" s="1" t="s">
        <v>3176</v>
      </c>
      <c r="B805" s="1" t="s">
        <v>3177</v>
      </c>
      <c r="C805" s="1" t="str">
        <v>Paige Robinson</v>
      </c>
      <c r="D805" s="1" t="s">
        <v>3178</v>
      </c>
      <c r="E805" s="1" t="str">
        <v>roachanthony@gmail.com</v>
      </c>
      <c r="F805" t="str">
        <f t="shared" si="158"/>
        <v>Valid</v>
      </c>
      <c r="G805" s="1" t="s">
        <v>88</v>
      </c>
      <c r="H805" s="1" t="str">
        <f t="shared" si="159"/>
        <v>Male</v>
      </c>
      <c r="I805" s="1" t="s">
        <v>74</v>
      </c>
      <c r="J805" t="str">
        <f t="shared" si="160"/>
        <v>USA</v>
      </c>
      <c r="K805" s="14">
        <v>0</v>
      </c>
      <c r="L805" s="1">
        <f t="shared" si="161"/>
        <v>19</v>
      </c>
      <c r="M805" s="1" t="str">
        <f t="shared" si="162"/>
        <v>Student</v>
      </c>
      <c r="N805" s="9">
        <v>44957</v>
      </c>
      <c r="O805" s="1" t="s">
        <v>52</v>
      </c>
      <c r="P805" s="1" t="s">
        <v>37</v>
      </c>
      <c r="Q805" s="4">
        <v>0.8</v>
      </c>
      <c r="R805" s="13">
        <f t="shared" si="163"/>
        <v>80</v>
      </c>
      <c r="S805" s="6">
        <f t="shared" si="157"/>
        <v>0.8</v>
      </c>
      <c r="T805" s="1">
        <v>2</v>
      </c>
      <c r="U805" s="1">
        <f t="shared" si="164"/>
        <v>2</v>
      </c>
      <c r="V805" s="1">
        <f t="shared" si="165"/>
        <v>56.6</v>
      </c>
      <c r="W805" s="10" t="str">
        <f t="shared" si="166"/>
        <v>Medium</v>
      </c>
      <c r="X805" s="1" t="s">
        <v>32</v>
      </c>
      <c r="Y805" s="1" t="str">
        <f t="shared" si="167"/>
        <v>Yes</v>
      </c>
      <c r="Z805" s="14">
        <v>4</v>
      </c>
      <c r="AA805" s="18">
        <f t="shared" si="168"/>
        <v>4</v>
      </c>
      <c r="AB805" s="18" t="str">
        <f t="shared" si="169"/>
        <v>High Performer</v>
      </c>
      <c r="AC805" s="9" t="s">
        <v>3179</v>
      </c>
      <c r="AD805">
        <f>IF(AC805="",0,LEN(AC805)-LEN(SUBSTITUTE(AC805,",",""))+1)</f>
        <v>2</v>
      </c>
    </row>
    <row r="806" spans="1:30" ht="12.5" x14ac:dyDescent="0.25">
      <c r="A806" s="1" t="s">
        <v>3180</v>
      </c>
      <c r="B806" s="1" t="s">
        <v>3181</v>
      </c>
      <c r="C806" s="1" t="str">
        <v>Donald Gonzalez</v>
      </c>
      <c r="D806" s="1" t="s">
        <v>3182</v>
      </c>
      <c r="E806" s="1" t="str">
        <v>jean47@lamb.com</v>
      </c>
      <c r="F806" t="str">
        <f t="shared" si="158"/>
        <v>Valid</v>
      </c>
      <c r="G806" s="1" t="s">
        <v>95</v>
      </c>
      <c r="H806" s="1" t="str">
        <f t="shared" si="159"/>
        <v>Male</v>
      </c>
      <c r="I806" s="1" t="s">
        <v>18</v>
      </c>
      <c r="J806" t="str">
        <f t="shared" si="160"/>
        <v>US</v>
      </c>
      <c r="K806" s="14">
        <v>20</v>
      </c>
      <c r="L806" s="1">
        <f t="shared" si="161"/>
        <v>20</v>
      </c>
      <c r="M806" s="1" t="str">
        <f t="shared" si="162"/>
        <v>Student</v>
      </c>
      <c r="N806" s="9">
        <v>44999</v>
      </c>
      <c r="O806" s="1" t="s">
        <v>30</v>
      </c>
      <c r="P806" s="1" t="s">
        <v>31</v>
      </c>
      <c r="Q806" s="4">
        <v>0.59</v>
      </c>
      <c r="R806" s="13">
        <f t="shared" si="163"/>
        <v>59</v>
      </c>
      <c r="S806" s="6">
        <f t="shared" si="157"/>
        <v>0.59</v>
      </c>
      <c r="T806" s="1" t="s">
        <v>64</v>
      </c>
      <c r="U806" s="1">
        <f t="shared" si="164"/>
        <v>2</v>
      </c>
      <c r="V806" s="1">
        <f t="shared" si="165"/>
        <v>41.9</v>
      </c>
      <c r="W806" s="10" t="str">
        <f t="shared" si="166"/>
        <v>Medium</v>
      </c>
      <c r="X806" s="1" t="s">
        <v>32</v>
      </c>
      <c r="Y806" s="1" t="str">
        <f t="shared" si="167"/>
        <v>Yes</v>
      </c>
      <c r="Z806" s="14">
        <v>4</v>
      </c>
      <c r="AA806" s="18">
        <f t="shared" si="168"/>
        <v>4</v>
      </c>
      <c r="AB806" s="18" t="str">
        <f t="shared" si="169"/>
        <v>High Performer</v>
      </c>
      <c r="AC806" s="9" t="s">
        <v>3183</v>
      </c>
      <c r="AD806">
        <f>IF(AC806="",0,LEN(AC806)-LEN(SUBSTITUTE(AC806,",",""))+1)</f>
        <v>6</v>
      </c>
    </row>
    <row r="807" spans="1:30" ht="12.5" x14ac:dyDescent="0.25">
      <c r="A807" s="1" t="s">
        <v>3184</v>
      </c>
      <c r="B807" s="1" t="s">
        <v>3185</v>
      </c>
      <c r="C807" s="1" t="str">
        <v>Diana Long</v>
      </c>
      <c r="D807" s="1" t="s">
        <v>3186</v>
      </c>
      <c r="E807" s="1" t="str">
        <v>lauramckay@yahoo.com</v>
      </c>
      <c r="F807" t="str">
        <f t="shared" si="158"/>
        <v>Valid</v>
      </c>
      <c r="G807" s="1" t="s">
        <v>109</v>
      </c>
      <c r="H807" s="1" t="str">
        <f t="shared" si="159"/>
        <v>Male</v>
      </c>
      <c r="I807" s="1" t="s">
        <v>18</v>
      </c>
      <c r="J807" t="str">
        <f t="shared" si="160"/>
        <v>US</v>
      </c>
      <c r="K807" s="14">
        <v>39</v>
      </c>
      <c r="L807" s="1">
        <f t="shared" si="161"/>
        <v>39</v>
      </c>
      <c r="M807" s="1" t="str">
        <f t="shared" si="162"/>
        <v>Mid Career</v>
      </c>
      <c r="N807" s="9">
        <v>45046</v>
      </c>
      <c r="O807" s="1" t="s">
        <v>146</v>
      </c>
      <c r="P807" s="1" t="s">
        <v>147</v>
      </c>
      <c r="Q807" s="4">
        <v>0.72</v>
      </c>
      <c r="R807" s="13">
        <f t="shared" si="163"/>
        <v>72</v>
      </c>
      <c r="S807" s="6">
        <f t="shared" si="157"/>
        <v>0.72</v>
      </c>
      <c r="T807" s="1" t="s">
        <v>21</v>
      </c>
      <c r="U807" s="1">
        <f t="shared" si="164"/>
        <v>1.5</v>
      </c>
      <c r="V807" s="1">
        <f t="shared" si="165"/>
        <v>50.85</v>
      </c>
      <c r="W807" s="10" t="str">
        <f t="shared" si="166"/>
        <v>Medium</v>
      </c>
      <c r="X807" s="1">
        <v>1</v>
      </c>
      <c r="Y807" s="1" t="str">
        <f t="shared" si="167"/>
        <v>Yes</v>
      </c>
      <c r="Z807" s="14">
        <v>3</v>
      </c>
      <c r="AA807" s="18">
        <f t="shared" si="168"/>
        <v>3</v>
      </c>
      <c r="AB807" s="18" t="str">
        <f t="shared" si="169"/>
        <v>No</v>
      </c>
      <c r="AC807" s="9" t="s">
        <v>3187</v>
      </c>
      <c r="AD807">
        <f>IF(AC807="",0,LEN(AC807)-LEN(SUBSTITUTE(AC807,",",""))+1)</f>
        <v>6</v>
      </c>
    </row>
    <row r="808" spans="1:30" ht="12.5" x14ac:dyDescent="0.25">
      <c r="A808" s="1" t="s">
        <v>3188</v>
      </c>
      <c r="B808" s="1" t="s">
        <v>3189</v>
      </c>
      <c r="C808" s="1" t="str">
        <v>Rose Dean</v>
      </c>
      <c r="D808" s="1" t="s">
        <v>3190</v>
      </c>
      <c r="E808" s="1" t="str">
        <v>wgonzalez@yahoo.com</v>
      </c>
      <c r="F808" t="str">
        <f t="shared" si="158"/>
        <v>Valid</v>
      </c>
      <c r="G808" s="1" t="s">
        <v>27</v>
      </c>
      <c r="H808" s="1" t="str">
        <f t="shared" si="159"/>
        <v>Male</v>
      </c>
      <c r="I808" s="1" t="s">
        <v>136</v>
      </c>
      <c r="J808" t="str">
        <f t="shared" si="160"/>
        <v>UK</v>
      </c>
      <c r="L808" s="1">
        <f t="shared" si="161"/>
        <v>19</v>
      </c>
      <c r="M808" s="1" t="str">
        <f t="shared" si="162"/>
        <v>Student</v>
      </c>
      <c r="N808" s="2">
        <v>45537</v>
      </c>
      <c r="O808" s="1" t="s">
        <v>158</v>
      </c>
      <c r="P808" s="1" t="s">
        <v>59</v>
      </c>
      <c r="Q808" s="4">
        <v>0.83</v>
      </c>
      <c r="R808" s="13">
        <f t="shared" si="163"/>
        <v>83</v>
      </c>
      <c r="S808" s="6">
        <f t="shared" si="157"/>
        <v>0.83</v>
      </c>
      <c r="T808" s="1">
        <v>1.5</v>
      </c>
      <c r="U808" s="1">
        <f t="shared" si="164"/>
        <v>1.5</v>
      </c>
      <c r="V808" s="1">
        <f t="shared" si="165"/>
        <v>58.55</v>
      </c>
      <c r="W808" s="10" t="str">
        <f t="shared" si="166"/>
        <v>Medium</v>
      </c>
      <c r="X808" s="1" t="s">
        <v>76</v>
      </c>
      <c r="Y808" s="1" t="str">
        <f t="shared" si="167"/>
        <v>Yes</v>
      </c>
      <c r="Z808" s="14">
        <v>1</v>
      </c>
      <c r="AA808" s="18">
        <f t="shared" si="168"/>
        <v>1</v>
      </c>
      <c r="AB808" s="18" t="str">
        <f t="shared" si="169"/>
        <v>No</v>
      </c>
      <c r="AC808" s="9" t="s">
        <v>2185</v>
      </c>
      <c r="AD808">
        <f>IF(AC808="",0,LEN(AC808)-LEN(SUBSTITUTE(AC808,",",""))+1)</f>
        <v>2</v>
      </c>
    </row>
    <row r="809" spans="1:30" ht="12.5" x14ac:dyDescent="0.25">
      <c r="A809" s="1" t="s">
        <v>3191</v>
      </c>
      <c r="B809" s="1" t="s">
        <v>3192</v>
      </c>
      <c r="C809" s="1" t="str">
        <v>Tina King</v>
      </c>
      <c r="D809" s="1" t="s">
        <v>3193</v>
      </c>
      <c r="E809" s="1" t="str">
        <v>cassandra85@yahoo.com</v>
      </c>
      <c r="F809" t="str">
        <f t="shared" si="158"/>
        <v>Valid</v>
      </c>
      <c r="G809" s="1" t="s">
        <v>43</v>
      </c>
      <c r="H809" s="1" t="str">
        <f t="shared" si="159"/>
        <v>Female</v>
      </c>
      <c r="I809" s="1" t="s">
        <v>51</v>
      </c>
      <c r="J809" t="str">
        <f t="shared" si="160"/>
        <v>UK</v>
      </c>
      <c r="K809" s="14">
        <v>0</v>
      </c>
      <c r="L809" s="1">
        <f t="shared" si="161"/>
        <v>19</v>
      </c>
      <c r="M809" s="1" t="str">
        <f t="shared" si="162"/>
        <v>Student</v>
      </c>
      <c r="N809" s="9">
        <v>45640</v>
      </c>
      <c r="O809" s="1" t="s">
        <v>30</v>
      </c>
      <c r="P809" s="1" t="s">
        <v>31</v>
      </c>
      <c r="Q809" s="4">
        <v>0.18</v>
      </c>
      <c r="R809" s="13">
        <f t="shared" si="163"/>
        <v>18</v>
      </c>
      <c r="S809" s="6">
        <f t="shared" si="157"/>
        <v>0.18</v>
      </c>
      <c r="T809" s="1" t="s">
        <v>46</v>
      </c>
      <c r="U809" s="1">
        <f t="shared" si="164"/>
        <v>1</v>
      </c>
      <c r="V809" s="1">
        <f t="shared" si="165"/>
        <v>12.9</v>
      </c>
      <c r="W809" s="10" t="str">
        <f t="shared" si="166"/>
        <v>Low</v>
      </c>
      <c r="X809" s="1" t="s">
        <v>76</v>
      </c>
      <c r="Y809" s="1" t="str">
        <f t="shared" si="167"/>
        <v>Yes</v>
      </c>
      <c r="Z809" s="14">
        <v>5</v>
      </c>
      <c r="AA809" s="18">
        <f t="shared" si="168"/>
        <v>5</v>
      </c>
      <c r="AB809" s="18" t="str">
        <f t="shared" si="169"/>
        <v>High Performer</v>
      </c>
      <c r="AC809" s="9" t="s">
        <v>3194</v>
      </c>
      <c r="AD809">
        <f>IF(AC809="",0,LEN(AC809)-LEN(SUBSTITUTE(AC809,",",""))+1)</f>
        <v>1</v>
      </c>
    </row>
    <row r="810" spans="1:30" ht="12.5" x14ac:dyDescent="0.25">
      <c r="A810" s="1" t="s">
        <v>3195</v>
      </c>
      <c r="B810" s="1" t="s">
        <v>3196</v>
      </c>
      <c r="C810" s="1" t="str">
        <v>Cody Sanchez</v>
      </c>
      <c r="D810" s="1" t="s">
        <v>3197</v>
      </c>
      <c r="E810" s="1" t="str">
        <v>nathan51@flores.com</v>
      </c>
      <c r="F810" t="str">
        <f t="shared" si="158"/>
        <v>Valid</v>
      </c>
      <c r="G810" s="1" t="s">
        <v>43</v>
      </c>
      <c r="H810" s="1" t="str">
        <f t="shared" si="159"/>
        <v>Female</v>
      </c>
      <c r="I810" s="1" t="s">
        <v>89</v>
      </c>
      <c r="J810" t="str">
        <f t="shared" si="160"/>
        <v>GERMANY</v>
      </c>
      <c r="L810" s="1">
        <f t="shared" si="161"/>
        <v>19</v>
      </c>
      <c r="M810" s="1" t="str">
        <f t="shared" si="162"/>
        <v>Student</v>
      </c>
      <c r="N810" s="9">
        <v>44704</v>
      </c>
      <c r="O810" s="1" t="s">
        <v>114</v>
      </c>
      <c r="P810" s="1" t="s">
        <v>59</v>
      </c>
      <c r="Q810" s="4">
        <v>0.19</v>
      </c>
      <c r="R810" s="13">
        <f t="shared" si="163"/>
        <v>19</v>
      </c>
      <c r="S810" s="6">
        <f t="shared" si="157"/>
        <v>0.19</v>
      </c>
      <c r="T810" s="1">
        <v>1.5</v>
      </c>
      <c r="U810" s="1">
        <f t="shared" si="164"/>
        <v>1.5</v>
      </c>
      <c r="V810" s="1">
        <f t="shared" si="165"/>
        <v>13.749999999999998</v>
      </c>
      <c r="W810" s="10" t="str">
        <f t="shared" si="166"/>
        <v>Low</v>
      </c>
      <c r="X810" s="1">
        <v>1</v>
      </c>
      <c r="Y810" s="1" t="str">
        <f t="shared" si="167"/>
        <v>Yes</v>
      </c>
      <c r="Z810" s="14">
        <v>5</v>
      </c>
      <c r="AA810" s="18">
        <f t="shared" si="168"/>
        <v>5</v>
      </c>
      <c r="AB810" s="18" t="str">
        <f t="shared" si="169"/>
        <v>High Performer</v>
      </c>
      <c r="AC810" s="9" t="s">
        <v>3198</v>
      </c>
      <c r="AD810">
        <f>IF(AC810="",0,LEN(AC810)-LEN(SUBSTITUTE(AC810,",",""))+1)</f>
        <v>4</v>
      </c>
    </row>
    <row r="811" spans="1:30" ht="12.5" x14ac:dyDescent="0.25">
      <c r="A811" s="1" t="s">
        <v>3199</v>
      </c>
      <c r="B811" s="1" t="s">
        <v>3200</v>
      </c>
      <c r="C811" s="1" t="str">
        <v>Kristina Cruz</v>
      </c>
      <c r="D811" s="1" t="s">
        <v>3201</v>
      </c>
      <c r="E811" s="1" t="str">
        <v>dakotaramirez@shah.org</v>
      </c>
      <c r="F811" t="str">
        <f t="shared" si="158"/>
        <v>Valid</v>
      </c>
      <c r="G811" s="1" t="s">
        <v>27</v>
      </c>
      <c r="H811" s="1" t="str">
        <f t="shared" si="159"/>
        <v>Male</v>
      </c>
      <c r="I811" s="1" t="s">
        <v>136</v>
      </c>
      <c r="J811" t="str">
        <f t="shared" si="160"/>
        <v>UK</v>
      </c>
      <c r="K811" s="14">
        <v>0</v>
      </c>
      <c r="L811" s="1">
        <f t="shared" si="161"/>
        <v>19</v>
      </c>
      <c r="M811" s="1" t="str">
        <f t="shared" si="162"/>
        <v>Student</v>
      </c>
      <c r="N811" s="2">
        <v>45049</v>
      </c>
      <c r="O811" s="1" t="s">
        <v>58</v>
      </c>
      <c r="P811" s="1" t="s">
        <v>59</v>
      </c>
      <c r="Q811" s="4">
        <v>0.61</v>
      </c>
      <c r="R811" s="13">
        <f t="shared" si="163"/>
        <v>61</v>
      </c>
      <c r="S811" s="6">
        <f t="shared" si="157"/>
        <v>0.61</v>
      </c>
      <c r="T811" s="1">
        <v>1.5</v>
      </c>
      <c r="U811" s="1">
        <f t="shared" si="164"/>
        <v>1.5</v>
      </c>
      <c r="V811" s="1">
        <f t="shared" si="165"/>
        <v>43.15</v>
      </c>
      <c r="W811" s="10" t="str">
        <f t="shared" si="166"/>
        <v>Medium</v>
      </c>
      <c r="X811" s="1" t="s">
        <v>38</v>
      </c>
      <c r="Y811" s="1" t="str">
        <f t="shared" si="167"/>
        <v>No</v>
      </c>
      <c r="Z811" s="14">
        <v>2</v>
      </c>
      <c r="AA811" s="18">
        <f t="shared" si="168"/>
        <v>2</v>
      </c>
      <c r="AB811" s="18" t="str">
        <f t="shared" si="169"/>
        <v>No</v>
      </c>
      <c r="AC811" s="9">
        <v>45049</v>
      </c>
      <c r="AD811">
        <f>IF(AC811="",0,LEN(AC811)-LEN(SUBSTITUTE(AC811,",",""))+1)</f>
        <v>1</v>
      </c>
    </row>
    <row r="812" spans="1:30" ht="12.5" x14ac:dyDescent="0.25">
      <c r="A812" s="1" t="s">
        <v>3202</v>
      </c>
      <c r="B812" s="1" t="s">
        <v>3203</v>
      </c>
      <c r="C812" s="1" t="str">
        <v>Francisco Gonzalez</v>
      </c>
      <c r="D812" s="1" t="s">
        <v>3204</v>
      </c>
      <c r="E812" s="1" t="str">
        <v>rwilliams@yahoo.com</v>
      </c>
      <c r="F812" t="str">
        <f t="shared" si="158"/>
        <v>Valid</v>
      </c>
      <c r="G812" s="1" t="s">
        <v>43</v>
      </c>
      <c r="H812" s="1" t="str">
        <f t="shared" si="159"/>
        <v>Female</v>
      </c>
      <c r="I812" s="1" t="s">
        <v>136</v>
      </c>
      <c r="J812" t="str">
        <f t="shared" si="160"/>
        <v>UK</v>
      </c>
      <c r="L812" s="1">
        <f t="shared" si="161"/>
        <v>19</v>
      </c>
      <c r="M812" s="1" t="str">
        <f t="shared" si="162"/>
        <v>Student</v>
      </c>
      <c r="N812" s="2">
        <v>45748</v>
      </c>
      <c r="O812" s="1" t="s">
        <v>146</v>
      </c>
      <c r="P812" s="1" t="s">
        <v>147</v>
      </c>
      <c r="Q812" s="4">
        <v>0.95</v>
      </c>
      <c r="R812" s="13">
        <f t="shared" si="163"/>
        <v>95</v>
      </c>
      <c r="S812" s="6">
        <f t="shared" si="157"/>
        <v>0.95</v>
      </c>
      <c r="T812" s="1" t="s">
        <v>21</v>
      </c>
      <c r="U812" s="1">
        <f t="shared" si="164"/>
        <v>1.5</v>
      </c>
      <c r="V812" s="1">
        <f t="shared" si="165"/>
        <v>66.95</v>
      </c>
      <c r="W812" s="10" t="str">
        <f t="shared" si="166"/>
        <v>Medium</v>
      </c>
      <c r="X812" s="1" t="s">
        <v>76</v>
      </c>
      <c r="Y812" s="1" t="str">
        <f t="shared" si="167"/>
        <v>Yes</v>
      </c>
      <c r="AA812" s="18" t="str">
        <f t="shared" si="168"/>
        <v>Invalid</v>
      </c>
      <c r="AB812" s="18" t="str">
        <f t="shared" si="169"/>
        <v>High Performer</v>
      </c>
      <c r="AC812" s="9">
        <v>45748</v>
      </c>
      <c r="AD812">
        <f>IF(AC812="",0,LEN(AC812)-LEN(SUBSTITUTE(AC812,",",""))+1)</f>
        <v>1</v>
      </c>
    </row>
    <row r="813" spans="1:30" ht="12.5" x14ac:dyDescent="0.25">
      <c r="A813" s="1" t="s">
        <v>3205</v>
      </c>
      <c r="B813" s="1" t="s">
        <v>3206</v>
      </c>
      <c r="C813" s="1" t="str">
        <v>James Ray</v>
      </c>
      <c r="D813" s="1" t="s">
        <v>3207</v>
      </c>
      <c r="E813" s="1" t="str">
        <v>schneidermelissa@gmail.com</v>
      </c>
      <c r="F813" t="str">
        <f t="shared" si="158"/>
        <v>Valid</v>
      </c>
      <c r="G813" s="1" t="s">
        <v>88</v>
      </c>
      <c r="H813" s="1" t="str">
        <f t="shared" si="159"/>
        <v>Male</v>
      </c>
      <c r="I813" s="1" t="s">
        <v>51</v>
      </c>
      <c r="J813" t="str">
        <f t="shared" si="160"/>
        <v>UK</v>
      </c>
      <c r="L813" s="1">
        <f t="shared" si="161"/>
        <v>19</v>
      </c>
      <c r="M813" s="1" t="str">
        <f t="shared" si="162"/>
        <v>Student</v>
      </c>
      <c r="N813" s="2">
        <v>44814</v>
      </c>
      <c r="O813" s="1" t="s">
        <v>69</v>
      </c>
      <c r="P813" s="1" t="s">
        <v>31</v>
      </c>
      <c r="Q813" s="4">
        <v>0.49</v>
      </c>
      <c r="R813" s="13">
        <f t="shared" si="163"/>
        <v>49</v>
      </c>
      <c r="S813" s="6">
        <f t="shared" si="157"/>
        <v>0.49</v>
      </c>
      <c r="T813" s="1" t="s">
        <v>46</v>
      </c>
      <c r="U813" s="1">
        <f t="shared" si="164"/>
        <v>1</v>
      </c>
      <c r="V813" s="1">
        <f t="shared" si="165"/>
        <v>34.599999999999994</v>
      </c>
      <c r="W813" s="10" t="str">
        <f t="shared" si="166"/>
        <v>Low</v>
      </c>
      <c r="X813" s="1">
        <v>1</v>
      </c>
      <c r="Y813" s="1" t="str">
        <f t="shared" si="167"/>
        <v>Yes</v>
      </c>
      <c r="AA813" s="18" t="str">
        <f t="shared" si="168"/>
        <v>Invalid</v>
      </c>
      <c r="AB813" s="18" t="str">
        <f t="shared" si="169"/>
        <v>High Performer</v>
      </c>
      <c r="AC813" s="9" t="s">
        <v>3208</v>
      </c>
      <c r="AD813">
        <f>IF(AC813="",0,LEN(AC813)-LEN(SUBSTITUTE(AC813,",",""))+1)</f>
        <v>6</v>
      </c>
    </row>
    <row r="814" spans="1:30" ht="12.5" x14ac:dyDescent="0.25">
      <c r="A814" s="1" t="s">
        <v>3209</v>
      </c>
      <c r="B814" s="1" t="s">
        <v>3210</v>
      </c>
      <c r="C814" s="1" t="str">
        <v>Steven Hull</v>
      </c>
      <c r="D814" s="1" t="s">
        <v>3211</v>
      </c>
      <c r="E814" s="1" t="str">
        <v>deanna17@gallegos.com</v>
      </c>
      <c r="F814" t="str">
        <f t="shared" si="158"/>
        <v>Valid</v>
      </c>
      <c r="G814" s="1" t="s">
        <v>57</v>
      </c>
      <c r="H814" s="1" t="str">
        <f t="shared" si="159"/>
        <v>Female</v>
      </c>
      <c r="I814" s="1" t="s">
        <v>51</v>
      </c>
      <c r="J814" t="str">
        <f t="shared" si="160"/>
        <v>UK</v>
      </c>
      <c r="K814" s="14">
        <v>0</v>
      </c>
      <c r="L814" s="1">
        <f t="shared" si="161"/>
        <v>19</v>
      </c>
      <c r="M814" s="1" t="str">
        <f t="shared" si="162"/>
        <v>Student</v>
      </c>
      <c r="N814" s="9">
        <v>45375</v>
      </c>
      <c r="O814" s="1" t="s">
        <v>158</v>
      </c>
      <c r="P814" s="1" t="s">
        <v>59</v>
      </c>
      <c r="Q814" s="4">
        <v>0.84</v>
      </c>
      <c r="R814" s="13">
        <f t="shared" si="163"/>
        <v>84</v>
      </c>
      <c r="S814" s="6">
        <f t="shared" si="157"/>
        <v>0.84</v>
      </c>
      <c r="T814" s="1">
        <v>1.5</v>
      </c>
      <c r="U814" s="1">
        <f t="shared" si="164"/>
        <v>1.5</v>
      </c>
      <c r="V814" s="1">
        <f t="shared" si="165"/>
        <v>59.25</v>
      </c>
      <c r="W814" s="10" t="str">
        <f t="shared" si="166"/>
        <v>Medium</v>
      </c>
      <c r="X814" s="1" t="s">
        <v>76</v>
      </c>
      <c r="Y814" s="1" t="str">
        <f t="shared" si="167"/>
        <v>Yes</v>
      </c>
      <c r="Z814" s="14">
        <v>5</v>
      </c>
      <c r="AA814" s="18">
        <f t="shared" si="168"/>
        <v>5</v>
      </c>
      <c r="AB814" s="18" t="str">
        <f t="shared" si="169"/>
        <v>High Performer</v>
      </c>
      <c r="AC814" s="9" t="s">
        <v>3212</v>
      </c>
      <c r="AD814">
        <f>IF(AC814="",0,LEN(AC814)-LEN(SUBSTITUTE(AC814,",",""))+1)</f>
        <v>5</v>
      </c>
    </row>
    <row r="815" spans="1:30" ht="12.5" x14ac:dyDescent="0.25">
      <c r="A815" s="1" t="s">
        <v>3213</v>
      </c>
      <c r="B815" s="1" t="s">
        <v>3214</v>
      </c>
      <c r="C815" s="1" t="str">
        <v>Raymond Snyder</v>
      </c>
      <c r="D815" s="1" t="s">
        <v>3215</v>
      </c>
      <c r="E815" s="1" t="str">
        <v>devans@allison-coffey.com</v>
      </c>
      <c r="F815" t="str">
        <f t="shared" si="158"/>
        <v>Valid</v>
      </c>
      <c r="G815" s="1" t="s">
        <v>109</v>
      </c>
      <c r="H815" s="1" t="str">
        <f t="shared" si="159"/>
        <v>Male</v>
      </c>
      <c r="I815" s="1" t="s">
        <v>156</v>
      </c>
      <c r="J815" t="str">
        <f t="shared" si="160"/>
        <v>IN</v>
      </c>
      <c r="K815" s="14">
        <v>0</v>
      </c>
      <c r="L815" s="1">
        <f t="shared" si="161"/>
        <v>19</v>
      </c>
      <c r="M815" s="1" t="str">
        <f t="shared" si="162"/>
        <v>Student</v>
      </c>
      <c r="N815" s="2">
        <v>45113</v>
      </c>
      <c r="O815" s="1" t="s">
        <v>170</v>
      </c>
      <c r="P815" s="1" t="s">
        <v>147</v>
      </c>
      <c r="Q815" s="4">
        <v>67</v>
      </c>
      <c r="R815" s="13">
        <f t="shared" si="163"/>
        <v>67</v>
      </c>
      <c r="S815" s="6">
        <f t="shared" si="157"/>
        <v>0.67</v>
      </c>
      <c r="T815" s="1">
        <v>2</v>
      </c>
      <c r="U815" s="1">
        <f t="shared" si="164"/>
        <v>2</v>
      </c>
      <c r="V815" s="1">
        <f t="shared" si="165"/>
        <v>47.5</v>
      </c>
      <c r="W815" s="10" t="str">
        <f t="shared" si="166"/>
        <v>Medium</v>
      </c>
      <c r="X815" s="1" t="s">
        <v>38</v>
      </c>
      <c r="Y815" s="1" t="str">
        <f t="shared" si="167"/>
        <v>No</v>
      </c>
      <c r="Z815" s="14">
        <v>4</v>
      </c>
      <c r="AA815" s="18">
        <f t="shared" si="168"/>
        <v>4</v>
      </c>
      <c r="AB815" s="18" t="str">
        <f t="shared" si="169"/>
        <v>No</v>
      </c>
      <c r="AC815" s="9" t="s">
        <v>3216</v>
      </c>
      <c r="AD815">
        <f>IF(AC815="",0,LEN(AC815)-LEN(SUBSTITUTE(AC815,",",""))+1)</f>
        <v>4</v>
      </c>
    </row>
    <row r="816" spans="1:30" ht="12.5" x14ac:dyDescent="0.25">
      <c r="A816" s="1" t="s">
        <v>3217</v>
      </c>
      <c r="B816" s="1" t="s">
        <v>3218</v>
      </c>
      <c r="C816" s="1" t="str">
        <v>Roger Taylor</v>
      </c>
      <c r="D816" s="1" t="s">
        <v>3219</v>
      </c>
      <c r="E816" s="1" t="str">
        <v>fperez@gmail.com</v>
      </c>
      <c r="F816" t="str">
        <f t="shared" si="158"/>
        <v>Valid</v>
      </c>
      <c r="G816" s="1" t="s">
        <v>109</v>
      </c>
      <c r="H816" s="1" t="str">
        <f t="shared" si="159"/>
        <v>Male</v>
      </c>
      <c r="I816" s="1" t="s">
        <v>96</v>
      </c>
      <c r="J816" t="str">
        <f t="shared" si="160"/>
        <v>INDIA</v>
      </c>
      <c r="K816" s="14">
        <v>0</v>
      </c>
      <c r="L816" s="1">
        <f t="shared" si="161"/>
        <v>19</v>
      </c>
      <c r="M816" s="1" t="str">
        <f t="shared" si="162"/>
        <v>Student</v>
      </c>
      <c r="N816" s="2">
        <v>45149</v>
      </c>
      <c r="O816" s="1" t="s">
        <v>170</v>
      </c>
      <c r="P816" s="1" t="s">
        <v>147</v>
      </c>
      <c r="Q816" s="4">
        <v>0.82</v>
      </c>
      <c r="R816" s="13">
        <f t="shared" si="163"/>
        <v>82</v>
      </c>
      <c r="S816" s="6">
        <f t="shared" si="157"/>
        <v>0.82</v>
      </c>
      <c r="T816" s="1" t="s">
        <v>64</v>
      </c>
      <c r="U816" s="1">
        <f t="shared" si="164"/>
        <v>2</v>
      </c>
      <c r="V816" s="1">
        <f t="shared" si="165"/>
        <v>58</v>
      </c>
      <c r="W816" s="10" t="str">
        <f t="shared" si="166"/>
        <v>Medium</v>
      </c>
      <c r="X816" s="1" t="s">
        <v>22</v>
      </c>
      <c r="Y816" s="1" t="str">
        <f t="shared" si="167"/>
        <v>No</v>
      </c>
      <c r="Z816" s="14">
        <v>4</v>
      </c>
      <c r="AA816" s="18">
        <f t="shared" si="168"/>
        <v>4</v>
      </c>
      <c r="AB816" s="18" t="str">
        <f t="shared" si="169"/>
        <v>No</v>
      </c>
      <c r="AC816" s="9" t="s">
        <v>3220</v>
      </c>
      <c r="AD816">
        <f>IF(AC816="",0,LEN(AC816)-LEN(SUBSTITUTE(AC816,",",""))+1)</f>
        <v>5</v>
      </c>
    </row>
    <row r="817" spans="1:30" ht="12.5" x14ac:dyDescent="0.25">
      <c r="A817" s="1" t="s">
        <v>3221</v>
      </c>
      <c r="B817" s="1" t="s">
        <v>3222</v>
      </c>
      <c r="C817" s="1" t="str">
        <v>Michael Williams</v>
      </c>
      <c r="D817" s="1" t="s">
        <v>3223</v>
      </c>
      <c r="E817" s="1" t="str">
        <v>williamskevin@murphy-salazar.biz</v>
      </c>
      <c r="F817" t="str">
        <f t="shared" si="158"/>
        <v>Valid</v>
      </c>
      <c r="G817" s="1" t="s">
        <v>109</v>
      </c>
      <c r="H817" s="1" t="str">
        <f t="shared" si="159"/>
        <v>Male</v>
      </c>
      <c r="I817" s="1" t="s">
        <v>89</v>
      </c>
      <c r="J817" t="str">
        <f t="shared" si="160"/>
        <v>GERMANY</v>
      </c>
      <c r="K817" s="14">
        <v>0</v>
      </c>
      <c r="L817" s="1">
        <f t="shared" si="161"/>
        <v>19</v>
      </c>
      <c r="M817" s="1" t="str">
        <f t="shared" si="162"/>
        <v>Student</v>
      </c>
      <c r="N817" s="2">
        <v>44937</v>
      </c>
      <c r="O817" s="1" t="s">
        <v>75</v>
      </c>
      <c r="P817" s="1" t="s">
        <v>37</v>
      </c>
      <c r="Q817" s="4">
        <v>0.51</v>
      </c>
      <c r="R817" s="13">
        <f t="shared" si="163"/>
        <v>51</v>
      </c>
      <c r="S817" s="6">
        <f t="shared" si="157"/>
        <v>0.51</v>
      </c>
      <c r="T817" s="1">
        <v>45</v>
      </c>
      <c r="U817" s="1">
        <f t="shared" si="164"/>
        <v>45</v>
      </c>
      <c r="V817" s="1">
        <f t="shared" si="165"/>
        <v>49.199999999999996</v>
      </c>
      <c r="W817" s="10" t="str">
        <f t="shared" si="166"/>
        <v>Medium</v>
      </c>
      <c r="X817" s="1">
        <v>0</v>
      </c>
      <c r="Y817" s="1" t="str">
        <f t="shared" si="167"/>
        <v>No</v>
      </c>
      <c r="Z817" s="14">
        <v>1</v>
      </c>
      <c r="AA817" s="18">
        <f t="shared" si="168"/>
        <v>1</v>
      </c>
      <c r="AB817" s="18" t="str">
        <f t="shared" si="169"/>
        <v>No</v>
      </c>
      <c r="AC817" s="9" t="s">
        <v>3224</v>
      </c>
      <c r="AD817">
        <f>IF(AC817="",0,LEN(AC817)-LEN(SUBSTITUTE(AC817,",",""))+1)</f>
        <v>6</v>
      </c>
    </row>
    <row r="818" spans="1:30" ht="12.5" x14ac:dyDescent="0.25">
      <c r="A818" s="1" t="s">
        <v>3225</v>
      </c>
      <c r="B818" s="1" t="s">
        <v>3226</v>
      </c>
      <c r="C818" s="1" t="str">
        <v>Barbara Flores</v>
      </c>
      <c r="D818" s="1" t="s">
        <v>3227</v>
      </c>
      <c r="E818" s="1" t="str">
        <v>qwalsh@boyd.org</v>
      </c>
      <c r="F818" t="str">
        <f t="shared" si="158"/>
        <v>Valid</v>
      </c>
      <c r="G818" s="1" t="s">
        <v>88</v>
      </c>
      <c r="H818" s="1" t="str">
        <f t="shared" si="159"/>
        <v>Male</v>
      </c>
      <c r="I818" s="1" t="s">
        <v>74</v>
      </c>
      <c r="J818" t="str">
        <f t="shared" si="160"/>
        <v>USA</v>
      </c>
      <c r="K818" s="14">
        <v>0</v>
      </c>
      <c r="L818" s="1">
        <f t="shared" si="161"/>
        <v>19</v>
      </c>
      <c r="M818" s="1" t="str">
        <f t="shared" si="162"/>
        <v>Student</v>
      </c>
      <c r="N818" s="9">
        <v>45077</v>
      </c>
      <c r="O818" s="1" t="s">
        <v>58</v>
      </c>
      <c r="P818" s="1" t="s">
        <v>59</v>
      </c>
      <c r="Q818" s="4">
        <v>13</v>
      </c>
      <c r="R818" s="13">
        <f t="shared" si="163"/>
        <v>13</v>
      </c>
      <c r="S818" s="6">
        <f t="shared" si="157"/>
        <v>0.13</v>
      </c>
      <c r="T818" s="1" t="s">
        <v>46</v>
      </c>
      <c r="U818" s="1">
        <f t="shared" si="164"/>
        <v>1</v>
      </c>
      <c r="V818" s="1">
        <f t="shared" si="165"/>
        <v>9.4</v>
      </c>
      <c r="W818" s="10" t="str">
        <f t="shared" si="166"/>
        <v>Low</v>
      </c>
      <c r="X818" s="1" t="s">
        <v>76</v>
      </c>
      <c r="Y818" s="1" t="str">
        <f t="shared" si="167"/>
        <v>Yes</v>
      </c>
      <c r="Z818" s="14">
        <v>2</v>
      </c>
      <c r="AA818" s="18">
        <f t="shared" si="168"/>
        <v>2</v>
      </c>
      <c r="AB818" s="18" t="str">
        <f t="shared" si="169"/>
        <v>No</v>
      </c>
      <c r="AC818" s="9" t="s">
        <v>3228</v>
      </c>
      <c r="AD818">
        <f>IF(AC818="",0,LEN(AC818)-LEN(SUBSTITUTE(AC818,",",""))+1)</f>
        <v>4</v>
      </c>
    </row>
    <row r="819" spans="1:30" ht="12.5" x14ac:dyDescent="0.25">
      <c r="A819" s="1" t="s">
        <v>3229</v>
      </c>
      <c r="B819" s="1" t="s">
        <v>3230</v>
      </c>
      <c r="C819" s="1" t="str">
        <v>Nicholas Perez</v>
      </c>
      <c r="D819" s="1" t="s">
        <v>3231</v>
      </c>
      <c r="E819" s="1" t="str">
        <v>jennifer58@gmail.com</v>
      </c>
      <c r="F819" t="str">
        <f t="shared" si="158"/>
        <v>Valid</v>
      </c>
      <c r="G819" s="1" t="s">
        <v>88</v>
      </c>
      <c r="H819" s="1" t="str">
        <f t="shared" si="159"/>
        <v>Male</v>
      </c>
      <c r="I819" s="1" t="s">
        <v>51</v>
      </c>
      <c r="J819" t="str">
        <f t="shared" si="160"/>
        <v>UK</v>
      </c>
      <c r="K819" s="14">
        <v>0</v>
      </c>
      <c r="L819" s="1">
        <f t="shared" si="161"/>
        <v>19</v>
      </c>
      <c r="M819" s="1" t="str">
        <f t="shared" si="162"/>
        <v>Student</v>
      </c>
      <c r="N819" s="9">
        <v>45400</v>
      </c>
      <c r="O819" s="1" t="s">
        <v>301</v>
      </c>
      <c r="P819" s="1" t="s">
        <v>20</v>
      </c>
      <c r="Q819" s="4">
        <v>0.03</v>
      </c>
      <c r="R819" s="13">
        <f t="shared" si="163"/>
        <v>3</v>
      </c>
      <c r="S819" s="6">
        <f t="shared" si="157"/>
        <v>0.03</v>
      </c>
      <c r="T819" s="1">
        <v>45</v>
      </c>
      <c r="U819" s="1">
        <f t="shared" si="164"/>
        <v>45</v>
      </c>
      <c r="V819" s="1">
        <f t="shared" si="165"/>
        <v>15.6</v>
      </c>
      <c r="W819" s="10" t="str">
        <f t="shared" si="166"/>
        <v>Low</v>
      </c>
      <c r="X819" s="1" t="s">
        <v>22</v>
      </c>
      <c r="Y819" s="1" t="str">
        <f t="shared" si="167"/>
        <v>No</v>
      </c>
      <c r="Z819" s="14">
        <v>2</v>
      </c>
      <c r="AA819" s="18">
        <f t="shared" si="168"/>
        <v>2</v>
      </c>
      <c r="AB819" s="18" t="str">
        <f t="shared" si="169"/>
        <v>No</v>
      </c>
      <c r="AC819" s="9" t="s">
        <v>1907</v>
      </c>
      <c r="AD819">
        <f>IF(AC819="",0,LEN(AC819)-LEN(SUBSTITUTE(AC819,",",""))+1)</f>
        <v>6</v>
      </c>
    </row>
    <row r="820" spans="1:30" ht="12.5" x14ac:dyDescent="0.25">
      <c r="A820" s="1" t="s">
        <v>3232</v>
      </c>
      <c r="B820" s="1" t="s">
        <v>3233</v>
      </c>
      <c r="C820" s="1" t="str">
        <v>Angela Simpson</v>
      </c>
      <c r="D820" s="1" t="s">
        <v>3234</v>
      </c>
      <c r="E820" s="1" t="str">
        <v>santiagotaylor@lopez-garcia.com</v>
      </c>
      <c r="F820" t="str">
        <f t="shared" si="158"/>
        <v>Valid</v>
      </c>
      <c r="G820" s="1" t="s">
        <v>43</v>
      </c>
      <c r="H820" s="1" t="str">
        <f t="shared" si="159"/>
        <v>Female</v>
      </c>
      <c r="I820" s="1" t="s">
        <v>74</v>
      </c>
      <c r="J820" t="str">
        <f t="shared" si="160"/>
        <v>USA</v>
      </c>
      <c r="K820" s="14">
        <v>36</v>
      </c>
      <c r="L820" s="1">
        <f t="shared" si="161"/>
        <v>36</v>
      </c>
      <c r="M820" s="1" t="str">
        <f t="shared" si="162"/>
        <v>Mid Career</v>
      </c>
      <c r="N820" s="9">
        <v>45682</v>
      </c>
      <c r="O820" s="1" t="s">
        <v>52</v>
      </c>
      <c r="P820" s="1" t="s">
        <v>37</v>
      </c>
      <c r="Q820" s="4">
        <v>0.25</v>
      </c>
      <c r="R820" s="13">
        <f t="shared" si="163"/>
        <v>25</v>
      </c>
      <c r="S820" s="6">
        <f t="shared" si="157"/>
        <v>0.25</v>
      </c>
      <c r="T820" s="1" t="s">
        <v>46</v>
      </c>
      <c r="U820" s="1">
        <f t="shared" si="164"/>
        <v>1</v>
      </c>
      <c r="V820" s="1">
        <f t="shared" si="165"/>
        <v>17.8</v>
      </c>
      <c r="W820" s="10" t="str">
        <f t="shared" si="166"/>
        <v>Low</v>
      </c>
      <c r="X820" s="1">
        <v>0</v>
      </c>
      <c r="Y820" s="1" t="str">
        <f t="shared" si="167"/>
        <v>No</v>
      </c>
      <c r="AA820" s="18" t="str">
        <f t="shared" si="168"/>
        <v>Invalid</v>
      </c>
      <c r="AB820" s="18" t="str">
        <f t="shared" si="169"/>
        <v>No</v>
      </c>
      <c r="AC820" s="9" t="s">
        <v>3235</v>
      </c>
      <c r="AD820">
        <f>IF(AC820="",0,LEN(AC820)-LEN(SUBSTITUTE(AC820,",",""))+1)</f>
        <v>8</v>
      </c>
    </row>
    <row r="821" spans="1:30" ht="12.5" x14ac:dyDescent="0.25">
      <c r="A821" s="1" t="s">
        <v>3236</v>
      </c>
      <c r="B821" s="1" t="s">
        <v>3237</v>
      </c>
      <c r="C821" s="1" t="str">
        <v>Tony Erickson</v>
      </c>
      <c r="D821" s="1" t="s">
        <v>3238</v>
      </c>
      <c r="E821" s="1" t="str">
        <v>sloanjeffery@cruz-chavez.org</v>
      </c>
      <c r="F821" t="str">
        <f t="shared" si="158"/>
        <v>Valid</v>
      </c>
      <c r="G821" s="1" t="s">
        <v>17</v>
      </c>
      <c r="H821" s="1" t="str">
        <f t="shared" si="159"/>
        <v>Female</v>
      </c>
      <c r="I821" s="1" t="s">
        <v>156</v>
      </c>
      <c r="J821" t="str">
        <f t="shared" si="160"/>
        <v>IN</v>
      </c>
      <c r="K821" s="14">
        <v>0</v>
      </c>
      <c r="L821" s="1">
        <f t="shared" si="161"/>
        <v>19</v>
      </c>
      <c r="M821" s="1" t="str">
        <f t="shared" si="162"/>
        <v>Student</v>
      </c>
      <c r="N821" s="3">
        <v>45575</v>
      </c>
      <c r="O821" s="1" t="s">
        <v>19</v>
      </c>
      <c r="P821" s="1" t="s">
        <v>20</v>
      </c>
      <c r="Q821" s="4">
        <v>46</v>
      </c>
      <c r="R821" s="13">
        <f t="shared" si="163"/>
        <v>46</v>
      </c>
      <c r="S821" s="6">
        <f t="shared" si="157"/>
        <v>0.46</v>
      </c>
      <c r="T821" s="1" t="s">
        <v>21</v>
      </c>
      <c r="U821" s="1">
        <f t="shared" si="164"/>
        <v>1.5</v>
      </c>
      <c r="V821" s="1">
        <f t="shared" si="165"/>
        <v>32.65</v>
      </c>
      <c r="W821" s="10" t="str">
        <f t="shared" si="166"/>
        <v>Low</v>
      </c>
      <c r="X821" s="1">
        <v>0</v>
      </c>
      <c r="Y821" s="1" t="str">
        <f t="shared" si="167"/>
        <v>No</v>
      </c>
      <c r="Z821" s="14">
        <v>6</v>
      </c>
      <c r="AA821" s="18">
        <f t="shared" si="168"/>
        <v>6</v>
      </c>
      <c r="AB821" s="18" t="str">
        <f t="shared" si="169"/>
        <v>No</v>
      </c>
      <c r="AC821" s="9">
        <v>45575</v>
      </c>
      <c r="AD821">
        <f>IF(AC821="",0,LEN(AC821)-LEN(SUBSTITUTE(AC821,",",""))+1)</f>
        <v>1</v>
      </c>
    </row>
    <row r="822" spans="1:30" ht="12.5" x14ac:dyDescent="0.25">
      <c r="A822" s="1" t="s">
        <v>3239</v>
      </c>
      <c r="B822" s="1" t="s">
        <v>3240</v>
      </c>
      <c r="C822" s="1" t="str">
        <v>Jay Parks</v>
      </c>
      <c r="D822" s="1" t="s">
        <v>3241</v>
      </c>
      <c r="E822" s="1" t="str">
        <v>stevenrodriguez@allen.com</v>
      </c>
      <c r="F822" t="str">
        <f t="shared" si="158"/>
        <v>Valid</v>
      </c>
      <c r="G822" s="1" t="s">
        <v>109</v>
      </c>
      <c r="H822" s="1" t="str">
        <f t="shared" si="159"/>
        <v>Male</v>
      </c>
      <c r="I822" s="1" t="s">
        <v>74</v>
      </c>
      <c r="J822" t="str">
        <f t="shared" si="160"/>
        <v>USA</v>
      </c>
      <c r="L822" s="1">
        <f t="shared" si="161"/>
        <v>19</v>
      </c>
      <c r="M822" s="1" t="str">
        <f t="shared" si="162"/>
        <v>Student</v>
      </c>
      <c r="N822" s="2">
        <v>45632</v>
      </c>
      <c r="O822" s="1" t="s">
        <v>69</v>
      </c>
      <c r="P822" s="1" t="s">
        <v>31</v>
      </c>
      <c r="Q822" s="4">
        <v>0.6</v>
      </c>
      <c r="R822" s="13">
        <f t="shared" si="163"/>
        <v>60</v>
      </c>
      <c r="S822" s="6">
        <f t="shared" si="157"/>
        <v>0.6</v>
      </c>
      <c r="T822" s="1" t="s">
        <v>21</v>
      </c>
      <c r="U822" s="1">
        <f t="shared" si="164"/>
        <v>1.5</v>
      </c>
      <c r="V822" s="1">
        <f t="shared" si="165"/>
        <v>42.45</v>
      </c>
      <c r="W822" s="10" t="str">
        <f t="shared" si="166"/>
        <v>Medium</v>
      </c>
      <c r="X822" s="1" t="s">
        <v>76</v>
      </c>
      <c r="Y822" s="1" t="str">
        <f t="shared" si="167"/>
        <v>Yes</v>
      </c>
      <c r="Z822" s="14">
        <v>5</v>
      </c>
      <c r="AA822" s="18">
        <f t="shared" si="168"/>
        <v>5</v>
      </c>
      <c r="AB822" s="18" t="str">
        <f t="shared" si="169"/>
        <v>High Performer</v>
      </c>
      <c r="AC822" s="9" t="s">
        <v>3242</v>
      </c>
      <c r="AD822">
        <f>IF(AC822="",0,LEN(AC822)-LEN(SUBSTITUTE(AC822,",",""))+1)</f>
        <v>4</v>
      </c>
    </row>
    <row r="823" spans="1:30" ht="12.5" x14ac:dyDescent="0.25">
      <c r="A823" s="1" t="s">
        <v>3243</v>
      </c>
      <c r="B823" s="1" t="s">
        <v>3244</v>
      </c>
      <c r="C823" s="1" t="str">
        <v>Derek Mcintosh</v>
      </c>
      <c r="D823" s="1" t="s">
        <v>3245</v>
      </c>
      <c r="E823" s="1" t="str">
        <v>ryan26@jordan.com</v>
      </c>
      <c r="F823" t="str">
        <f t="shared" si="158"/>
        <v>Valid</v>
      </c>
      <c r="G823" s="1" t="s">
        <v>57</v>
      </c>
      <c r="H823" s="1" t="str">
        <f t="shared" si="159"/>
        <v>Female</v>
      </c>
      <c r="I823" s="1" t="s">
        <v>28</v>
      </c>
      <c r="J823" t="str">
        <f t="shared" si="160"/>
        <v>INDIA</v>
      </c>
      <c r="L823" s="1">
        <f t="shared" si="161"/>
        <v>19</v>
      </c>
      <c r="M823" s="1" t="str">
        <f t="shared" si="162"/>
        <v>Student</v>
      </c>
      <c r="N823" s="9">
        <v>45072</v>
      </c>
      <c r="O823" s="1" t="s">
        <v>90</v>
      </c>
      <c r="P823" s="1" t="s">
        <v>31</v>
      </c>
      <c r="Q823" s="4">
        <v>0.15</v>
      </c>
      <c r="R823" s="13">
        <f t="shared" si="163"/>
        <v>15</v>
      </c>
      <c r="S823" s="6">
        <f t="shared" si="157"/>
        <v>0.15</v>
      </c>
      <c r="T823" s="1">
        <v>45</v>
      </c>
      <c r="U823" s="1">
        <f t="shared" si="164"/>
        <v>45</v>
      </c>
      <c r="V823" s="1">
        <f t="shared" si="165"/>
        <v>24</v>
      </c>
      <c r="W823" s="10" t="str">
        <f t="shared" si="166"/>
        <v>Low</v>
      </c>
      <c r="X823" s="1" t="s">
        <v>32</v>
      </c>
      <c r="Y823" s="1" t="str">
        <f t="shared" si="167"/>
        <v>Yes</v>
      </c>
      <c r="Z823" s="14">
        <v>4</v>
      </c>
      <c r="AA823" s="18">
        <f t="shared" si="168"/>
        <v>4</v>
      </c>
      <c r="AB823" s="18" t="str">
        <f t="shared" si="169"/>
        <v>High Performer</v>
      </c>
      <c r="AC823" s="9" t="s">
        <v>3246</v>
      </c>
      <c r="AD823">
        <f>IF(AC823="",0,LEN(AC823)-LEN(SUBSTITUTE(AC823,",",""))+1)</f>
        <v>3</v>
      </c>
    </row>
    <row r="824" spans="1:30" ht="12.5" x14ac:dyDescent="0.25">
      <c r="A824" s="1" t="s">
        <v>3247</v>
      </c>
      <c r="B824" s="1" t="s">
        <v>3248</v>
      </c>
      <c r="C824" s="1" t="str">
        <v>Cheyenne Lopez</v>
      </c>
      <c r="D824" s="1" t="s">
        <v>3249</v>
      </c>
      <c r="E824" s="1" t="str">
        <v>alyssa78@rodriguez-williams.com</v>
      </c>
      <c r="F824" t="str">
        <f t="shared" si="158"/>
        <v>Valid</v>
      </c>
      <c r="G824" s="1" t="s">
        <v>27</v>
      </c>
      <c r="H824" s="1" t="str">
        <f t="shared" si="159"/>
        <v>Male</v>
      </c>
      <c r="I824" s="1" t="s">
        <v>18</v>
      </c>
      <c r="J824" t="str">
        <f t="shared" si="160"/>
        <v>US</v>
      </c>
      <c r="K824" s="14">
        <v>37</v>
      </c>
      <c r="L824" s="1">
        <f t="shared" si="161"/>
        <v>37</v>
      </c>
      <c r="M824" s="1" t="str">
        <f t="shared" si="162"/>
        <v>Mid Career</v>
      </c>
      <c r="N824" s="2">
        <v>44690</v>
      </c>
      <c r="O824" s="1" t="s">
        <v>114</v>
      </c>
      <c r="P824" s="1" t="s">
        <v>59</v>
      </c>
      <c r="Q824" s="4">
        <v>20</v>
      </c>
      <c r="R824" s="13">
        <f t="shared" si="163"/>
        <v>20</v>
      </c>
      <c r="S824" s="6">
        <f t="shared" si="157"/>
        <v>0.2</v>
      </c>
      <c r="T824" s="1">
        <v>1.5</v>
      </c>
      <c r="U824" s="1">
        <f t="shared" si="164"/>
        <v>1.5</v>
      </c>
      <c r="V824" s="1">
        <f t="shared" si="165"/>
        <v>14.45</v>
      </c>
      <c r="W824" s="10" t="str">
        <f t="shared" si="166"/>
        <v>Low</v>
      </c>
      <c r="X824" s="1" t="s">
        <v>76</v>
      </c>
      <c r="Y824" s="1" t="str">
        <f t="shared" si="167"/>
        <v>Yes</v>
      </c>
      <c r="Z824" s="14">
        <v>3</v>
      </c>
      <c r="AA824" s="18">
        <f t="shared" si="168"/>
        <v>3</v>
      </c>
      <c r="AB824" s="18" t="str">
        <f t="shared" si="169"/>
        <v>No</v>
      </c>
      <c r="AC824" s="9" t="s">
        <v>1814</v>
      </c>
      <c r="AD824">
        <f>IF(AC824="",0,LEN(AC824)-LEN(SUBSTITUTE(AC824,",",""))+1)</f>
        <v>6</v>
      </c>
    </row>
    <row r="825" spans="1:30" ht="12.5" x14ac:dyDescent="0.25">
      <c r="A825" s="1" t="s">
        <v>3250</v>
      </c>
      <c r="B825" s="1" t="s">
        <v>3251</v>
      </c>
      <c r="C825" s="1" t="str">
        <v>Derek Jones</v>
      </c>
      <c r="D825" s="1" t="s">
        <v>3252</v>
      </c>
      <c r="E825" s="1" t="str">
        <v>jeremy96@long-robinson.com</v>
      </c>
      <c r="F825" t="str">
        <f t="shared" si="158"/>
        <v>Valid</v>
      </c>
      <c r="G825" s="1" t="s">
        <v>95</v>
      </c>
      <c r="H825" s="1" t="str">
        <f t="shared" si="159"/>
        <v>Male</v>
      </c>
      <c r="I825" s="1" t="s">
        <v>51</v>
      </c>
      <c r="J825" t="str">
        <f t="shared" si="160"/>
        <v>UK</v>
      </c>
      <c r="K825" s="14">
        <v>0</v>
      </c>
      <c r="L825" s="1">
        <f t="shared" si="161"/>
        <v>19</v>
      </c>
      <c r="M825" s="1" t="str">
        <f t="shared" si="162"/>
        <v>Student</v>
      </c>
      <c r="N825" s="9">
        <v>44830</v>
      </c>
      <c r="O825" s="1" t="s">
        <v>69</v>
      </c>
      <c r="P825" s="1" t="s">
        <v>31</v>
      </c>
      <c r="Q825" s="4">
        <v>0.43</v>
      </c>
      <c r="R825" s="13">
        <f t="shared" si="163"/>
        <v>43</v>
      </c>
      <c r="S825" s="6">
        <f t="shared" si="157"/>
        <v>0.43</v>
      </c>
      <c r="T825" s="1" t="s">
        <v>46</v>
      </c>
      <c r="U825" s="1">
        <f t="shared" si="164"/>
        <v>1</v>
      </c>
      <c r="V825" s="1">
        <f t="shared" si="165"/>
        <v>30.4</v>
      </c>
      <c r="W825" s="10" t="str">
        <f t="shared" si="166"/>
        <v>Low</v>
      </c>
      <c r="X825" s="1" t="s">
        <v>32</v>
      </c>
      <c r="Y825" s="1" t="str">
        <f t="shared" si="167"/>
        <v>Yes</v>
      </c>
      <c r="Z825" s="14">
        <v>4</v>
      </c>
      <c r="AA825" s="18">
        <f t="shared" si="168"/>
        <v>4</v>
      </c>
      <c r="AB825" s="18" t="str">
        <f t="shared" si="169"/>
        <v>High Performer</v>
      </c>
      <c r="AC825" s="9" t="s">
        <v>3253</v>
      </c>
      <c r="AD825">
        <f>IF(AC825="",0,LEN(AC825)-LEN(SUBSTITUTE(AC825,",",""))+1)</f>
        <v>5</v>
      </c>
    </row>
    <row r="826" spans="1:30" ht="12.5" x14ac:dyDescent="0.25">
      <c r="A826" s="1" t="s">
        <v>3254</v>
      </c>
      <c r="B826" s="1" t="s">
        <v>3255</v>
      </c>
      <c r="C826" s="1" t="str">
        <v>Dwayne Carlson</v>
      </c>
      <c r="D826" s="1" t="s">
        <v>3256</v>
      </c>
      <c r="E826" s="1" t="str">
        <v>lopezrebecca@woods.com</v>
      </c>
      <c r="F826" t="str">
        <f t="shared" si="158"/>
        <v>Valid</v>
      </c>
      <c r="G826" s="1" t="s">
        <v>95</v>
      </c>
      <c r="H826" s="1" t="str">
        <f t="shared" si="159"/>
        <v>Male</v>
      </c>
      <c r="I826" s="1" t="s">
        <v>156</v>
      </c>
      <c r="J826" t="str">
        <f t="shared" si="160"/>
        <v>IN</v>
      </c>
      <c r="L826" s="1">
        <f t="shared" si="161"/>
        <v>19</v>
      </c>
      <c r="M826" s="1" t="str">
        <f t="shared" si="162"/>
        <v>Student</v>
      </c>
      <c r="N826" s="9">
        <v>45427</v>
      </c>
      <c r="O826" s="1" t="s">
        <v>19</v>
      </c>
      <c r="P826" s="1" t="s">
        <v>20</v>
      </c>
      <c r="Q826" s="4">
        <v>72</v>
      </c>
      <c r="R826" s="13">
        <f t="shared" si="163"/>
        <v>72</v>
      </c>
      <c r="S826" s="6">
        <f t="shared" si="157"/>
        <v>0.72</v>
      </c>
      <c r="T826" s="1">
        <v>1.5</v>
      </c>
      <c r="U826" s="1">
        <f t="shared" si="164"/>
        <v>1.5</v>
      </c>
      <c r="V826" s="1">
        <f t="shared" si="165"/>
        <v>50.85</v>
      </c>
      <c r="W826" s="10" t="str">
        <f t="shared" si="166"/>
        <v>Medium</v>
      </c>
      <c r="X826" s="1">
        <v>1</v>
      </c>
      <c r="Y826" s="1" t="str">
        <f t="shared" si="167"/>
        <v>Yes</v>
      </c>
      <c r="Z826" s="14">
        <v>5</v>
      </c>
      <c r="AA826" s="18">
        <f t="shared" si="168"/>
        <v>5</v>
      </c>
      <c r="AB826" s="18" t="str">
        <f t="shared" si="169"/>
        <v>High Performer</v>
      </c>
      <c r="AC826" s="9" t="s">
        <v>3257</v>
      </c>
      <c r="AD826">
        <f>IF(AC826="",0,LEN(AC826)-LEN(SUBSTITUTE(AC826,",",""))+1)</f>
        <v>8</v>
      </c>
    </row>
    <row r="827" spans="1:30" ht="12.5" x14ac:dyDescent="0.25">
      <c r="A827" s="1" t="s">
        <v>3258</v>
      </c>
      <c r="B827" s="1" t="s">
        <v>3259</v>
      </c>
      <c r="C827" s="1" t="str">
        <v>Steven Thomas</v>
      </c>
      <c r="D827" s="1" t="s">
        <v>3260</v>
      </c>
      <c r="E827" s="1" t="str">
        <v>bpatterson@mccann.com</v>
      </c>
      <c r="F827" t="str">
        <f t="shared" si="158"/>
        <v>Valid</v>
      </c>
      <c r="G827" s="1" t="s">
        <v>57</v>
      </c>
      <c r="H827" s="1" t="str">
        <f t="shared" si="159"/>
        <v>Female</v>
      </c>
      <c r="I827" s="1" t="s">
        <v>18</v>
      </c>
      <c r="J827" t="str">
        <f t="shared" si="160"/>
        <v>US</v>
      </c>
      <c r="L827" s="1">
        <f t="shared" si="161"/>
        <v>19</v>
      </c>
      <c r="M827" s="1" t="str">
        <f t="shared" si="162"/>
        <v>Student</v>
      </c>
      <c r="N827" s="9">
        <v>44922</v>
      </c>
      <c r="O827" s="1" t="s">
        <v>45</v>
      </c>
      <c r="P827" s="1" t="s">
        <v>20</v>
      </c>
      <c r="Q827" s="4">
        <v>0.05</v>
      </c>
      <c r="R827" s="13">
        <f t="shared" si="163"/>
        <v>5</v>
      </c>
      <c r="S827" s="6">
        <f t="shared" si="157"/>
        <v>0.05</v>
      </c>
      <c r="T827" s="1" t="s">
        <v>21</v>
      </c>
      <c r="U827" s="1">
        <f t="shared" si="164"/>
        <v>1.5</v>
      </c>
      <c r="V827" s="1">
        <f t="shared" si="165"/>
        <v>3.95</v>
      </c>
      <c r="W827" s="10" t="str">
        <f t="shared" si="166"/>
        <v>Low</v>
      </c>
      <c r="X827" s="1" t="s">
        <v>22</v>
      </c>
      <c r="Y827" s="1" t="str">
        <f t="shared" si="167"/>
        <v>No</v>
      </c>
      <c r="Z827" s="14">
        <v>1</v>
      </c>
      <c r="AA827" s="18">
        <f t="shared" si="168"/>
        <v>1</v>
      </c>
      <c r="AB827" s="18" t="str">
        <f t="shared" si="169"/>
        <v>No</v>
      </c>
      <c r="AC827" s="9" t="s">
        <v>3261</v>
      </c>
      <c r="AD827">
        <f>IF(AC827="",0,LEN(AC827)-LEN(SUBSTITUTE(AC827,",",""))+1)</f>
        <v>8</v>
      </c>
    </row>
    <row r="828" spans="1:30" ht="12.5" x14ac:dyDescent="0.25">
      <c r="A828" s="1" t="s">
        <v>3262</v>
      </c>
      <c r="B828" s="1" t="s">
        <v>3263</v>
      </c>
      <c r="C828" s="1" t="str">
        <v>John Smith</v>
      </c>
      <c r="D828" s="1" t="s">
        <v>127</v>
      </c>
      <c r="E828" s="1" t="str">
        <v>invalid-email</v>
      </c>
      <c r="F828" t="str">
        <f t="shared" si="158"/>
        <v>Invalid</v>
      </c>
      <c r="G828" s="1" t="s">
        <v>119</v>
      </c>
      <c r="H828" s="1" t="str">
        <f t="shared" si="159"/>
        <v>Female</v>
      </c>
      <c r="I828" s="1" t="s">
        <v>28</v>
      </c>
      <c r="J828" t="str">
        <f t="shared" si="160"/>
        <v>INDIA</v>
      </c>
      <c r="L828" s="1">
        <f t="shared" si="161"/>
        <v>19</v>
      </c>
      <c r="M828" s="1" t="str">
        <f t="shared" si="162"/>
        <v>Student</v>
      </c>
      <c r="N828" s="9">
        <v>45713</v>
      </c>
      <c r="O828" s="1" t="s">
        <v>19</v>
      </c>
      <c r="P828" s="1" t="s">
        <v>20</v>
      </c>
      <c r="Q828" s="4">
        <v>0.48</v>
      </c>
      <c r="R828" s="13">
        <f t="shared" si="163"/>
        <v>48</v>
      </c>
      <c r="S828" s="6">
        <f t="shared" si="157"/>
        <v>0.48</v>
      </c>
      <c r="T828" s="1" t="s">
        <v>21</v>
      </c>
      <c r="U828" s="1">
        <f t="shared" si="164"/>
        <v>1.5</v>
      </c>
      <c r="V828" s="1">
        <f t="shared" si="165"/>
        <v>34.049999999999997</v>
      </c>
      <c r="W828" s="10" t="str">
        <f t="shared" si="166"/>
        <v>Low</v>
      </c>
      <c r="X828" s="1" t="s">
        <v>38</v>
      </c>
      <c r="Y828" s="1" t="str">
        <f t="shared" si="167"/>
        <v>No</v>
      </c>
      <c r="AA828" s="18" t="str">
        <f t="shared" si="168"/>
        <v>Invalid</v>
      </c>
      <c r="AB828" s="18" t="str">
        <f t="shared" si="169"/>
        <v>No</v>
      </c>
      <c r="AC828" s="9" t="s">
        <v>3264</v>
      </c>
      <c r="AD828">
        <f>IF(AC828="",0,LEN(AC828)-LEN(SUBSTITUTE(AC828,",",""))+1)</f>
        <v>1</v>
      </c>
    </row>
    <row r="829" spans="1:30" ht="12.5" x14ac:dyDescent="0.25">
      <c r="A829" s="1" t="s">
        <v>3265</v>
      </c>
      <c r="B829" s="1" t="s">
        <v>3266</v>
      </c>
      <c r="C829" s="1" t="str">
        <v>Michael Roberts</v>
      </c>
      <c r="D829" s="1" t="s">
        <v>3267</v>
      </c>
      <c r="E829" s="1" t="str">
        <v>karirowe@torres.com</v>
      </c>
      <c r="F829" t="str">
        <f t="shared" si="158"/>
        <v>Valid</v>
      </c>
      <c r="G829" s="1" t="s">
        <v>95</v>
      </c>
      <c r="H829" s="1" t="str">
        <f t="shared" si="159"/>
        <v>Male</v>
      </c>
      <c r="I829" s="1" t="s">
        <v>89</v>
      </c>
      <c r="J829" t="str">
        <f t="shared" si="160"/>
        <v>GERMANY</v>
      </c>
      <c r="K829" s="14">
        <v>25</v>
      </c>
      <c r="L829" s="1">
        <f t="shared" si="161"/>
        <v>25</v>
      </c>
      <c r="M829" s="1" t="str">
        <f t="shared" si="162"/>
        <v>Early Career</v>
      </c>
      <c r="N829" s="9">
        <v>45042</v>
      </c>
      <c r="O829" s="1" t="s">
        <v>114</v>
      </c>
      <c r="P829" s="1" t="s">
        <v>59</v>
      </c>
      <c r="Q829" s="4">
        <v>0.78</v>
      </c>
      <c r="R829" s="13">
        <f t="shared" si="163"/>
        <v>78</v>
      </c>
      <c r="S829" s="6">
        <f t="shared" si="157"/>
        <v>0.78</v>
      </c>
      <c r="T829" s="1">
        <v>1.5</v>
      </c>
      <c r="U829" s="1">
        <f t="shared" si="164"/>
        <v>1.5</v>
      </c>
      <c r="V829" s="1">
        <f t="shared" si="165"/>
        <v>55.05</v>
      </c>
      <c r="W829" s="10" t="str">
        <f t="shared" si="166"/>
        <v>Medium</v>
      </c>
      <c r="X829" s="1" t="s">
        <v>22</v>
      </c>
      <c r="Y829" s="1" t="str">
        <f t="shared" si="167"/>
        <v>No</v>
      </c>
      <c r="Z829" s="14">
        <v>3</v>
      </c>
      <c r="AA829" s="18">
        <f t="shared" si="168"/>
        <v>3</v>
      </c>
      <c r="AB829" s="18" t="str">
        <f t="shared" si="169"/>
        <v>No</v>
      </c>
      <c r="AC829" s="9" t="s">
        <v>3268</v>
      </c>
      <c r="AD829">
        <f>IF(AC829="",0,LEN(AC829)-LEN(SUBSTITUTE(AC829,",",""))+1)</f>
        <v>3</v>
      </c>
    </row>
    <row r="830" spans="1:30" ht="12.5" x14ac:dyDescent="0.25">
      <c r="A830" s="1" t="s">
        <v>3269</v>
      </c>
      <c r="B830" s="1" t="s">
        <v>3270</v>
      </c>
      <c r="C830" s="1" t="str">
        <v>Mary King</v>
      </c>
      <c r="D830" s="1" t="s">
        <v>3271</v>
      </c>
      <c r="E830" s="1" t="str">
        <v>careykevin@yahoo.com</v>
      </c>
      <c r="F830" t="str">
        <f t="shared" si="158"/>
        <v>Valid</v>
      </c>
      <c r="G830" s="1" t="s">
        <v>119</v>
      </c>
      <c r="H830" s="1" t="str">
        <f t="shared" si="159"/>
        <v>Female</v>
      </c>
      <c r="I830" s="1" t="s">
        <v>51</v>
      </c>
      <c r="J830" t="str">
        <f t="shared" si="160"/>
        <v>UK</v>
      </c>
      <c r="K830" s="14">
        <v>27</v>
      </c>
      <c r="L830" s="1">
        <f t="shared" si="161"/>
        <v>27</v>
      </c>
      <c r="M830" s="1" t="str">
        <f t="shared" si="162"/>
        <v>Early Career</v>
      </c>
      <c r="N830" s="2">
        <v>45568</v>
      </c>
      <c r="O830" s="1" t="s">
        <v>114</v>
      </c>
      <c r="P830" s="1" t="s">
        <v>59</v>
      </c>
      <c r="Q830" s="4">
        <v>31</v>
      </c>
      <c r="R830" s="13">
        <f t="shared" si="163"/>
        <v>31</v>
      </c>
      <c r="S830" s="6">
        <f t="shared" si="157"/>
        <v>0.31</v>
      </c>
      <c r="T830" s="1">
        <v>1.5</v>
      </c>
      <c r="U830" s="1">
        <f t="shared" si="164"/>
        <v>1.5</v>
      </c>
      <c r="V830" s="1">
        <f t="shared" si="165"/>
        <v>22.15</v>
      </c>
      <c r="W830" s="10" t="str">
        <f t="shared" si="166"/>
        <v>Low</v>
      </c>
      <c r="X830" s="1">
        <v>1</v>
      </c>
      <c r="Y830" s="1" t="str">
        <f t="shared" si="167"/>
        <v>Yes</v>
      </c>
      <c r="Z830" s="14">
        <v>6</v>
      </c>
      <c r="AA830" s="18">
        <f t="shared" si="168"/>
        <v>6</v>
      </c>
      <c r="AB830" s="18" t="str">
        <f t="shared" si="169"/>
        <v>High Performer</v>
      </c>
      <c r="AC830" s="9">
        <v>45568</v>
      </c>
      <c r="AD830">
        <f>IF(AC830="",0,LEN(AC830)-LEN(SUBSTITUTE(AC830,",",""))+1)</f>
        <v>1</v>
      </c>
    </row>
    <row r="831" spans="1:30" ht="12.5" x14ac:dyDescent="0.25">
      <c r="A831" s="1" t="s">
        <v>3272</v>
      </c>
      <c r="B831" s="1" t="s">
        <v>3273</v>
      </c>
      <c r="C831" s="1" t="str">
        <v>Linda Rodriguez</v>
      </c>
      <c r="D831" s="1" t="s">
        <v>3274</v>
      </c>
      <c r="E831" s="1" t="str">
        <v>tiffanychase@mcknight.org</v>
      </c>
      <c r="F831" t="str">
        <f t="shared" si="158"/>
        <v>Valid</v>
      </c>
      <c r="G831" s="1" t="s">
        <v>43</v>
      </c>
      <c r="H831" s="1" t="str">
        <f t="shared" si="159"/>
        <v>Female</v>
      </c>
      <c r="I831" s="1" t="s">
        <v>136</v>
      </c>
      <c r="J831" t="str">
        <f t="shared" si="160"/>
        <v>UK</v>
      </c>
      <c r="K831" s="14">
        <v>0</v>
      </c>
      <c r="L831" s="1">
        <f t="shared" si="161"/>
        <v>19</v>
      </c>
      <c r="M831" s="1" t="str">
        <f t="shared" si="162"/>
        <v>Student</v>
      </c>
      <c r="N831" s="9">
        <v>45462</v>
      </c>
      <c r="O831" s="1" t="s">
        <v>170</v>
      </c>
      <c r="P831" s="1" t="s">
        <v>147</v>
      </c>
      <c r="Q831" s="4">
        <v>0.84</v>
      </c>
      <c r="R831" s="13">
        <f t="shared" si="163"/>
        <v>84</v>
      </c>
      <c r="S831" s="6">
        <f t="shared" si="157"/>
        <v>0.84</v>
      </c>
      <c r="T831" s="1">
        <v>45</v>
      </c>
      <c r="U831" s="1">
        <f t="shared" si="164"/>
        <v>45</v>
      </c>
      <c r="V831" s="1">
        <f t="shared" si="165"/>
        <v>72.3</v>
      </c>
      <c r="W831" s="10" t="str">
        <f t="shared" si="166"/>
        <v>High</v>
      </c>
      <c r="X831" s="1" t="s">
        <v>22</v>
      </c>
      <c r="Y831" s="1" t="str">
        <f t="shared" si="167"/>
        <v>No</v>
      </c>
      <c r="Z831" s="14">
        <v>1</v>
      </c>
      <c r="AA831" s="18">
        <f t="shared" si="168"/>
        <v>1</v>
      </c>
      <c r="AB831" s="18" t="str">
        <f t="shared" si="169"/>
        <v>No</v>
      </c>
      <c r="AC831" s="9" t="s">
        <v>3275</v>
      </c>
      <c r="AD831">
        <f>IF(AC831="",0,LEN(AC831)-LEN(SUBSTITUTE(AC831,",",""))+1)</f>
        <v>3</v>
      </c>
    </row>
    <row r="832" spans="1:30" ht="12.5" x14ac:dyDescent="0.25">
      <c r="A832" s="1" t="s">
        <v>3276</v>
      </c>
      <c r="B832" s="1" t="s">
        <v>3277</v>
      </c>
      <c r="C832" s="1" t="str">
        <v>Cheryl Blevins</v>
      </c>
      <c r="D832" s="1" t="s">
        <v>3278</v>
      </c>
      <c r="E832" s="1" t="str">
        <v>natalie87@thompson.com</v>
      </c>
      <c r="F832" t="str">
        <f t="shared" si="158"/>
        <v>Valid</v>
      </c>
      <c r="G832" s="1" t="s">
        <v>27</v>
      </c>
      <c r="H832" s="1" t="str">
        <f t="shared" si="159"/>
        <v>Male</v>
      </c>
      <c r="I832" s="1" t="s">
        <v>156</v>
      </c>
      <c r="J832" t="str">
        <f t="shared" si="160"/>
        <v>IN</v>
      </c>
      <c r="K832" s="14">
        <v>0</v>
      </c>
      <c r="L832" s="1">
        <f t="shared" si="161"/>
        <v>19</v>
      </c>
      <c r="M832" s="1" t="str">
        <f t="shared" si="162"/>
        <v>Student</v>
      </c>
      <c r="N832" s="9">
        <v>45738</v>
      </c>
      <c r="O832" s="1" t="s">
        <v>114</v>
      </c>
      <c r="P832" s="1" t="s">
        <v>59</v>
      </c>
      <c r="Q832" s="4">
        <v>37</v>
      </c>
      <c r="R832" s="13">
        <f t="shared" si="163"/>
        <v>37</v>
      </c>
      <c r="S832" s="6">
        <f t="shared" si="157"/>
        <v>0.37</v>
      </c>
      <c r="T832" s="1">
        <v>2</v>
      </c>
      <c r="U832" s="1">
        <f t="shared" si="164"/>
        <v>2</v>
      </c>
      <c r="V832" s="1">
        <f t="shared" si="165"/>
        <v>26.5</v>
      </c>
      <c r="W832" s="10" t="str">
        <f t="shared" si="166"/>
        <v>Low</v>
      </c>
      <c r="X832" s="1" t="s">
        <v>76</v>
      </c>
      <c r="Y832" s="1" t="str">
        <f t="shared" si="167"/>
        <v>Yes</v>
      </c>
      <c r="Z832" s="14">
        <v>6</v>
      </c>
      <c r="AA832" s="18">
        <f t="shared" si="168"/>
        <v>6</v>
      </c>
      <c r="AB832" s="18" t="str">
        <f t="shared" si="169"/>
        <v>High Performer</v>
      </c>
      <c r="AC832" s="9" t="s">
        <v>3279</v>
      </c>
      <c r="AD832">
        <f>IF(AC832="",0,LEN(AC832)-LEN(SUBSTITUTE(AC832,",",""))+1)</f>
        <v>5</v>
      </c>
    </row>
    <row r="833" spans="1:30" ht="12.5" x14ac:dyDescent="0.25">
      <c r="A833" s="1" t="s">
        <v>3280</v>
      </c>
      <c r="B833" s="1" t="s">
        <v>3281</v>
      </c>
      <c r="C833" s="1" t="str">
        <v>Connor Riley</v>
      </c>
      <c r="D833" s="1" t="s">
        <v>3282</v>
      </c>
      <c r="E833" s="1" t="str">
        <v>hamiltonspencer@yahoo.com</v>
      </c>
      <c r="F833" t="str">
        <f t="shared" si="158"/>
        <v>Valid</v>
      </c>
      <c r="G833" s="1" t="s">
        <v>43</v>
      </c>
      <c r="H833" s="1" t="str">
        <f t="shared" si="159"/>
        <v>Female</v>
      </c>
      <c r="I833" s="1" t="s">
        <v>74</v>
      </c>
      <c r="J833" t="str">
        <f t="shared" si="160"/>
        <v>USA</v>
      </c>
      <c r="K833" s="14">
        <v>0</v>
      </c>
      <c r="L833" s="1">
        <f t="shared" si="161"/>
        <v>19</v>
      </c>
      <c r="M833" s="1" t="str">
        <f t="shared" si="162"/>
        <v>Student</v>
      </c>
      <c r="N833" s="2">
        <v>45058</v>
      </c>
      <c r="O833" s="1" t="s">
        <v>52</v>
      </c>
      <c r="P833" s="1" t="s">
        <v>37</v>
      </c>
      <c r="Q833" s="4">
        <v>0.17</v>
      </c>
      <c r="R833" s="13">
        <f t="shared" si="163"/>
        <v>17</v>
      </c>
      <c r="S833" s="6">
        <f t="shared" si="157"/>
        <v>0.17</v>
      </c>
      <c r="T833" s="1">
        <v>2</v>
      </c>
      <c r="U833" s="1">
        <f t="shared" si="164"/>
        <v>2</v>
      </c>
      <c r="V833" s="1">
        <f t="shared" si="165"/>
        <v>12.499999999999998</v>
      </c>
      <c r="W833" s="10" t="str">
        <f t="shared" si="166"/>
        <v>Low</v>
      </c>
      <c r="X833" s="1" t="s">
        <v>22</v>
      </c>
      <c r="Y833" s="1" t="str">
        <f t="shared" si="167"/>
        <v>No</v>
      </c>
      <c r="Z833" s="14">
        <v>6</v>
      </c>
      <c r="AA833" s="18">
        <f t="shared" si="168"/>
        <v>6</v>
      </c>
      <c r="AB833" s="18" t="str">
        <f t="shared" si="169"/>
        <v>No</v>
      </c>
      <c r="AC833" s="9" t="s">
        <v>3283</v>
      </c>
      <c r="AD833">
        <f>IF(AC833="",0,LEN(AC833)-LEN(SUBSTITUTE(AC833,",",""))+1)</f>
        <v>8</v>
      </c>
    </row>
    <row r="834" spans="1:30" ht="12.5" x14ac:dyDescent="0.25">
      <c r="A834" s="1" t="s">
        <v>3284</v>
      </c>
      <c r="B834" s="1" t="s">
        <v>3285</v>
      </c>
      <c r="C834" s="1" t="str">
        <v>Bridget Becker</v>
      </c>
      <c r="D834" s="1" t="s">
        <v>127</v>
      </c>
      <c r="E834" s="1" t="str">
        <v>invalid-email</v>
      </c>
      <c r="F834" t="str">
        <f t="shared" si="158"/>
        <v>Invalid</v>
      </c>
      <c r="G834" s="1" t="s">
        <v>27</v>
      </c>
      <c r="H834" s="1" t="str">
        <f t="shared" si="159"/>
        <v>Male</v>
      </c>
      <c r="I834" s="1" t="s">
        <v>18</v>
      </c>
      <c r="J834" t="str">
        <f t="shared" si="160"/>
        <v>US</v>
      </c>
      <c r="K834" s="14">
        <v>27</v>
      </c>
      <c r="L834" s="1">
        <f t="shared" si="161"/>
        <v>27</v>
      </c>
      <c r="M834" s="1" t="str">
        <f t="shared" si="162"/>
        <v>Early Career</v>
      </c>
      <c r="N834" s="9">
        <v>45106</v>
      </c>
      <c r="O834" s="1" t="s">
        <v>19</v>
      </c>
      <c r="P834" s="1" t="s">
        <v>20</v>
      </c>
      <c r="Q834" s="4">
        <v>14</v>
      </c>
      <c r="R834" s="13">
        <f t="shared" si="163"/>
        <v>14</v>
      </c>
      <c r="S834" s="6">
        <f t="shared" ref="S834:S897" si="170">R834/100</f>
        <v>0.14000000000000001</v>
      </c>
      <c r="T834" s="1" t="s">
        <v>46</v>
      </c>
      <c r="U834" s="1">
        <f t="shared" si="164"/>
        <v>1</v>
      </c>
      <c r="V834" s="1">
        <f t="shared" si="165"/>
        <v>10.1</v>
      </c>
      <c r="W834" s="10" t="str">
        <f t="shared" si="166"/>
        <v>Low</v>
      </c>
      <c r="X834" s="1">
        <v>1</v>
      </c>
      <c r="Y834" s="1" t="str">
        <f t="shared" si="167"/>
        <v>Yes</v>
      </c>
      <c r="Z834" s="14">
        <v>1</v>
      </c>
      <c r="AA834" s="18">
        <f t="shared" si="168"/>
        <v>1</v>
      </c>
      <c r="AB834" s="18" t="str">
        <f t="shared" si="169"/>
        <v>No</v>
      </c>
      <c r="AC834" s="9" t="s">
        <v>1718</v>
      </c>
      <c r="AD834">
        <f>IF(AC834="",0,LEN(AC834)-LEN(SUBSTITUTE(AC834,",",""))+1)</f>
        <v>8</v>
      </c>
    </row>
    <row r="835" spans="1:30" ht="12.5" x14ac:dyDescent="0.25">
      <c r="A835" s="1" t="s">
        <v>3286</v>
      </c>
      <c r="B835" s="1" t="s">
        <v>3287</v>
      </c>
      <c r="C835" s="1" t="str">
        <v>Elizabeth Roberts</v>
      </c>
      <c r="D835" s="1" t="s">
        <v>3288</v>
      </c>
      <c r="E835" s="1" t="str">
        <v>chavezjeff@hotmail.com</v>
      </c>
      <c r="F835" t="str">
        <f t="shared" ref="F835:F898" si="171">IF(ISNUMBER(SEARCH("@", E835)), "Valid", "Invalid")</f>
        <v>Valid</v>
      </c>
      <c r="G835" s="1" t="s">
        <v>88</v>
      </c>
      <c r="H835" s="1" t="str">
        <f t="shared" ref="H835:H898" si="172">IF(OR(LOWER(G835)="m", LOWER(G835)="male"), "Male", IF(OR(LOWER(G835)="f", LOWER(G835)="female"), "Female","Other"))</f>
        <v>Male</v>
      </c>
      <c r="I835" s="1" t="s">
        <v>96</v>
      </c>
      <c r="J835" t="str">
        <f t="shared" ref="J835:J898" si="173">UPPER(TRIM(I835))</f>
        <v>INDIA</v>
      </c>
      <c r="K835" s="14">
        <v>0</v>
      </c>
      <c r="L835" s="1">
        <f t="shared" ref="L835:L898" si="174">IF(OR(K835=0,K835&lt;10,K835&gt;100), $L$1202, K835)</f>
        <v>19</v>
      </c>
      <c r="M835" s="1" t="str">
        <f t="shared" ref="M835:M898" si="175">IF(K835&lt;22,"Student",
IF(K835&lt;=30,"Early Career",
IF(K835&lt;=40,"Mid Career",
IF(K835&lt;=50,"Senior","Expert"))))</f>
        <v>Student</v>
      </c>
      <c r="N835" s="9">
        <v>45470</v>
      </c>
      <c r="O835" s="1" t="s">
        <v>58</v>
      </c>
      <c r="P835" s="1" t="s">
        <v>59</v>
      </c>
      <c r="Q835" s="4">
        <v>0.05</v>
      </c>
      <c r="R835" s="13">
        <f t="shared" ref="R835:R898" si="176">IF(Q835&lt;=1, Q835*100, Q835)</f>
        <v>5</v>
      </c>
      <c r="S835" s="6">
        <f t="shared" si="170"/>
        <v>0.05</v>
      </c>
      <c r="T835" s="1" t="s">
        <v>64</v>
      </c>
      <c r="U835" s="1">
        <f t="shared" ref="U835:U898" si="177">IF(ISNUMBER(T835), T835,
IF(ISNUMBER(SEARCH("min", T835)), VALUE(LEFT(T835, FIND(" ", T835)-1))/60,
IF(ISNUMBER(SEARCH("hour", T835)), VALUE(LEFT(T835, FIND(" ", T835)-1)),
"")))</f>
        <v>2</v>
      </c>
      <c r="V835" s="1">
        <f t="shared" ref="V835:V898" si="178">MIN( (0.7*R835 + 0.3*(U835)), 100 )</f>
        <v>4.0999999999999996</v>
      </c>
      <c r="W835" s="10" t="str">
        <f t="shared" ref="W835:W898" si="179">IF(V835&lt;41,"Low",IF(V835&lt;71,"Medium","High"))</f>
        <v>Low</v>
      </c>
      <c r="X835" s="1">
        <v>1</v>
      </c>
      <c r="Y835" s="1" t="str">
        <f t="shared" ref="Y835:Y898" si="180">IF(OR(X835="Yes", X835="Y", X835=1), "Yes", "No")</f>
        <v>Yes</v>
      </c>
      <c r="Z835" s="14">
        <v>2</v>
      </c>
      <c r="AA835" s="18">
        <f t="shared" ref="AA835:AA898" si="181">IF(AND(Z835&gt;=1,Z835&lt;=6),Z835,"Invalid")</f>
        <v>2</v>
      </c>
      <c r="AB835" s="18" t="str">
        <f t="shared" ref="AB835:AB898" si="182">IF(AND(Y835="Yes",AA835&gt;=4),"High Performer","No")</f>
        <v>No</v>
      </c>
      <c r="AC835" s="9" t="s">
        <v>2311</v>
      </c>
      <c r="AD835">
        <f>IF(AC835="",0,LEN(AC835)-LEN(SUBSTITUTE(AC835,",",""))+1)</f>
        <v>1</v>
      </c>
    </row>
    <row r="836" spans="1:30" ht="12.5" x14ac:dyDescent="0.25">
      <c r="A836" s="1" t="s">
        <v>3289</v>
      </c>
      <c r="B836" s="1" t="s">
        <v>250</v>
      </c>
      <c r="C836" s="1" t="str">
        <v>Matthew Smith</v>
      </c>
      <c r="D836" s="1" t="s">
        <v>3290</v>
      </c>
      <c r="E836" s="1" t="str">
        <v>michaelcampbell@hotmail.com</v>
      </c>
      <c r="F836" t="str">
        <f t="shared" si="171"/>
        <v>Valid</v>
      </c>
      <c r="G836" s="1" t="s">
        <v>88</v>
      </c>
      <c r="H836" s="1" t="str">
        <f t="shared" si="172"/>
        <v>Male</v>
      </c>
      <c r="I836" s="1" t="s">
        <v>18</v>
      </c>
      <c r="J836" t="str">
        <f t="shared" si="173"/>
        <v>US</v>
      </c>
      <c r="K836" s="14">
        <v>0</v>
      </c>
      <c r="L836" s="1">
        <f t="shared" si="174"/>
        <v>19</v>
      </c>
      <c r="M836" s="1" t="str">
        <f t="shared" si="175"/>
        <v>Student</v>
      </c>
      <c r="N836" s="9">
        <v>44849</v>
      </c>
      <c r="O836" s="1" t="s">
        <v>36</v>
      </c>
      <c r="P836" s="1" t="s">
        <v>37</v>
      </c>
      <c r="Q836" s="4">
        <v>75</v>
      </c>
      <c r="R836" s="13">
        <f t="shared" si="176"/>
        <v>75</v>
      </c>
      <c r="S836" s="6">
        <f t="shared" si="170"/>
        <v>0.75</v>
      </c>
      <c r="T836" s="1">
        <v>2</v>
      </c>
      <c r="U836" s="1">
        <f t="shared" si="177"/>
        <v>2</v>
      </c>
      <c r="V836" s="1">
        <f t="shared" si="178"/>
        <v>53.1</v>
      </c>
      <c r="W836" s="10" t="str">
        <f t="shared" si="179"/>
        <v>Medium</v>
      </c>
      <c r="X836" s="1" t="s">
        <v>76</v>
      </c>
      <c r="Y836" s="1" t="str">
        <f t="shared" si="180"/>
        <v>Yes</v>
      </c>
      <c r="Z836" s="14">
        <v>2</v>
      </c>
      <c r="AA836" s="18">
        <f t="shared" si="181"/>
        <v>2</v>
      </c>
      <c r="AB836" s="18" t="str">
        <f t="shared" si="182"/>
        <v>No</v>
      </c>
      <c r="AC836" s="9" t="s">
        <v>3291</v>
      </c>
      <c r="AD836">
        <f>IF(AC836="",0,LEN(AC836)-LEN(SUBSTITUTE(AC836,",",""))+1)</f>
        <v>6</v>
      </c>
    </row>
    <row r="837" spans="1:30" ht="12.5" x14ac:dyDescent="0.25">
      <c r="A837" s="1" t="s">
        <v>3292</v>
      </c>
      <c r="B837" s="1" t="s">
        <v>3293</v>
      </c>
      <c r="C837" s="1" t="str">
        <v>Michelle Thomas</v>
      </c>
      <c r="D837" s="1" t="s">
        <v>3294</v>
      </c>
      <c r="E837" s="1" t="str">
        <v>frichards@robinson-kennedy.com</v>
      </c>
      <c r="F837" t="str">
        <f t="shared" si="171"/>
        <v>Valid</v>
      </c>
      <c r="G837" s="1" t="s">
        <v>88</v>
      </c>
      <c r="H837" s="1" t="str">
        <f t="shared" si="172"/>
        <v>Male</v>
      </c>
      <c r="I837" s="1" t="s">
        <v>96</v>
      </c>
      <c r="J837" t="str">
        <f t="shared" si="173"/>
        <v>INDIA</v>
      </c>
      <c r="K837" s="14">
        <v>26</v>
      </c>
      <c r="L837" s="1">
        <f t="shared" si="174"/>
        <v>26</v>
      </c>
      <c r="M837" s="1" t="str">
        <f t="shared" si="175"/>
        <v>Early Career</v>
      </c>
      <c r="N837" s="2">
        <v>45718</v>
      </c>
      <c r="O837" s="1" t="s">
        <v>45</v>
      </c>
      <c r="P837" s="1" t="s">
        <v>20</v>
      </c>
      <c r="Q837" s="4">
        <v>36</v>
      </c>
      <c r="R837" s="13">
        <f t="shared" si="176"/>
        <v>36</v>
      </c>
      <c r="S837" s="6">
        <f t="shared" si="170"/>
        <v>0.36</v>
      </c>
      <c r="T837" s="1" t="s">
        <v>46</v>
      </c>
      <c r="U837" s="1">
        <f t="shared" si="177"/>
        <v>1</v>
      </c>
      <c r="V837" s="1">
        <f t="shared" si="178"/>
        <v>25.5</v>
      </c>
      <c r="W837" s="10" t="str">
        <f t="shared" si="179"/>
        <v>Low</v>
      </c>
      <c r="X837" s="1" t="s">
        <v>38</v>
      </c>
      <c r="Y837" s="1" t="str">
        <f t="shared" si="180"/>
        <v>No</v>
      </c>
      <c r="Z837" s="14">
        <v>6</v>
      </c>
      <c r="AA837" s="18">
        <f t="shared" si="181"/>
        <v>6</v>
      </c>
      <c r="AB837" s="18" t="str">
        <f t="shared" si="182"/>
        <v>No</v>
      </c>
      <c r="AC837" s="9" t="s">
        <v>3295</v>
      </c>
      <c r="AD837">
        <f>IF(AC837="",0,LEN(AC837)-LEN(SUBSTITUTE(AC837,",",""))+1)</f>
        <v>7</v>
      </c>
    </row>
    <row r="838" spans="1:30" ht="12.5" x14ac:dyDescent="0.25">
      <c r="A838" s="1" t="s">
        <v>3296</v>
      </c>
      <c r="B838" s="1" t="s">
        <v>3297</v>
      </c>
      <c r="C838" s="1" t="str">
        <v>Walter Garcia</v>
      </c>
      <c r="D838" s="1" t="s">
        <v>3298</v>
      </c>
      <c r="E838" s="1" t="str">
        <v>carla29@yahoo.com</v>
      </c>
      <c r="F838" t="str">
        <f t="shared" si="171"/>
        <v>Valid</v>
      </c>
      <c r="G838" s="1" t="s">
        <v>27</v>
      </c>
      <c r="H838" s="1" t="str">
        <f t="shared" si="172"/>
        <v>Male</v>
      </c>
      <c r="I838" s="1" t="s">
        <v>156</v>
      </c>
      <c r="J838" t="str">
        <f t="shared" si="173"/>
        <v>IN</v>
      </c>
      <c r="L838" s="1">
        <f t="shared" si="174"/>
        <v>19</v>
      </c>
      <c r="M838" s="1" t="str">
        <f t="shared" si="175"/>
        <v>Student</v>
      </c>
      <c r="N838" s="9">
        <v>45044</v>
      </c>
      <c r="O838" s="1" t="s">
        <v>235</v>
      </c>
      <c r="P838" s="1" t="s">
        <v>147</v>
      </c>
      <c r="Q838" s="4">
        <v>35</v>
      </c>
      <c r="R838" s="13">
        <f t="shared" si="176"/>
        <v>35</v>
      </c>
      <c r="S838" s="6">
        <f t="shared" si="170"/>
        <v>0.35</v>
      </c>
      <c r="T838" s="1">
        <v>2</v>
      </c>
      <c r="U838" s="1">
        <f t="shared" si="177"/>
        <v>2</v>
      </c>
      <c r="V838" s="1">
        <f t="shared" si="178"/>
        <v>25.1</v>
      </c>
      <c r="W838" s="10" t="str">
        <f t="shared" si="179"/>
        <v>Low</v>
      </c>
      <c r="X838" s="1" t="s">
        <v>32</v>
      </c>
      <c r="Y838" s="1" t="str">
        <f t="shared" si="180"/>
        <v>Yes</v>
      </c>
      <c r="Z838" s="14">
        <v>1</v>
      </c>
      <c r="AA838" s="18">
        <f t="shared" si="181"/>
        <v>1</v>
      </c>
      <c r="AB838" s="18" t="str">
        <f t="shared" si="182"/>
        <v>No</v>
      </c>
      <c r="AC838" s="9" t="s">
        <v>3299</v>
      </c>
      <c r="AD838">
        <f>IF(AC838="",0,LEN(AC838)-LEN(SUBSTITUTE(AC838,",",""))+1)</f>
        <v>1</v>
      </c>
    </row>
    <row r="839" spans="1:30" ht="12.5" x14ac:dyDescent="0.25">
      <c r="A839" s="1" t="s">
        <v>3300</v>
      </c>
      <c r="B839" s="1" t="s">
        <v>3301</v>
      </c>
      <c r="C839" s="1" t="str">
        <v>Randall Wright</v>
      </c>
      <c r="D839" s="1" t="s">
        <v>3302</v>
      </c>
      <c r="E839" s="1" t="str">
        <v>kevinmiller@hotmail.com</v>
      </c>
      <c r="F839" t="str">
        <f t="shared" si="171"/>
        <v>Valid</v>
      </c>
      <c r="G839" s="1" t="s">
        <v>57</v>
      </c>
      <c r="H839" s="1" t="str">
        <f t="shared" si="172"/>
        <v>Female</v>
      </c>
      <c r="I839" s="1" t="s">
        <v>44</v>
      </c>
      <c r="J839" t="str">
        <f t="shared" si="173"/>
        <v>CANADA</v>
      </c>
      <c r="K839" s="14">
        <v>45</v>
      </c>
      <c r="L839" s="1">
        <f t="shared" si="174"/>
        <v>45</v>
      </c>
      <c r="M839" s="1" t="str">
        <f t="shared" si="175"/>
        <v>Senior</v>
      </c>
      <c r="N839" s="9">
        <v>45712</v>
      </c>
      <c r="O839" s="1" t="s">
        <v>52</v>
      </c>
      <c r="P839" s="1" t="s">
        <v>37</v>
      </c>
      <c r="Q839" s="4">
        <v>77</v>
      </c>
      <c r="R839" s="13">
        <f t="shared" si="176"/>
        <v>77</v>
      </c>
      <c r="S839" s="6">
        <f t="shared" si="170"/>
        <v>0.77</v>
      </c>
      <c r="T839" s="1" t="s">
        <v>46</v>
      </c>
      <c r="U839" s="1">
        <f t="shared" si="177"/>
        <v>1</v>
      </c>
      <c r="V839" s="1">
        <f t="shared" si="178"/>
        <v>54.199999999999996</v>
      </c>
      <c r="W839" s="10" t="str">
        <f t="shared" si="179"/>
        <v>Medium</v>
      </c>
      <c r="X839" s="1" t="s">
        <v>76</v>
      </c>
      <c r="Y839" s="1" t="str">
        <f t="shared" si="180"/>
        <v>Yes</v>
      </c>
      <c r="Z839" s="14">
        <v>1</v>
      </c>
      <c r="AA839" s="18">
        <f t="shared" si="181"/>
        <v>1</v>
      </c>
      <c r="AB839" s="18" t="str">
        <f t="shared" si="182"/>
        <v>No</v>
      </c>
      <c r="AC839" s="9" t="s">
        <v>3303</v>
      </c>
      <c r="AD839">
        <f>IF(AC839="",0,LEN(AC839)-LEN(SUBSTITUTE(AC839,",",""))+1)</f>
        <v>5</v>
      </c>
    </row>
    <row r="840" spans="1:30" ht="12.5" x14ac:dyDescent="0.25">
      <c r="A840" s="1" t="s">
        <v>3304</v>
      </c>
      <c r="B840" s="1" t="s">
        <v>3305</v>
      </c>
      <c r="C840" s="1" t="str">
        <v>Sandra Davis</v>
      </c>
      <c r="D840" s="1" t="s">
        <v>3306</v>
      </c>
      <c r="E840" s="1" t="str">
        <v>william57@yahoo.com</v>
      </c>
      <c r="F840" t="str">
        <f t="shared" si="171"/>
        <v>Valid</v>
      </c>
      <c r="G840" s="1" t="s">
        <v>95</v>
      </c>
      <c r="H840" s="1" t="str">
        <f t="shared" si="172"/>
        <v>Male</v>
      </c>
      <c r="I840" s="1" t="s">
        <v>74</v>
      </c>
      <c r="J840" t="str">
        <f t="shared" si="173"/>
        <v>USA</v>
      </c>
      <c r="K840" s="14">
        <v>0</v>
      </c>
      <c r="L840" s="1">
        <f t="shared" si="174"/>
        <v>19</v>
      </c>
      <c r="M840" s="1" t="str">
        <f t="shared" si="175"/>
        <v>Student</v>
      </c>
      <c r="N840" s="2">
        <v>45516</v>
      </c>
      <c r="O840" s="1" t="s">
        <v>158</v>
      </c>
      <c r="P840" s="1" t="s">
        <v>59</v>
      </c>
      <c r="Q840" s="4">
        <v>61</v>
      </c>
      <c r="R840" s="13">
        <f t="shared" si="176"/>
        <v>61</v>
      </c>
      <c r="S840" s="6">
        <f t="shared" si="170"/>
        <v>0.61</v>
      </c>
      <c r="T840" s="1">
        <v>1.5</v>
      </c>
      <c r="U840" s="1">
        <f t="shared" si="177"/>
        <v>1.5</v>
      </c>
      <c r="V840" s="1">
        <f t="shared" si="178"/>
        <v>43.15</v>
      </c>
      <c r="W840" s="10" t="str">
        <f t="shared" si="179"/>
        <v>Medium</v>
      </c>
      <c r="X840" s="1" t="s">
        <v>76</v>
      </c>
      <c r="Y840" s="1" t="str">
        <f t="shared" si="180"/>
        <v>Yes</v>
      </c>
      <c r="AA840" s="18" t="str">
        <f t="shared" si="181"/>
        <v>Invalid</v>
      </c>
      <c r="AB840" s="18" t="str">
        <f t="shared" si="182"/>
        <v>High Performer</v>
      </c>
      <c r="AC840" s="9" t="s">
        <v>3307</v>
      </c>
      <c r="AD840">
        <f>IF(AC840="",0,LEN(AC840)-LEN(SUBSTITUTE(AC840,",",""))+1)</f>
        <v>8</v>
      </c>
    </row>
    <row r="841" spans="1:30" ht="12.5" x14ac:dyDescent="0.25">
      <c r="A841" s="1" t="s">
        <v>3308</v>
      </c>
      <c r="B841" s="1" t="s">
        <v>3309</v>
      </c>
      <c r="C841" s="1" t="str">
        <v>Thomas Johnson</v>
      </c>
      <c r="D841" s="1" t="s">
        <v>3310</v>
      </c>
      <c r="E841" s="1" t="str">
        <v>camposchristina@yahoo.com</v>
      </c>
      <c r="F841" t="str">
        <f t="shared" si="171"/>
        <v>Valid</v>
      </c>
      <c r="G841" s="1" t="s">
        <v>95</v>
      </c>
      <c r="H841" s="1" t="str">
        <f t="shared" si="172"/>
        <v>Male</v>
      </c>
      <c r="I841" s="1" t="s">
        <v>89</v>
      </c>
      <c r="J841" t="str">
        <f t="shared" si="173"/>
        <v>GERMANY</v>
      </c>
      <c r="K841" s="14">
        <v>0</v>
      </c>
      <c r="L841" s="1">
        <f t="shared" si="174"/>
        <v>19</v>
      </c>
      <c r="M841" s="1" t="str">
        <f t="shared" si="175"/>
        <v>Student</v>
      </c>
      <c r="N841" s="9">
        <v>45322</v>
      </c>
      <c r="O841" s="1" t="s">
        <v>158</v>
      </c>
      <c r="P841" s="1" t="s">
        <v>59</v>
      </c>
      <c r="Q841" s="4">
        <v>0.63</v>
      </c>
      <c r="R841" s="13">
        <f t="shared" si="176"/>
        <v>63</v>
      </c>
      <c r="S841" s="6">
        <f t="shared" si="170"/>
        <v>0.63</v>
      </c>
      <c r="T841" s="1">
        <v>2</v>
      </c>
      <c r="U841" s="1">
        <f t="shared" si="177"/>
        <v>2</v>
      </c>
      <c r="V841" s="1">
        <f t="shared" si="178"/>
        <v>44.699999999999996</v>
      </c>
      <c r="W841" s="10" t="str">
        <f t="shared" si="179"/>
        <v>Medium</v>
      </c>
      <c r="X841" s="1">
        <v>0</v>
      </c>
      <c r="Y841" s="1" t="str">
        <f t="shared" si="180"/>
        <v>No</v>
      </c>
      <c r="Z841" s="14">
        <v>2</v>
      </c>
      <c r="AA841" s="18">
        <f t="shared" si="181"/>
        <v>2</v>
      </c>
      <c r="AB841" s="18" t="str">
        <f t="shared" si="182"/>
        <v>No</v>
      </c>
      <c r="AC841" s="9" t="s">
        <v>704</v>
      </c>
      <c r="AD841">
        <f>IF(AC841="",0,LEN(AC841)-LEN(SUBSTITUTE(AC841,",",""))+1)</f>
        <v>5</v>
      </c>
    </row>
    <row r="842" spans="1:30" ht="12.5" x14ac:dyDescent="0.25">
      <c r="A842" s="1" t="s">
        <v>3311</v>
      </c>
      <c r="B842" s="1" t="s">
        <v>3312</v>
      </c>
      <c r="C842" s="1" t="str">
        <v>Stephanie Rich</v>
      </c>
      <c r="D842" s="1" t="s">
        <v>3313</v>
      </c>
      <c r="E842" s="1" t="str">
        <v>qmartinez@ford.info</v>
      </c>
      <c r="F842" t="str">
        <f t="shared" si="171"/>
        <v>Valid</v>
      </c>
      <c r="G842" s="1" t="s">
        <v>27</v>
      </c>
      <c r="H842" s="1" t="str">
        <f t="shared" si="172"/>
        <v>Male</v>
      </c>
      <c r="I842" s="1" t="s">
        <v>28</v>
      </c>
      <c r="J842" t="str">
        <f t="shared" si="173"/>
        <v>INDIA</v>
      </c>
      <c r="L842" s="1">
        <f t="shared" si="174"/>
        <v>19</v>
      </c>
      <c r="M842" s="1" t="str">
        <f t="shared" si="175"/>
        <v>Student</v>
      </c>
      <c r="N842" s="9">
        <v>45034</v>
      </c>
      <c r="O842" s="1" t="s">
        <v>69</v>
      </c>
      <c r="P842" s="1" t="s">
        <v>31</v>
      </c>
      <c r="Q842" s="4">
        <v>0.28999999999999998</v>
      </c>
      <c r="R842" s="13">
        <f t="shared" si="176"/>
        <v>28.999999999999996</v>
      </c>
      <c r="S842" s="6">
        <f t="shared" si="170"/>
        <v>0.28999999999999998</v>
      </c>
      <c r="T842" s="1">
        <v>1.5</v>
      </c>
      <c r="U842" s="1">
        <f t="shared" si="177"/>
        <v>1.5</v>
      </c>
      <c r="V842" s="1">
        <f t="shared" si="178"/>
        <v>20.749999999999996</v>
      </c>
      <c r="W842" s="10" t="str">
        <f t="shared" si="179"/>
        <v>Low</v>
      </c>
      <c r="X842" s="1" t="s">
        <v>76</v>
      </c>
      <c r="Y842" s="1" t="str">
        <f t="shared" si="180"/>
        <v>Yes</v>
      </c>
      <c r="Z842" s="14">
        <v>1</v>
      </c>
      <c r="AA842" s="18">
        <f t="shared" si="181"/>
        <v>1</v>
      </c>
      <c r="AB842" s="18" t="str">
        <f t="shared" si="182"/>
        <v>No</v>
      </c>
      <c r="AC842" s="9" t="s">
        <v>3314</v>
      </c>
      <c r="AD842">
        <f>IF(AC842="",0,LEN(AC842)-LEN(SUBSTITUTE(AC842,",",""))+1)</f>
        <v>6</v>
      </c>
    </row>
    <row r="843" spans="1:30" ht="12.5" x14ac:dyDescent="0.25">
      <c r="A843" s="1" t="s">
        <v>3315</v>
      </c>
      <c r="B843" s="1" t="s">
        <v>3316</v>
      </c>
      <c r="C843" s="1" t="str">
        <v>Mrs. Linda Short</v>
      </c>
      <c r="D843" s="1" t="s">
        <v>3317</v>
      </c>
      <c r="E843" s="1" t="str">
        <v>michelle19@hotmail.com</v>
      </c>
      <c r="F843" t="str">
        <f t="shared" si="171"/>
        <v>Valid</v>
      </c>
      <c r="G843" s="1" t="s">
        <v>57</v>
      </c>
      <c r="H843" s="1" t="str">
        <f t="shared" si="172"/>
        <v>Female</v>
      </c>
      <c r="I843" s="1" t="s">
        <v>156</v>
      </c>
      <c r="J843" t="str">
        <f t="shared" si="173"/>
        <v>IN</v>
      </c>
      <c r="K843" s="14">
        <v>0</v>
      </c>
      <c r="L843" s="1">
        <f t="shared" si="174"/>
        <v>19</v>
      </c>
      <c r="M843" s="1" t="str">
        <f t="shared" si="175"/>
        <v>Student</v>
      </c>
      <c r="N843" s="9">
        <v>44742</v>
      </c>
      <c r="O843" s="1" t="s">
        <v>90</v>
      </c>
      <c r="P843" s="1" t="s">
        <v>31</v>
      </c>
      <c r="Q843" s="4">
        <v>0.56000000000000005</v>
      </c>
      <c r="R843" s="13">
        <f t="shared" si="176"/>
        <v>56.000000000000007</v>
      </c>
      <c r="S843" s="6">
        <f t="shared" si="170"/>
        <v>0.56000000000000005</v>
      </c>
      <c r="T843" s="1">
        <v>1.5</v>
      </c>
      <c r="U843" s="1">
        <f t="shared" si="177"/>
        <v>1.5</v>
      </c>
      <c r="V843" s="1">
        <f t="shared" si="178"/>
        <v>39.650000000000006</v>
      </c>
      <c r="W843" s="10" t="str">
        <f t="shared" si="179"/>
        <v>Low</v>
      </c>
      <c r="X843" s="1">
        <v>0</v>
      </c>
      <c r="Y843" s="1" t="str">
        <f t="shared" si="180"/>
        <v>No</v>
      </c>
      <c r="Z843" s="14">
        <v>1</v>
      </c>
      <c r="AA843" s="18">
        <f t="shared" si="181"/>
        <v>1</v>
      </c>
      <c r="AB843" s="18" t="str">
        <f t="shared" si="182"/>
        <v>No</v>
      </c>
      <c r="AC843" s="9" t="s">
        <v>3318</v>
      </c>
      <c r="AD843">
        <f>IF(AC843="",0,LEN(AC843)-LEN(SUBSTITUTE(AC843,",",""))+1)</f>
        <v>6</v>
      </c>
    </row>
    <row r="844" spans="1:30" ht="12.5" x14ac:dyDescent="0.25">
      <c r="A844" s="1" t="s">
        <v>3319</v>
      </c>
      <c r="B844" s="1" t="s">
        <v>3320</v>
      </c>
      <c r="C844" s="1" t="str">
        <v>Charles Yang</v>
      </c>
      <c r="D844" s="1" t="s">
        <v>3321</v>
      </c>
      <c r="E844" s="1" t="str">
        <v>jeffreylowe@gmail.com</v>
      </c>
      <c r="F844" t="str">
        <f t="shared" si="171"/>
        <v>Valid</v>
      </c>
      <c r="G844" s="1" t="s">
        <v>57</v>
      </c>
      <c r="H844" s="1" t="str">
        <f t="shared" si="172"/>
        <v>Female</v>
      </c>
      <c r="I844" s="1" t="s">
        <v>136</v>
      </c>
      <c r="J844" t="str">
        <f t="shared" si="173"/>
        <v>UK</v>
      </c>
      <c r="K844" s="14">
        <v>0</v>
      </c>
      <c r="L844" s="1">
        <f t="shared" si="174"/>
        <v>19</v>
      </c>
      <c r="M844" s="1" t="str">
        <f t="shared" si="175"/>
        <v>Student</v>
      </c>
      <c r="N844" s="2">
        <v>45510</v>
      </c>
      <c r="O844" s="1" t="s">
        <v>58</v>
      </c>
      <c r="P844" s="1" t="s">
        <v>59</v>
      </c>
      <c r="Q844" s="4">
        <v>1</v>
      </c>
      <c r="R844" s="13">
        <f t="shared" si="176"/>
        <v>100</v>
      </c>
      <c r="S844" s="6">
        <f t="shared" si="170"/>
        <v>1</v>
      </c>
      <c r="T844" s="1">
        <v>1.5</v>
      </c>
      <c r="U844" s="1">
        <f t="shared" si="177"/>
        <v>1.5</v>
      </c>
      <c r="V844" s="1">
        <f t="shared" si="178"/>
        <v>70.45</v>
      </c>
      <c r="W844" s="10" t="str">
        <f t="shared" si="179"/>
        <v>Medium</v>
      </c>
      <c r="X844" s="1" t="s">
        <v>32</v>
      </c>
      <c r="Y844" s="1" t="str">
        <f t="shared" si="180"/>
        <v>Yes</v>
      </c>
      <c r="Z844" s="14">
        <v>3</v>
      </c>
      <c r="AA844" s="18">
        <f t="shared" si="181"/>
        <v>3</v>
      </c>
      <c r="AB844" s="18" t="str">
        <f t="shared" si="182"/>
        <v>No</v>
      </c>
      <c r="AC844" s="9" t="s">
        <v>3322</v>
      </c>
      <c r="AD844">
        <f>IF(AC844="",0,LEN(AC844)-LEN(SUBSTITUTE(AC844,",",""))+1)</f>
        <v>3</v>
      </c>
    </row>
    <row r="845" spans="1:30" ht="12.5" x14ac:dyDescent="0.25">
      <c r="A845" s="1" t="s">
        <v>3323</v>
      </c>
      <c r="B845" s="1" t="s">
        <v>3324</v>
      </c>
      <c r="C845" s="1" t="str">
        <v>Renee Hanson</v>
      </c>
      <c r="D845" s="1" t="s">
        <v>3325</v>
      </c>
      <c r="E845" s="1" t="str">
        <v>joneseric@meyer.com</v>
      </c>
      <c r="F845" t="str">
        <f t="shared" si="171"/>
        <v>Valid</v>
      </c>
      <c r="G845" s="1" t="s">
        <v>57</v>
      </c>
      <c r="H845" s="1" t="str">
        <f t="shared" si="172"/>
        <v>Female</v>
      </c>
      <c r="I845" s="1" t="s">
        <v>89</v>
      </c>
      <c r="J845" t="str">
        <f t="shared" si="173"/>
        <v>GERMANY</v>
      </c>
      <c r="K845" s="14">
        <v>0</v>
      </c>
      <c r="L845" s="1">
        <f t="shared" si="174"/>
        <v>19</v>
      </c>
      <c r="M845" s="1" t="str">
        <f t="shared" si="175"/>
        <v>Student</v>
      </c>
      <c r="N845" s="9">
        <v>45125</v>
      </c>
      <c r="O845" s="1" t="s">
        <v>301</v>
      </c>
      <c r="P845" s="1" t="s">
        <v>20</v>
      </c>
      <c r="Q845" s="4">
        <v>0.77</v>
      </c>
      <c r="R845" s="13">
        <f t="shared" si="176"/>
        <v>77</v>
      </c>
      <c r="S845" s="6">
        <f t="shared" si="170"/>
        <v>0.77</v>
      </c>
      <c r="T845" s="1">
        <v>45</v>
      </c>
      <c r="U845" s="1">
        <f t="shared" si="177"/>
        <v>45</v>
      </c>
      <c r="V845" s="1">
        <f t="shared" si="178"/>
        <v>67.400000000000006</v>
      </c>
      <c r="W845" s="10" t="str">
        <f t="shared" si="179"/>
        <v>Medium</v>
      </c>
      <c r="X845" s="1">
        <v>0</v>
      </c>
      <c r="Y845" s="1" t="str">
        <f t="shared" si="180"/>
        <v>No</v>
      </c>
      <c r="Z845" s="14">
        <v>2</v>
      </c>
      <c r="AA845" s="18">
        <f t="shared" si="181"/>
        <v>2</v>
      </c>
      <c r="AB845" s="18" t="str">
        <f t="shared" si="182"/>
        <v>No</v>
      </c>
      <c r="AC845" s="9" t="s">
        <v>3326</v>
      </c>
      <c r="AD845">
        <f>IF(AC845="",0,LEN(AC845)-LEN(SUBSTITUTE(AC845,",",""))+1)</f>
        <v>3</v>
      </c>
    </row>
    <row r="846" spans="1:30" ht="12.5" x14ac:dyDescent="0.25">
      <c r="A846" s="1" t="s">
        <v>3327</v>
      </c>
      <c r="B846" s="1" t="s">
        <v>3328</v>
      </c>
      <c r="C846" s="1" t="str">
        <v>Anthony Martinez</v>
      </c>
      <c r="D846" s="1" t="s">
        <v>3329</v>
      </c>
      <c r="E846" s="1" t="str">
        <v>pmcgrath@hotmail.com</v>
      </c>
      <c r="F846" t="str">
        <f t="shared" si="171"/>
        <v>Valid</v>
      </c>
      <c r="G846" s="1" t="s">
        <v>88</v>
      </c>
      <c r="H846" s="1" t="str">
        <f t="shared" si="172"/>
        <v>Male</v>
      </c>
      <c r="I846" s="1" t="s">
        <v>96</v>
      </c>
      <c r="J846" t="str">
        <f t="shared" si="173"/>
        <v>INDIA</v>
      </c>
      <c r="K846" s="14">
        <v>41</v>
      </c>
      <c r="L846" s="1">
        <f t="shared" si="174"/>
        <v>41</v>
      </c>
      <c r="M846" s="1" t="str">
        <f t="shared" si="175"/>
        <v>Senior</v>
      </c>
      <c r="N846" s="9">
        <v>44818</v>
      </c>
      <c r="O846" s="1" t="s">
        <v>170</v>
      </c>
      <c r="P846" s="1" t="s">
        <v>147</v>
      </c>
      <c r="Q846" s="4">
        <v>28</v>
      </c>
      <c r="R846" s="13">
        <f t="shared" si="176"/>
        <v>28</v>
      </c>
      <c r="S846" s="6">
        <f t="shared" si="170"/>
        <v>0.28000000000000003</v>
      </c>
      <c r="T846" s="1">
        <v>1.5</v>
      </c>
      <c r="U846" s="1">
        <f t="shared" si="177"/>
        <v>1.5</v>
      </c>
      <c r="V846" s="1">
        <f t="shared" si="178"/>
        <v>20.049999999999997</v>
      </c>
      <c r="W846" s="10" t="str">
        <f t="shared" si="179"/>
        <v>Low</v>
      </c>
      <c r="X846" s="1">
        <v>1</v>
      </c>
      <c r="Y846" s="1" t="str">
        <f t="shared" si="180"/>
        <v>Yes</v>
      </c>
      <c r="Z846" s="14">
        <v>5</v>
      </c>
      <c r="AA846" s="18">
        <f t="shared" si="181"/>
        <v>5</v>
      </c>
      <c r="AB846" s="18" t="str">
        <f t="shared" si="182"/>
        <v>High Performer</v>
      </c>
      <c r="AC846" s="9" t="s">
        <v>3330</v>
      </c>
      <c r="AD846">
        <f>IF(AC846="",0,LEN(AC846)-LEN(SUBSTITUTE(AC846,",",""))+1)</f>
        <v>2</v>
      </c>
    </row>
    <row r="847" spans="1:30" ht="12.5" x14ac:dyDescent="0.25">
      <c r="A847" s="1" t="s">
        <v>3331</v>
      </c>
      <c r="B847" s="1" t="s">
        <v>3332</v>
      </c>
      <c r="C847" s="1" t="str">
        <v>Lisa Reynolds</v>
      </c>
      <c r="D847" s="1" t="s">
        <v>3333</v>
      </c>
      <c r="E847" s="1" t="str">
        <v>donaldgarner@jackson.net</v>
      </c>
      <c r="F847" t="str">
        <f t="shared" si="171"/>
        <v>Valid</v>
      </c>
      <c r="G847" s="1" t="s">
        <v>27</v>
      </c>
      <c r="H847" s="1" t="str">
        <f t="shared" si="172"/>
        <v>Male</v>
      </c>
      <c r="I847" s="1" t="s">
        <v>89</v>
      </c>
      <c r="J847" t="str">
        <f t="shared" si="173"/>
        <v>GERMANY</v>
      </c>
      <c r="K847" s="14">
        <v>28</v>
      </c>
      <c r="L847" s="1">
        <f t="shared" si="174"/>
        <v>28</v>
      </c>
      <c r="M847" s="1" t="str">
        <f t="shared" si="175"/>
        <v>Early Career</v>
      </c>
      <c r="N847" s="9">
        <v>45062</v>
      </c>
      <c r="O847" s="1" t="s">
        <v>45</v>
      </c>
      <c r="P847" s="1" t="s">
        <v>20</v>
      </c>
      <c r="Q847" s="4">
        <v>0.56000000000000005</v>
      </c>
      <c r="R847" s="13">
        <f t="shared" si="176"/>
        <v>56.000000000000007</v>
      </c>
      <c r="S847" s="6">
        <f t="shared" si="170"/>
        <v>0.56000000000000005</v>
      </c>
      <c r="T847" s="1" t="s">
        <v>46</v>
      </c>
      <c r="U847" s="1">
        <f t="shared" si="177"/>
        <v>1</v>
      </c>
      <c r="V847" s="1">
        <f t="shared" si="178"/>
        <v>39.5</v>
      </c>
      <c r="W847" s="10" t="str">
        <f t="shared" si="179"/>
        <v>Low</v>
      </c>
      <c r="X847" s="1" t="s">
        <v>32</v>
      </c>
      <c r="Y847" s="1" t="str">
        <f t="shared" si="180"/>
        <v>Yes</v>
      </c>
      <c r="Z847" s="14">
        <v>3</v>
      </c>
      <c r="AA847" s="18">
        <f t="shared" si="181"/>
        <v>3</v>
      </c>
      <c r="AB847" s="18" t="str">
        <f t="shared" si="182"/>
        <v>No</v>
      </c>
      <c r="AC847" s="9" t="s">
        <v>3335</v>
      </c>
      <c r="AD847">
        <f>IF(AC847="",0,LEN(AC847)-LEN(SUBSTITUTE(AC847,",",""))+1)</f>
        <v>8</v>
      </c>
    </row>
    <row r="848" spans="1:30" ht="12.5" x14ac:dyDescent="0.25">
      <c r="A848" s="1" t="s">
        <v>3336</v>
      </c>
      <c r="B848" s="1" t="s">
        <v>3337</v>
      </c>
      <c r="C848" s="1" t="str">
        <v>Tina Vasquez</v>
      </c>
      <c r="D848" s="1" t="s">
        <v>3338</v>
      </c>
      <c r="E848" s="1" t="str">
        <v>zcruz@gmail.com</v>
      </c>
      <c r="F848" t="str">
        <f t="shared" si="171"/>
        <v>Valid</v>
      </c>
      <c r="G848" s="1" t="s">
        <v>88</v>
      </c>
      <c r="H848" s="1" t="str">
        <f t="shared" si="172"/>
        <v>Male</v>
      </c>
      <c r="I848" s="1" t="s">
        <v>156</v>
      </c>
      <c r="J848" t="str">
        <f t="shared" si="173"/>
        <v>IN</v>
      </c>
      <c r="L848" s="1">
        <f t="shared" si="174"/>
        <v>19</v>
      </c>
      <c r="M848" s="1" t="str">
        <f t="shared" si="175"/>
        <v>Student</v>
      </c>
      <c r="N848" s="2">
        <v>45262</v>
      </c>
      <c r="O848" s="1" t="s">
        <v>170</v>
      </c>
      <c r="P848" s="1" t="s">
        <v>147</v>
      </c>
      <c r="Q848" s="4">
        <v>88</v>
      </c>
      <c r="R848" s="13">
        <f t="shared" si="176"/>
        <v>88</v>
      </c>
      <c r="S848" s="6">
        <f t="shared" si="170"/>
        <v>0.88</v>
      </c>
      <c r="T848" s="1" t="s">
        <v>46</v>
      </c>
      <c r="U848" s="1">
        <f t="shared" si="177"/>
        <v>1</v>
      </c>
      <c r="V848" s="1">
        <f t="shared" si="178"/>
        <v>61.899999999999991</v>
      </c>
      <c r="W848" s="10" t="str">
        <f t="shared" si="179"/>
        <v>Medium</v>
      </c>
      <c r="X848" s="1" t="s">
        <v>76</v>
      </c>
      <c r="Y848" s="1" t="str">
        <f t="shared" si="180"/>
        <v>Yes</v>
      </c>
      <c r="Z848" s="14">
        <v>2</v>
      </c>
      <c r="AA848" s="18">
        <f t="shared" si="181"/>
        <v>2</v>
      </c>
      <c r="AB848" s="18" t="str">
        <f t="shared" si="182"/>
        <v>No</v>
      </c>
      <c r="AC848" s="9" t="s">
        <v>3339</v>
      </c>
      <c r="AD848">
        <f>IF(AC848="",0,LEN(AC848)-LEN(SUBSTITUTE(AC848,",",""))+1)</f>
        <v>6</v>
      </c>
    </row>
    <row r="849" spans="1:30" ht="12.5" x14ac:dyDescent="0.25">
      <c r="A849" s="1" t="s">
        <v>3340</v>
      </c>
      <c r="B849" s="1" t="s">
        <v>3341</v>
      </c>
      <c r="C849" s="1" t="str">
        <v>Jim Elliott</v>
      </c>
      <c r="D849" s="1" t="s">
        <v>3342</v>
      </c>
      <c r="E849" s="1" t="str">
        <v>austin97@odonnell.com</v>
      </c>
      <c r="F849" t="str">
        <f t="shared" si="171"/>
        <v>Valid</v>
      </c>
      <c r="G849" s="1" t="s">
        <v>109</v>
      </c>
      <c r="H849" s="1" t="str">
        <f t="shared" si="172"/>
        <v>Male</v>
      </c>
      <c r="I849" s="1" t="s">
        <v>96</v>
      </c>
      <c r="J849" t="str">
        <f t="shared" si="173"/>
        <v>INDIA</v>
      </c>
      <c r="L849" s="1">
        <f t="shared" si="174"/>
        <v>19</v>
      </c>
      <c r="M849" s="1" t="str">
        <f t="shared" si="175"/>
        <v>Student</v>
      </c>
      <c r="N849" s="9">
        <v>45378</v>
      </c>
      <c r="O849" s="1" t="s">
        <v>75</v>
      </c>
      <c r="P849" s="1" t="s">
        <v>37</v>
      </c>
      <c r="Q849" s="4">
        <v>1</v>
      </c>
      <c r="R849" s="13">
        <f t="shared" si="176"/>
        <v>100</v>
      </c>
      <c r="S849" s="6">
        <f t="shared" si="170"/>
        <v>1</v>
      </c>
      <c r="T849" s="1">
        <v>45</v>
      </c>
      <c r="U849" s="1">
        <f t="shared" si="177"/>
        <v>45</v>
      </c>
      <c r="V849" s="1">
        <f t="shared" si="178"/>
        <v>83.5</v>
      </c>
      <c r="W849" s="10" t="str">
        <f t="shared" si="179"/>
        <v>High</v>
      </c>
      <c r="X849" s="1">
        <v>0</v>
      </c>
      <c r="Y849" s="1" t="str">
        <f t="shared" si="180"/>
        <v>No</v>
      </c>
      <c r="Z849" s="14">
        <v>4</v>
      </c>
      <c r="AA849" s="18">
        <f t="shared" si="181"/>
        <v>4</v>
      </c>
      <c r="AB849" s="18" t="str">
        <f t="shared" si="182"/>
        <v>No</v>
      </c>
      <c r="AC849" s="9" t="s">
        <v>3343</v>
      </c>
      <c r="AD849">
        <f>IF(AC849="",0,LEN(AC849)-LEN(SUBSTITUTE(AC849,",",""))+1)</f>
        <v>8</v>
      </c>
    </row>
    <row r="850" spans="1:30" ht="12.5" x14ac:dyDescent="0.25">
      <c r="A850" s="1" t="s">
        <v>3344</v>
      </c>
      <c r="B850" s="1" t="s">
        <v>3345</v>
      </c>
      <c r="C850" s="1" t="str">
        <v>Christopher Mason</v>
      </c>
      <c r="D850" s="1" t="s">
        <v>3346</v>
      </c>
      <c r="E850" s="1" t="str">
        <v>rachel86@brown.org</v>
      </c>
      <c r="F850" t="str">
        <f t="shared" si="171"/>
        <v>Valid</v>
      </c>
      <c r="G850" s="1" t="s">
        <v>109</v>
      </c>
      <c r="H850" s="1" t="str">
        <f t="shared" si="172"/>
        <v>Male</v>
      </c>
      <c r="I850" s="1" t="s">
        <v>136</v>
      </c>
      <c r="J850" t="str">
        <f t="shared" si="173"/>
        <v>UK</v>
      </c>
      <c r="K850" s="14">
        <v>38</v>
      </c>
      <c r="L850" s="1">
        <f t="shared" si="174"/>
        <v>38</v>
      </c>
      <c r="M850" s="1" t="str">
        <f t="shared" si="175"/>
        <v>Mid Career</v>
      </c>
      <c r="N850" s="2">
        <v>45326</v>
      </c>
      <c r="O850" s="1" t="s">
        <v>146</v>
      </c>
      <c r="P850" s="1" t="s">
        <v>147</v>
      </c>
      <c r="Q850" s="4">
        <v>0.15</v>
      </c>
      <c r="R850" s="13">
        <f t="shared" si="176"/>
        <v>15</v>
      </c>
      <c r="S850" s="6">
        <f t="shared" si="170"/>
        <v>0.15</v>
      </c>
      <c r="T850" s="1">
        <v>2</v>
      </c>
      <c r="U850" s="1">
        <f t="shared" si="177"/>
        <v>2</v>
      </c>
      <c r="V850" s="1">
        <f t="shared" si="178"/>
        <v>11.1</v>
      </c>
      <c r="W850" s="10" t="str">
        <f t="shared" si="179"/>
        <v>Low</v>
      </c>
      <c r="X850" s="1" t="s">
        <v>38</v>
      </c>
      <c r="Y850" s="1" t="str">
        <f t="shared" si="180"/>
        <v>No</v>
      </c>
      <c r="Z850" s="14">
        <v>1</v>
      </c>
      <c r="AA850" s="18">
        <f t="shared" si="181"/>
        <v>1</v>
      </c>
      <c r="AB850" s="18" t="str">
        <f t="shared" si="182"/>
        <v>No</v>
      </c>
      <c r="AC850" s="9" t="s">
        <v>3347</v>
      </c>
      <c r="AD850">
        <f>IF(AC850="",0,LEN(AC850)-LEN(SUBSTITUTE(AC850,",",""))+1)</f>
        <v>5</v>
      </c>
    </row>
    <row r="851" spans="1:30" ht="12.5" x14ac:dyDescent="0.25">
      <c r="A851" s="1" t="s">
        <v>3348</v>
      </c>
      <c r="B851" s="1" t="s">
        <v>3349</v>
      </c>
      <c r="C851" s="1" t="str">
        <v>Richard Barrett</v>
      </c>
      <c r="D851" s="1" t="s">
        <v>3350</v>
      </c>
      <c r="E851" s="1" t="str">
        <v>hendricksdeanna@yahoo.com</v>
      </c>
      <c r="F851" t="str">
        <f t="shared" si="171"/>
        <v>Valid</v>
      </c>
      <c r="G851" s="1" t="s">
        <v>109</v>
      </c>
      <c r="H851" s="1" t="str">
        <f t="shared" si="172"/>
        <v>Male</v>
      </c>
      <c r="I851" s="1" t="s">
        <v>28</v>
      </c>
      <c r="J851" t="str">
        <f t="shared" si="173"/>
        <v>INDIA</v>
      </c>
      <c r="L851" s="1">
        <f t="shared" si="174"/>
        <v>19</v>
      </c>
      <c r="M851" s="1" t="str">
        <f t="shared" si="175"/>
        <v>Student</v>
      </c>
      <c r="N851" s="9">
        <v>45185</v>
      </c>
      <c r="O851" s="1" t="s">
        <v>19</v>
      </c>
      <c r="P851" s="1" t="s">
        <v>20</v>
      </c>
      <c r="Q851" s="4">
        <v>0.7</v>
      </c>
      <c r="R851" s="13">
        <f t="shared" si="176"/>
        <v>70</v>
      </c>
      <c r="S851" s="6">
        <f t="shared" si="170"/>
        <v>0.7</v>
      </c>
      <c r="T851" s="1" t="s">
        <v>64</v>
      </c>
      <c r="U851" s="1">
        <f t="shared" si="177"/>
        <v>2</v>
      </c>
      <c r="V851" s="1">
        <f t="shared" si="178"/>
        <v>49.6</v>
      </c>
      <c r="W851" s="10" t="str">
        <f t="shared" si="179"/>
        <v>Medium</v>
      </c>
      <c r="X851" s="1" t="s">
        <v>22</v>
      </c>
      <c r="Y851" s="1" t="str">
        <f t="shared" si="180"/>
        <v>No</v>
      </c>
      <c r="AA851" s="18" t="str">
        <f t="shared" si="181"/>
        <v>Invalid</v>
      </c>
      <c r="AB851" s="18" t="str">
        <f t="shared" si="182"/>
        <v>No</v>
      </c>
      <c r="AC851" s="9" t="s">
        <v>3351</v>
      </c>
      <c r="AD851">
        <f>IF(AC851="",0,LEN(AC851)-LEN(SUBSTITUTE(AC851,",",""))+1)</f>
        <v>2</v>
      </c>
    </row>
    <row r="852" spans="1:30" ht="12.5" x14ac:dyDescent="0.25">
      <c r="A852" s="1" t="s">
        <v>3352</v>
      </c>
      <c r="B852" s="1" t="s">
        <v>3353</v>
      </c>
      <c r="C852" s="1" t="str">
        <v>Katie Hopkins</v>
      </c>
      <c r="D852" s="1" t="s">
        <v>3354</v>
      </c>
      <c r="E852" s="1" t="str">
        <v>heidichapman@hotmail.com</v>
      </c>
      <c r="F852" t="str">
        <f t="shared" si="171"/>
        <v>Valid</v>
      </c>
      <c r="G852" s="1" t="s">
        <v>17</v>
      </c>
      <c r="H852" s="1" t="str">
        <f t="shared" si="172"/>
        <v>Female</v>
      </c>
      <c r="I852" s="1" t="s">
        <v>156</v>
      </c>
      <c r="J852" t="str">
        <f t="shared" si="173"/>
        <v>IN</v>
      </c>
      <c r="L852" s="1">
        <f t="shared" si="174"/>
        <v>19</v>
      </c>
      <c r="M852" s="1" t="str">
        <f t="shared" si="175"/>
        <v>Student</v>
      </c>
      <c r="N852" s="2">
        <v>45508</v>
      </c>
      <c r="O852" s="1" t="s">
        <v>19</v>
      </c>
      <c r="P852" s="1" t="s">
        <v>20</v>
      </c>
      <c r="Q852" s="4">
        <v>0.51</v>
      </c>
      <c r="R852" s="13">
        <f t="shared" si="176"/>
        <v>51</v>
      </c>
      <c r="S852" s="6">
        <f t="shared" si="170"/>
        <v>0.51</v>
      </c>
      <c r="T852" s="1" t="s">
        <v>64</v>
      </c>
      <c r="U852" s="1">
        <f t="shared" si="177"/>
        <v>2</v>
      </c>
      <c r="V852" s="1">
        <f t="shared" si="178"/>
        <v>36.299999999999997</v>
      </c>
      <c r="W852" s="10" t="str">
        <f t="shared" si="179"/>
        <v>Low</v>
      </c>
      <c r="X852" s="1">
        <v>1</v>
      </c>
      <c r="Y852" s="1" t="str">
        <f t="shared" si="180"/>
        <v>Yes</v>
      </c>
      <c r="AA852" s="18" t="str">
        <f t="shared" si="181"/>
        <v>Invalid</v>
      </c>
      <c r="AB852" s="18" t="str">
        <f t="shared" si="182"/>
        <v>High Performer</v>
      </c>
      <c r="AC852" s="9" t="s">
        <v>3355</v>
      </c>
      <c r="AD852">
        <f>IF(AC852="",0,LEN(AC852)-LEN(SUBSTITUTE(AC852,",",""))+1)</f>
        <v>7</v>
      </c>
    </row>
    <row r="853" spans="1:30" ht="12.5" x14ac:dyDescent="0.25">
      <c r="A853" s="1" t="s">
        <v>3356</v>
      </c>
      <c r="B853" s="1" t="s">
        <v>3357</v>
      </c>
      <c r="C853" s="1" t="str">
        <v>Allen Quinn</v>
      </c>
      <c r="D853" s="1" t="s">
        <v>3358</v>
      </c>
      <c r="E853" s="1" t="str">
        <v>ortegavictor@alvarez.com</v>
      </c>
      <c r="F853" t="str">
        <f t="shared" si="171"/>
        <v>Valid</v>
      </c>
      <c r="G853" s="1" t="s">
        <v>88</v>
      </c>
      <c r="H853" s="1" t="str">
        <f t="shared" si="172"/>
        <v>Male</v>
      </c>
      <c r="I853" s="1" t="s">
        <v>44</v>
      </c>
      <c r="J853" t="str">
        <f t="shared" si="173"/>
        <v>CANADA</v>
      </c>
      <c r="L853" s="1">
        <f t="shared" si="174"/>
        <v>19</v>
      </c>
      <c r="M853" s="1" t="str">
        <f t="shared" si="175"/>
        <v>Student</v>
      </c>
      <c r="N853" s="9">
        <v>45198</v>
      </c>
      <c r="O853" s="1" t="s">
        <v>45</v>
      </c>
      <c r="P853" s="1" t="s">
        <v>20</v>
      </c>
      <c r="Q853" s="4">
        <v>45</v>
      </c>
      <c r="R853" s="13">
        <f t="shared" si="176"/>
        <v>45</v>
      </c>
      <c r="S853" s="6">
        <f t="shared" si="170"/>
        <v>0.45</v>
      </c>
      <c r="T853" s="1">
        <v>1.5</v>
      </c>
      <c r="U853" s="1">
        <f t="shared" si="177"/>
        <v>1.5</v>
      </c>
      <c r="V853" s="1">
        <f t="shared" si="178"/>
        <v>31.949999999999996</v>
      </c>
      <c r="W853" s="10" t="str">
        <f t="shared" si="179"/>
        <v>Low</v>
      </c>
      <c r="X853" s="1">
        <v>0</v>
      </c>
      <c r="Y853" s="1" t="str">
        <f t="shared" si="180"/>
        <v>No</v>
      </c>
      <c r="Z853" s="14">
        <v>4</v>
      </c>
      <c r="AA853" s="18">
        <f t="shared" si="181"/>
        <v>4</v>
      </c>
      <c r="AB853" s="18" t="str">
        <f t="shared" si="182"/>
        <v>No</v>
      </c>
      <c r="AC853" s="9" t="s">
        <v>1574</v>
      </c>
      <c r="AD853">
        <f>IF(AC853="",0,LEN(AC853)-LEN(SUBSTITUTE(AC853,",",""))+1)</f>
        <v>1</v>
      </c>
    </row>
    <row r="854" spans="1:30" ht="12.5" x14ac:dyDescent="0.25">
      <c r="A854" s="1" t="s">
        <v>3359</v>
      </c>
      <c r="B854" s="1" t="s">
        <v>3360</v>
      </c>
      <c r="C854" s="1" t="str">
        <v>Nicole Fisher</v>
      </c>
      <c r="D854" s="1" t="s">
        <v>3361</v>
      </c>
      <c r="E854" s="1" t="str">
        <v>salazardanny@jones.com</v>
      </c>
      <c r="F854" t="str">
        <f t="shared" si="171"/>
        <v>Valid</v>
      </c>
      <c r="G854" s="1" t="s">
        <v>88</v>
      </c>
      <c r="H854" s="1" t="str">
        <f t="shared" si="172"/>
        <v>Male</v>
      </c>
      <c r="I854" s="1" t="s">
        <v>156</v>
      </c>
      <c r="J854" t="str">
        <f t="shared" si="173"/>
        <v>IN</v>
      </c>
      <c r="K854" s="14">
        <v>32</v>
      </c>
      <c r="L854" s="1">
        <f t="shared" si="174"/>
        <v>32</v>
      </c>
      <c r="M854" s="1" t="str">
        <f t="shared" si="175"/>
        <v>Mid Career</v>
      </c>
      <c r="N854" s="9">
        <v>44821</v>
      </c>
      <c r="O854" s="1" t="s">
        <v>146</v>
      </c>
      <c r="P854" s="1" t="s">
        <v>147</v>
      </c>
      <c r="Q854" s="4">
        <v>75</v>
      </c>
      <c r="R854" s="13">
        <f t="shared" si="176"/>
        <v>75</v>
      </c>
      <c r="S854" s="6">
        <f t="shared" si="170"/>
        <v>0.75</v>
      </c>
      <c r="T854" s="1" t="s">
        <v>21</v>
      </c>
      <c r="U854" s="1">
        <f t="shared" si="177"/>
        <v>1.5</v>
      </c>
      <c r="V854" s="1">
        <f t="shared" si="178"/>
        <v>52.95</v>
      </c>
      <c r="W854" s="10" t="str">
        <f t="shared" si="179"/>
        <v>Medium</v>
      </c>
      <c r="X854" s="1">
        <v>1</v>
      </c>
      <c r="Y854" s="1" t="str">
        <f t="shared" si="180"/>
        <v>Yes</v>
      </c>
      <c r="Z854" s="14">
        <v>5</v>
      </c>
      <c r="AA854" s="18">
        <f t="shared" si="181"/>
        <v>5</v>
      </c>
      <c r="AB854" s="18" t="str">
        <f t="shared" si="182"/>
        <v>High Performer</v>
      </c>
      <c r="AC854" s="9" t="s">
        <v>3362</v>
      </c>
      <c r="AD854">
        <f>IF(AC854="",0,LEN(AC854)-LEN(SUBSTITUTE(AC854,",",""))+1)</f>
        <v>2</v>
      </c>
    </row>
    <row r="855" spans="1:30" ht="12.5" x14ac:dyDescent="0.25">
      <c r="A855" s="1" t="s">
        <v>3363</v>
      </c>
      <c r="B855" s="1" t="s">
        <v>3364</v>
      </c>
      <c r="C855" s="1" t="str">
        <v>William Berry</v>
      </c>
      <c r="D855" s="1" t="s">
        <v>3365</v>
      </c>
      <c r="E855" s="1" t="str">
        <v>johnnykim@perez-harmon.biz</v>
      </c>
      <c r="F855" t="str">
        <f t="shared" si="171"/>
        <v>Valid</v>
      </c>
      <c r="G855" s="1" t="s">
        <v>88</v>
      </c>
      <c r="H855" s="1" t="str">
        <f t="shared" si="172"/>
        <v>Male</v>
      </c>
      <c r="I855" s="1" t="s">
        <v>44</v>
      </c>
      <c r="J855" t="str">
        <f t="shared" si="173"/>
        <v>CANADA</v>
      </c>
      <c r="L855" s="1">
        <f t="shared" si="174"/>
        <v>19</v>
      </c>
      <c r="M855" s="1" t="str">
        <f t="shared" si="175"/>
        <v>Student</v>
      </c>
      <c r="N855" s="2">
        <v>44958</v>
      </c>
      <c r="O855" s="1" t="s">
        <v>36</v>
      </c>
      <c r="P855" s="1" t="s">
        <v>37</v>
      </c>
      <c r="Q855" s="4">
        <v>0.06</v>
      </c>
      <c r="R855" s="13">
        <f t="shared" si="176"/>
        <v>6</v>
      </c>
      <c r="S855" s="6">
        <f t="shared" si="170"/>
        <v>0.06</v>
      </c>
      <c r="T855" s="1">
        <v>2</v>
      </c>
      <c r="U855" s="1">
        <f t="shared" si="177"/>
        <v>2</v>
      </c>
      <c r="V855" s="1">
        <f t="shared" si="178"/>
        <v>4.7999999999999989</v>
      </c>
      <c r="W855" s="10" t="str">
        <f t="shared" si="179"/>
        <v>Low</v>
      </c>
      <c r="X855" s="1" t="s">
        <v>22</v>
      </c>
      <c r="Y855" s="1" t="str">
        <f t="shared" si="180"/>
        <v>No</v>
      </c>
      <c r="Z855" s="14">
        <v>5</v>
      </c>
      <c r="AA855" s="18">
        <f t="shared" si="181"/>
        <v>5</v>
      </c>
      <c r="AB855" s="18" t="str">
        <f t="shared" si="182"/>
        <v>No</v>
      </c>
      <c r="AC855" s="9" t="s">
        <v>3366</v>
      </c>
      <c r="AD855">
        <f>IF(AC855="",0,LEN(AC855)-LEN(SUBSTITUTE(AC855,",",""))+1)</f>
        <v>4</v>
      </c>
    </row>
    <row r="856" spans="1:30" ht="12.5" x14ac:dyDescent="0.25">
      <c r="A856" s="1" t="s">
        <v>3367</v>
      </c>
      <c r="B856" s="1" t="s">
        <v>3368</v>
      </c>
      <c r="C856" s="1" t="str">
        <v>Lori Barnett</v>
      </c>
      <c r="D856" s="1" t="s">
        <v>3369</v>
      </c>
      <c r="E856" s="1" t="str">
        <v>patrickpatricia@schroeder-carroll.com</v>
      </c>
      <c r="F856" t="str">
        <f t="shared" si="171"/>
        <v>Valid</v>
      </c>
      <c r="G856" s="1" t="s">
        <v>109</v>
      </c>
      <c r="H856" s="1" t="str">
        <f t="shared" si="172"/>
        <v>Male</v>
      </c>
      <c r="I856" s="1" t="s">
        <v>74</v>
      </c>
      <c r="J856" t="str">
        <f t="shared" si="173"/>
        <v>USA</v>
      </c>
      <c r="L856" s="1">
        <f t="shared" si="174"/>
        <v>19</v>
      </c>
      <c r="M856" s="1" t="str">
        <f t="shared" si="175"/>
        <v>Student</v>
      </c>
      <c r="N856" s="2">
        <v>45450</v>
      </c>
      <c r="O856" s="1" t="s">
        <v>235</v>
      </c>
      <c r="P856" s="1" t="s">
        <v>147</v>
      </c>
      <c r="Q856" s="4">
        <v>0.73</v>
      </c>
      <c r="R856" s="13">
        <f t="shared" si="176"/>
        <v>73</v>
      </c>
      <c r="S856" s="6">
        <f t="shared" si="170"/>
        <v>0.73</v>
      </c>
      <c r="T856" s="1" t="s">
        <v>64</v>
      </c>
      <c r="U856" s="1">
        <f t="shared" si="177"/>
        <v>2</v>
      </c>
      <c r="V856" s="1">
        <f t="shared" si="178"/>
        <v>51.699999999999996</v>
      </c>
      <c r="W856" s="10" t="str">
        <f t="shared" si="179"/>
        <v>Medium</v>
      </c>
      <c r="X856" s="1" t="s">
        <v>22</v>
      </c>
      <c r="Y856" s="1" t="str">
        <f t="shared" si="180"/>
        <v>No</v>
      </c>
      <c r="Z856" s="14">
        <v>5</v>
      </c>
      <c r="AA856" s="18">
        <f t="shared" si="181"/>
        <v>5</v>
      </c>
      <c r="AB856" s="18" t="str">
        <f t="shared" si="182"/>
        <v>No</v>
      </c>
      <c r="AC856" s="9" t="s">
        <v>3370</v>
      </c>
      <c r="AD856">
        <f>IF(AC856="",0,LEN(AC856)-LEN(SUBSTITUTE(AC856,",",""))+1)</f>
        <v>4</v>
      </c>
    </row>
    <row r="857" spans="1:30" ht="12.5" x14ac:dyDescent="0.25">
      <c r="A857" s="1" t="s">
        <v>3371</v>
      </c>
      <c r="B857" s="1" t="s">
        <v>3372</v>
      </c>
      <c r="C857" s="1" t="str">
        <v>Maria Crawford</v>
      </c>
      <c r="D857" s="1" t="s">
        <v>3373</v>
      </c>
      <c r="E857" s="1" t="str">
        <v>wmason@yoder.info</v>
      </c>
      <c r="F857" t="str">
        <f t="shared" si="171"/>
        <v>Valid</v>
      </c>
      <c r="G857" s="1" t="s">
        <v>109</v>
      </c>
      <c r="H857" s="1" t="str">
        <f t="shared" si="172"/>
        <v>Male</v>
      </c>
      <c r="I857" s="1" t="s">
        <v>28</v>
      </c>
      <c r="J857" t="str">
        <f t="shared" si="173"/>
        <v>INDIA</v>
      </c>
      <c r="K857" s="14">
        <v>37</v>
      </c>
      <c r="L857" s="1">
        <f t="shared" si="174"/>
        <v>37</v>
      </c>
      <c r="M857" s="1" t="str">
        <f t="shared" si="175"/>
        <v>Mid Career</v>
      </c>
      <c r="N857" s="9">
        <v>45187</v>
      </c>
      <c r="O857" s="1" t="s">
        <v>170</v>
      </c>
      <c r="P857" s="1" t="s">
        <v>147</v>
      </c>
      <c r="Q857" s="4">
        <v>29</v>
      </c>
      <c r="R857" s="13">
        <f t="shared" si="176"/>
        <v>29</v>
      </c>
      <c r="S857" s="6">
        <f t="shared" si="170"/>
        <v>0.28999999999999998</v>
      </c>
      <c r="T857" s="1">
        <v>45</v>
      </c>
      <c r="U857" s="1">
        <f t="shared" si="177"/>
        <v>45</v>
      </c>
      <c r="V857" s="1">
        <f t="shared" si="178"/>
        <v>33.799999999999997</v>
      </c>
      <c r="W857" s="10" t="str">
        <f t="shared" si="179"/>
        <v>Low</v>
      </c>
      <c r="X857" s="1">
        <v>1</v>
      </c>
      <c r="Y857" s="1" t="str">
        <f t="shared" si="180"/>
        <v>Yes</v>
      </c>
      <c r="AA857" s="18" t="str">
        <f t="shared" si="181"/>
        <v>Invalid</v>
      </c>
      <c r="AB857" s="18" t="str">
        <f t="shared" si="182"/>
        <v>High Performer</v>
      </c>
      <c r="AC857" s="9" t="s">
        <v>3374</v>
      </c>
      <c r="AD857">
        <f>IF(AC857="",0,LEN(AC857)-LEN(SUBSTITUTE(AC857,",",""))+1)</f>
        <v>5</v>
      </c>
    </row>
    <row r="858" spans="1:30" ht="12.5" x14ac:dyDescent="0.25">
      <c r="A858" s="1" t="s">
        <v>3375</v>
      </c>
      <c r="B858" s="1" t="s">
        <v>3376</v>
      </c>
      <c r="C858" s="1" t="str">
        <v>Bethany Holmes</v>
      </c>
      <c r="D858" s="1" t="s">
        <v>3377</v>
      </c>
      <c r="E858" s="1" t="str">
        <v>jimenezbrett@rivera.com</v>
      </c>
      <c r="F858" t="str">
        <f t="shared" si="171"/>
        <v>Valid</v>
      </c>
      <c r="G858" s="1" t="s">
        <v>88</v>
      </c>
      <c r="H858" s="1" t="str">
        <f t="shared" si="172"/>
        <v>Male</v>
      </c>
      <c r="I858" s="1" t="s">
        <v>136</v>
      </c>
      <c r="J858" t="str">
        <f t="shared" si="173"/>
        <v>UK</v>
      </c>
      <c r="K858" s="14">
        <v>34</v>
      </c>
      <c r="L858" s="1">
        <f t="shared" si="174"/>
        <v>34</v>
      </c>
      <c r="M858" s="1" t="str">
        <f t="shared" si="175"/>
        <v>Mid Career</v>
      </c>
      <c r="N858" s="9">
        <v>45322</v>
      </c>
      <c r="O858" s="1" t="s">
        <v>90</v>
      </c>
      <c r="P858" s="1" t="s">
        <v>31</v>
      </c>
      <c r="Q858" s="4">
        <v>3</v>
      </c>
      <c r="R858" s="13">
        <f t="shared" si="176"/>
        <v>3</v>
      </c>
      <c r="S858" s="6">
        <f t="shared" si="170"/>
        <v>0.03</v>
      </c>
      <c r="T858" s="1" t="s">
        <v>64</v>
      </c>
      <c r="U858" s="1">
        <f t="shared" si="177"/>
        <v>2</v>
      </c>
      <c r="V858" s="1">
        <f t="shared" si="178"/>
        <v>2.6999999999999997</v>
      </c>
      <c r="W858" s="10" t="str">
        <f t="shared" si="179"/>
        <v>Low</v>
      </c>
      <c r="X858" s="1" t="s">
        <v>32</v>
      </c>
      <c r="Y858" s="1" t="str">
        <f t="shared" si="180"/>
        <v>Yes</v>
      </c>
      <c r="Z858" s="14">
        <v>3</v>
      </c>
      <c r="AA858" s="18">
        <f t="shared" si="181"/>
        <v>3</v>
      </c>
      <c r="AB858" s="18" t="str">
        <f t="shared" si="182"/>
        <v>No</v>
      </c>
      <c r="AC858" s="9" t="s">
        <v>703</v>
      </c>
      <c r="AD858">
        <f>IF(AC858="",0,LEN(AC858)-LEN(SUBSTITUTE(AC858,",",""))+1)</f>
        <v>1</v>
      </c>
    </row>
    <row r="859" spans="1:30" ht="12.5" x14ac:dyDescent="0.25">
      <c r="A859" s="1" t="s">
        <v>3378</v>
      </c>
      <c r="B859" s="1" t="s">
        <v>3379</v>
      </c>
      <c r="C859" s="1" t="str">
        <v>Tracy Jones</v>
      </c>
      <c r="D859" s="1" t="s">
        <v>3380</v>
      </c>
      <c r="E859" s="1" t="str">
        <v>reginald08@snow.com</v>
      </c>
      <c r="F859" t="str">
        <f t="shared" si="171"/>
        <v>Valid</v>
      </c>
      <c r="G859" s="1" t="s">
        <v>27</v>
      </c>
      <c r="H859" s="1" t="str">
        <f t="shared" si="172"/>
        <v>Male</v>
      </c>
      <c r="I859" s="1" t="s">
        <v>74</v>
      </c>
      <c r="J859" t="str">
        <f t="shared" si="173"/>
        <v>USA</v>
      </c>
      <c r="K859" s="14">
        <v>29</v>
      </c>
      <c r="L859" s="1">
        <f t="shared" si="174"/>
        <v>29</v>
      </c>
      <c r="M859" s="1" t="str">
        <f t="shared" si="175"/>
        <v>Early Career</v>
      </c>
      <c r="N859" s="2">
        <v>45028</v>
      </c>
      <c r="O859" s="1" t="s">
        <v>45</v>
      </c>
      <c r="P859" s="1" t="s">
        <v>20</v>
      </c>
      <c r="Q859" s="4">
        <v>63</v>
      </c>
      <c r="R859" s="13">
        <f t="shared" si="176"/>
        <v>63</v>
      </c>
      <c r="S859" s="6">
        <f t="shared" si="170"/>
        <v>0.63</v>
      </c>
      <c r="T859" s="1" t="s">
        <v>64</v>
      </c>
      <c r="U859" s="1">
        <f t="shared" si="177"/>
        <v>2</v>
      </c>
      <c r="V859" s="1">
        <f t="shared" si="178"/>
        <v>44.699999999999996</v>
      </c>
      <c r="W859" s="10" t="str">
        <f t="shared" si="179"/>
        <v>Medium</v>
      </c>
      <c r="X859" s="1" t="s">
        <v>22</v>
      </c>
      <c r="Y859" s="1" t="str">
        <f t="shared" si="180"/>
        <v>No</v>
      </c>
      <c r="Z859" s="14">
        <v>3</v>
      </c>
      <c r="AA859" s="18">
        <f t="shared" si="181"/>
        <v>3</v>
      </c>
      <c r="AB859" s="18" t="str">
        <f t="shared" si="182"/>
        <v>No</v>
      </c>
      <c r="AC859" s="9" t="s">
        <v>3381</v>
      </c>
      <c r="AD859">
        <f>IF(AC859="",0,LEN(AC859)-LEN(SUBSTITUTE(AC859,",",""))+1)</f>
        <v>2</v>
      </c>
    </row>
    <row r="860" spans="1:30" ht="12.5" x14ac:dyDescent="0.25">
      <c r="A860" s="1" t="s">
        <v>3382</v>
      </c>
      <c r="B860" s="1" t="s">
        <v>3383</v>
      </c>
      <c r="C860" s="1" t="str">
        <v>George Hubbard</v>
      </c>
      <c r="D860" s="1" t="s">
        <v>3384</v>
      </c>
      <c r="E860" s="1" t="str">
        <v>amygross@gaines.org</v>
      </c>
      <c r="F860" t="str">
        <f t="shared" si="171"/>
        <v>Valid</v>
      </c>
      <c r="G860" s="1" t="s">
        <v>17</v>
      </c>
      <c r="H860" s="1" t="str">
        <f t="shared" si="172"/>
        <v>Female</v>
      </c>
      <c r="I860" s="1" t="s">
        <v>156</v>
      </c>
      <c r="J860" t="str">
        <f t="shared" si="173"/>
        <v>IN</v>
      </c>
      <c r="L860" s="1">
        <f t="shared" si="174"/>
        <v>19</v>
      </c>
      <c r="M860" s="1" t="str">
        <f t="shared" si="175"/>
        <v>Student</v>
      </c>
      <c r="N860" s="9">
        <v>45672</v>
      </c>
      <c r="O860" s="1" t="s">
        <v>301</v>
      </c>
      <c r="P860" s="1" t="s">
        <v>20</v>
      </c>
      <c r="Q860" s="4">
        <v>0.57999999999999996</v>
      </c>
      <c r="R860" s="13">
        <f t="shared" si="176"/>
        <v>57.999999999999993</v>
      </c>
      <c r="S860" s="6">
        <f t="shared" si="170"/>
        <v>0.57999999999999996</v>
      </c>
      <c r="T860" s="1">
        <v>45</v>
      </c>
      <c r="U860" s="1">
        <f t="shared" si="177"/>
        <v>45</v>
      </c>
      <c r="V860" s="1">
        <f t="shared" si="178"/>
        <v>54.099999999999994</v>
      </c>
      <c r="W860" s="10" t="str">
        <f t="shared" si="179"/>
        <v>Medium</v>
      </c>
      <c r="X860" s="1">
        <v>0</v>
      </c>
      <c r="Y860" s="1" t="str">
        <f t="shared" si="180"/>
        <v>No</v>
      </c>
      <c r="AA860" s="18" t="str">
        <f t="shared" si="181"/>
        <v>Invalid</v>
      </c>
      <c r="AB860" s="18" t="str">
        <f t="shared" si="182"/>
        <v>No</v>
      </c>
      <c r="AC860" s="9" t="s">
        <v>3385</v>
      </c>
      <c r="AD860">
        <f>IF(AC860="",0,LEN(AC860)-LEN(SUBSTITUTE(AC860,",",""))+1)</f>
        <v>3</v>
      </c>
    </row>
    <row r="861" spans="1:30" ht="12.5" x14ac:dyDescent="0.25">
      <c r="A861" s="1" t="s">
        <v>3386</v>
      </c>
      <c r="B861" s="1" t="s">
        <v>3387</v>
      </c>
      <c r="C861" s="1" t="str">
        <v>William Dodson</v>
      </c>
      <c r="D861" s="1" t="s">
        <v>3388</v>
      </c>
      <c r="E861" s="1" t="str">
        <v>rpotts@williams.com</v>
      </c>
      <c r="F861" t="str">
        <f t="shared" si="171"/>
        <v>Valid</v>
      </c>
      <c r="G861" s="1" t="s">
        <v>43</v>
      </c>
      <c r="H861" s="1" t="str">
        <f t="shared" si="172"/>
        <v>Female</v>
      </c>
      <c r="I861" s="1" t="s">
        <v>51</v>
      </c>
      <c r="J861" t="str">
        <f t="shared" si="173"/>
        <v>UK</v>
      </c>
      <c r="L861" s="1">
        <f t="shared" si="174"/>
        <v>19</v>
      </c>
      <c r="M861" s="1" t="str">
        <f t="shared" si="175"/>
        <v>Student</v>
      </c>
      <c r="N861" s="2">
        <v>45546</v>
      </c>
      <c r="O861" s="1" t="s">
        <v>69</v>
      </c>
      <c r="P861" s="1" t="s">
        <v>31</v>
      </c>
      <c r="Q861" s="4">
        <v>0.8</v>
      </c>
      <c r="R861" s="13">
        <f t="shared" si="176"/>
        <v>80</v>
      </c>
      <c r="S861" s="6">
        <f t="shared" si="170"/>
        <v>0.8</v>
      </c>
      <c r="T861" s="1">
        <v>45</v>
      </c>
      <c r="U861" s="1">
        <f t="shared" si="177"/>
        <v>45</v>
      </c>
      <c r="V861" s="1">
        <f t="shared" si="178"/>
        <v>69.5</v>
      </c>
      <c r="W861" s="10" t="str">
        <f t="shared" si="179"/>
        <v>Medium</v>
      </c>
      <c r="X861" s="1" t="s">
        <v>22</v>
      </c>
      <c r="Y861" s="1" t="str">
        <f t="shared" si="180"/>
        <v>No</v>
      </c>
      <c r="Z861" s="14">
        <v>1</v>
      </c>
      <c r="AA861" s="18">
        <f t="shared" si="181"/>
        <v>1</v>
      </c>
      <c r="AB861" s="18" t="str">
        <f t="shared" si="182"/>
        <v>No</v>
      </c>
      <c r="AC861" s="9" t="s">
        <v>3389</v>
      </c>
      <c r="AD861">
        <f>IF(AC861="",0,LEN(AC861)-LEN(SUBSTITUTE(AC861,",",""))+1)</f>
        <v>4</v>
      </c>
    </row>
    <row r="862" spans="1:30" ht="12.5" x14ac:dyDescent="0.25">
      <c r="A862" s="1" t="s">
        <v>3390</v>
      </c>
      <c r="B862" s="1" t="s">
        <v>3391</v>
      </c>
      <c r="C862" s="1" t="str">
        <v>Crystal Velazquez</v>
      </c>
      <c r="D862" s="1" t="s">
        <v>3392</v>
      </c>
      <c r="E862" s="1" t="str">
        <v>amandadalton@sutton.biz</v>
      </c>
      <c r="F862" t="str">
        <f t="shared" si="171"/>
        <v>Valid</v>
      </c>
      <c r="G862" s="1" t="s">
        <v>17</v>
      </c>
      <c r="H862" s="1" t="str">
        <f t="shared" si="172"/>
        <v>Female</v>
      </c>
      <c r="I862" s="1" t="s">
        <v>96</v>
      </c>
      <c r="J862" t="str">
        <f t="shared" si="173"/>
        <v>INDIA</v>
      </c>
      <c r="K862" s="14">
        <v>0</v>
      </c>
      <c r="L862" s="1">
        <f t="shared" si="174"/>
        <v>19</v>
      </c>
      <c r="M862" s="1" t="str">
        <f t="shared" si="175"/>
        <v>Student</v>
      </c>
      <c r="N862" s="2">
        <v>45445</v>
      </c>
      <c r="O862" s="1" t="s">
        <v>170</v>
      </c>
      <c r="P862" s="1" t="s">
        <v>147</v>
      </c>
      <c r="Q862" s="4">
        <v>0.23</v>
      </c>
      <c r="R862" s="13">
        <f t="shared" si="176"/>
        <v>23</v>
      </c>
      <c r="S862" s="6">
        <f t="shared" si="170"/>
        <v>0.23</v>
      </c>
      <c r="T862" s="1" t="s">
        <v>21</v>
      </c>
      <c r="U862" s="1">
        <f t="shared" si="177"/>
        <v>1.5</v>
      </c>
      <c r="V862" s="1">
        <f t="shared" si="178"/>
        <v>16.549999999999997</v>
      </c>
      <c r="W862" s="10" t="str">
        <f t="shared" si="179"/>
        <v>Low</v>
      </c>
      <c r="X862" s="1" t="s">
        <v>76</v>
      </c>
      <c r="Y862" s="1" t="str">
        <f t="shared" si="180"/>
        <v>Yes</v>
      </c>
      <c r="AA862" s="18" t="str">
        <f t="shared" si="181"/>
        <v>Invalid</v>
      </c>
      <c r="AB862" s="18" t="str">
        <f t="shared" si="182"/>
        <v>High Performer</v>
      </c>
      <c r="AC862" s="9" t="s">
        <v>3393</v>
      </c>
      <c r="AD862">
        <f>IF(AC862="",0,LEN(AC862)-LEN(SUBSTITUTE(AC862,",",""))+1)</f>
        <v>8</v>
      </c>
    </row>
    <row r="863" spans="1:30" ht="12.5" x14ac:dyDescent="0.25">
      <c r="A863" s="1" t="s">
        <v>3394</v>
      </c>
      <c r="B863" s="1" t="s">
        <v>3395</v>
      </c>
      <c r="C863" s="1" t="str">
        <v>Chad Kim</v>
      </c>
      <c r="D863" s="1" t="s">
        <v>3396</v>
      </c>
      <c r="E863" s="1" t="str">
        <v>james60@gmail.com</v>
      </c>
      <c r="F863" t="str">
        <f t="shared" si="171"/>
        <v>Valid</v>
      </c>
      <c r="G863" s="1" t="s">
        <v>88</v>
      </c>
      <c r="H863" s="1" t="str">
        <f t="shared" si="172"/>
        <v>Male</v>
      </c>
      <c r="I863" s="1" t="s">
        <v>89</v>
      </c>
      <c r="J863" t="str">
        <f t="shared" si="173"/>
        <v>GERMANY</v>
      </c>
      <c r="L863" s="1">
        <f t="shared" si="174"/>
        <v>19</v>
      </c>
      <c r="M863" s="1" t="str">
        <f t="shared" si="175"/>
        <v>Student</v>
      </c>
      <c r="N863" s="9">
        <v>45244</v>
      </c>
      <c r="O863" s="1" t="s">
        <v>158</v>
      </c>
      <c r="P863" s="1" t="s">
        <v>59</v>
      </c>
      <c r="Q863" s="4">
        <v>0.9</v>
      </c>
      <c r="R863" s="13">
        <f t="shared" si="176"/>
        <v>90</v>
      </c>
      <c r="S863" s="6">
        <f t="shared" si="170"/>
        <v>0.9</v>
      </c>
      <c r="T863" s="1">
        <v>45</v>
      </c>
      <c r="U863" s="1">
        <f t="shared" si="177"/>
        <v>45</v>
      </c>
      <c r="V863" s="1">
        <f t="shared" si="178"/>
        <v>76.5</v>
      </c>
      <c r="W863" s="10" t="str">
        <f t="shared" si="179"/>
        <v>High</v>
      </c>
      <c r="X863" s="1">
        <v>0</v>
      </c>
      <c r="Y863" s="1" t="str">
        <f t="shared" si="180"/>
        <v>No</v>
      </c>
      <c r="Z863" s="14">
        <v>2</v>
      </c>
      <c r="AA863" s="18">
        <f t="shared" si="181"/>
        <v>2</v>
      </c>
      <c r="AB863" s="18" t="str">
        <f t="shared" si="182"/>
        <v>No</v>
      </c>
      <c r="AC863" s="9" t="s">
        <v>3397</v>
      </c>
      <c r="AD863">
        <f>IF(AC863="",0,LEN(AC863)-LEN(SUBSTITUTE(AC863,",",""))+1)</f>
        <v>8</v>
      </c>
    </row>
    <row r="864" spans="1:30" ht="12.5" x14ac:dyDescent="0.25">
      <c r="A864" s="1" t="s">
        <v>3398</v>
      </c>
      <c r="B864" s="1" t="s">
        <v>3399</v>
      </c>
      <c r="C864" s="1" t="str">
        <v>Paul Morton</v>
      </c>
      <c r="D864" s="1" t="s">
        <v>3400</v>
      </c>
      <c r="E864" s="1" t="str">
        <v>marksjohn@jones.info</v>
      </c>
      <c r="F864" t="str">
        <f t="shared" si="171"/>
        <v>Valid</v>
      </c>
      <c r="G864" s="1" t="s">
        <v>119</v>
      </c>
      <c r="H864" s="1" t="str">
        <f t="shared" si="172"/>
        <v>Female</v>
      </c>
      <c r="I864" s="1" t="s">
        <v>44</v>
      </c>
      <c r="J864" t="str">
        <f t="shared" si="173"/>
        <v>CANADA</v>
      </c>
      <c r="K864" s="14">
        <v>21</v>
      </c>
      <c r="L864" s="1">
        <f t="shared" si="174"/>
        <v>21</v>
      </c>
      <c r="M864" s="1" t="str">
        <f t="shared" si="175"/>
        <v>Student</v>
      </c>
      <c r="N864" s="2">
        <v>44961</v>
      </c>
      <c r="O864" s="1" t="s">
        <v>170</v>
      </c>
      <c r="P864" s="1" t="s">
        <v>147</v>
      </c>
      <c r="Q864" s="4">
        <v>0.62</v>
      </c>
      <c r="R864" s="13">
        <f t="shared" si="176"/>
        <v>62</v>
      </c>
      <c r="S864" s="6">
        <f t="shared" si="170"/>
        <v>0.62</v>
      </c>
      <c r="T864" s="1">
        <v>2</v>
      </c>
      <c r="U864" s="1">
        <f t="shared" si="177"/>
        <v>2</v>
      </c>
      <c r="V864" s="1">
        <f t="shared" si="178"/>
        <v>44</v>
      </c>
      <c r="W864" s="10" t="str">
        <f t="shared" si="179"/>
        <v>Medium</v>
      </c>
      <c r="X864" s="1" t="s">
        <v>32</v>
      </c>
      <c r="Y864" s="1" t="str">
        <f t="shared" si="180"/>
        <v>Yes</v>
      </c>
      <c r="Z864" s="14">
        <v>6</v>
      </c>
      <c r="AA864" s="18">
        <f t="shared" si="181"/>
        <v>6</v>
      </c>
      <c r="AB864" s="18" t="str">
        <f t="shared" si="182"/>
        <v>High Performer</v>
      </c>
      <c r="AC864" s="9" t="s">
        <v>3401</v>
      </c>
      <c r="AD864">
        <f>IF(AC864="",0,LEN(AC864)-LEN(SUBSTITUTE(AC864,",",""))+1)</f>
        <v>4</v>
      </c>
    </row>
    <row r="865" spans="1:30" ht="12.5" x14ac:dyDescent="0.25">
      <c r="A865" s="1" t="s">
        <v>3402</v>
      </c>
      <c r="B865" s="1" t="s">
        <v>3403</v>
      </c>
      <c r="C865" s="1" t="str">
        <v>Stephanie Bolton</v>
      </c>
      <c r="D865" s="1" t="s">
        <v>3404</v>
      </c>
      <c r="E865" s="1" t="str">
        <v>hmendoza@jones.info</v>
      </c>
      <c r="F865" t="str">
        <f t="shared" si="171"/>
        <v>Valid</v>
      </c>
      <c r="G865" s="1" t="s">
        <v>17</v>
      </c>
      <c r="H865" s="1" t="str">
        <f t="shared" si="172"/>
        <v>Female</v>
      </c>
      <c r="I865" s="1" t="s">
        <v>156</v>
      </c>
      <c r="J865" t="str">
        <f t="shared" si="173"/>
        <v>IN</v>
      </c>
      <c r="L865" s="1">
        <f t="shared" si="174"/>
        <v>19</v>
      </c>
      <c r="M865" s="1" t="str">
        <f t="shared" si="175"/>
        <v>Student</v>
      </c>
      <c r="N865" s="2">
        <v>45261</v>
      </c>
      <c r="O865" s="1" t="s">
        <v>58</v>
      </c>
      <c r="P865" s="1" t="s">
        <v>59</v>
      </c>
      <c r="Q865" s="4">
        <v>0.14000000000000001</v>
      </c>
      <c r="R865" s="13">
        <f t="shared" si="176"/>
        <v>14.000000000000002</v>
      </c>
      <c r="S865" s="6">
        <f t="shared" si="170"/>
        <v>0.14000000000000001</v>
      </c>
      <c r="T865" s="1" t="s">
        <v>21</v>
      </c>
      <c r="U865" s="1">
        <f t="shared" si="177"/>
        <v>1.5</v>
      </c>
      <c r="V865" s="1">
        <f t="shared" si="178"/>
        <v>10.25</v>
      </c>
      <c r="W865" s="10" t="str">
        <f t="shared" si="179"/>
        <v>Low</v>
      </c>
      <c r="X865" s="1" t="s">
        <v>38</v>
      </c>
      <c r="Y865" s="1" t="str">
        <f t="shared" si="180"/>
        <v>No</v>
      </c>
      <c r="Z865" s="14">
        <v>2</v>
      </c>
      <c r="AA865" s="18">
        <f t="shared" si="181"/>
        <v>2</v>
      </c>
      <c r="AB865" s="18" t="str">
        <f t="shared" si="182"/>
        <v>No</v>
      </c>
      <c r="AC865" s="9" t="s">
        <v>3405</v>
      </c>
      <c r="AD865">
        <f>IF(AC865="",0,LEN(AC865)-LEN(SUBSTITUTE(AC865,",",""))+1)</f>
        <v>6</v>
      </c>
    </row>
    <row r="866" spans="1:30" ht="12.5" x14ac:dyDescent="0.25">
      <c r="A866" s="1" t="s">
        <v>3406</v>
      </c>
      <c r="B866" s="1" t="s">
        <v>3407</v>
      </c>
      <c r="C866" s="1" t="str">
        <v>Connie Marquez</v>
      </c>
      <c r="D866" s="1" t="s">
        <v>3408</v>
      </c>
      <c r="E866" s="1" t="str">
        <v>misty38@yahoo.com</v>
      </c>
      <c r="F866" t="str">
        <f t="shared" si="171"/>
        <v>Valid</v>
      </c>
      <c r="G866" s="1" t="s">
        <v>88</v>
      </c>
      <c r="H866" s="1" t="str">
        <f t="shared" si="172"/>
        <v>Male</v>
      </c>
      <c r="I866" s="1" t="s">
        <v>28</v>
      </c>
      <c r="J866" t="str">
        <f t="shared" si="173"/>
        <v>INDIA</v>
      </c>
      <c r="L866" s="1">
        <f t="shared" si="174"/>
        <v>19</v>
      </c>
      <c r="M866" s="1" t="str">
        <f t="shared" si="175"/>
        <v>Student</v>
      </c>
      <c r="N866" s="2">
        <v>45812</v>
      </c>
      <c r="O866" s="1" t="s">
        <v>114</v>
      </c>
      <c r="P866" s="1" t="s">
        <v>59</v>
      </c>
      <c r="Q866" s="4">
        <v>0.37</v>
      </c>
      <c r="R866" s="13">
        <f t="shared" si="176"/>
        <v>37</v>
      </c>
      <c r="S866" s="6">
        <f t="shared" si="170"/>
        <v>0.37</v>
      </c>
      <c r="T866" s="1" t="s">
        <v>46</v>
      </c>
      <c r="U866" s="1">
        <f t="shared" si="177"/>
        <v>1</v>
      </c>
      <c r="V866" s="1">
        <f t="shared" si="178"/>
        <v>26.2</v>
      </c>
      <c r="W866" s="10" t="str">
        <f t="shared" si="179"/>
        <v>Low</v>
      </c>
      <c r="X866" s="1" t="s">
        <v>32</v>
      </c>
      <c r="Y866" s="1" t="str">
        <f t="shared" si="180"/>
        <v>Yes</v>
      </c>
      <c r="Z866" s="14">
        <v>3</v>
      </c>
      <c r="AA866" s="18">
        <f t="shared" si="181"/>
        <v>3</v>
      </c>
      <c r="AB866" s="18" t="str">
        <f t="shared" si="182"/>
        <v>No</v>
      </c>
      <c r="AC866" s="9" t="s">
        <v>3409</v>
      </c>
      <c r="AD866">
        <f>IF(AC866="",0,LEN(AC866)-LEN(SUBSTITUTE(AC866,",",""))+1)</f>
        <v>7</v>
      </c>
    </row>
    <row r="867" spans="1:30" ht="12.5" x14ac:dyDescent="0.25">
      <c r="A867" s="1" t="s">
        <v>3410</v>
      </c>
      <c r="B867" s="1" t="s">
        <v>3411</v>
      </c>
      <c r="C867" s="1" t="str">
        <v>Steven Thornton</v>
      </c>
      <c r="D867" s="1" t="s">
        <v>3412</v>
      </c>
      <c r="E867" s="1" t="str">
        <v>christian28@gmail.com</v>
      </c>
      <c r="F867" t="str">
        <f t="shared" si="171"/>
        <v>Valid</v>
      </c>
      <c r="G867" s="1" t="s">
        <v>95</v>
      </c>
      <c r="H867" s="1" t="str">
        <f t="shared" si="172"/>
        <v>Male</v>
      </c>
      <c r="I867" s="1" t="s">
        <v>44</v>
      </c>
      <c r="J867" t="str">
        <f t="shared" si="173"/>
        <v>CANADA</v>
      </c>
      <c r="L867" s="1">
        <f t="shared" si="174"/>
        <v>19</v>
      </c>
      <c r="M867" s="1" t="str">
        <f t="shared" si="175"/>
        <v>Student</v>
      </c>
      <c r="N867" s="9">
        <v>45153</v>
      </c>
      <c r="O867" s="1" t="s">
        <v>58</v>
      </c>
      <c r="P867" s="1" t="s">
        <v>59</v>
      </c>
      <c r="Q867" s="4">
        <v>0.06</v>
      </c>
      <c r="R867" s="13">
        <f t="shared" si="176"/>
        <v>6</v>
      </c>
      <c r="S867" s="6">
        <f t="shared" si="170"/>
        <v>0.06</v>
      </c>
      <c r="T867" s="1" t="s">
        <v>64</v>
      </c>
      <c r="U867" s="1">
        <f t="shared" si="177"/>
        <v>2</v>
      </c>
      <c r="V867" s="1">
        <f t="shared" si="178"/>
        <v>4.7999999999999989</v>
      </c>
      <c r="W867" s="10" t="str">
        <f t="shared" si="179"/>
        <v>Low</v>
      </c>
      <c r="X867" s="1" t="s">
        <v>22</v>
      </c>
      <c r="Y867" s="1" t="str">
        <f t="shared" si="180"/>
        <v>No</v>
      </c>
      <c r="Z867" s="14">
        <v>3</v>
      </c>
      <c r="AA867" s="18">
        <f t="shared" si="181"/>
        <v>3</v>
      </c>
      <c r="AB867" s="18" t="str">
        <f t="shared" si="182"/>
        <v>No</v>
      </c>
      <c r="AC867" s="9" t="s">
        <v>3413</v>
      </c>
      <c r="AD867">
        <f>IF(AC867="",0,LEN(AC867)-LEN(SUBSTITUTE(AC867,",",""))+1)</f>
        <v>8</v>
      </c>
    </row>
    <row r="868" spans="1:30" ht="12.5" x14ac:dyDescent="0.25">
      <c r="A868" s="1" t="s">
        <v>3414</v>
      </c>
      <c r="B868" s="1" t="s">
        <v>3415</v>
      </c>
      <c r="C868" s="1" t="str">
        <v>Robert Thomas</v>
      </c>
      <c r="D868" s="1" t="s">
        <v>3416</v>
      </c>
      <c r="E868" s="1" t="str">
        <v>dsantos@smith.com</v>
      </c>
      <c r="F868" t="str">
        <f t="shared" si="171"/>
        <v>Valid</v>
      </c>
      <c r="G868" s="1" t="s">
        <v>95</v>
      </c>
      <c r="H868" s="1" t="str">
        <f t="shared" si="172"/>
        <v>Male</v>
      </c>
      <c r="I868" s="1" t="s">
        <v>18</v>
      </c>
      <c r="J868" t="str">
        <f t="shared" si="173"/>
        <v>US</v>
      </c>
      <c r="K868" s="14">
        <v>0</v>
      </c>
      <c r="L868" s="1">
        <f t="shared" si="174"/>
        <v>19</v>
      </c>
      <c r="M868" s="1" t="str">
        <f t="shared" si="175"/>
        <v>Student</v>
      </c>
      <c r="N868" s="9">
        <v>45131</v>
      </c>
      <c r="O868" s="1" t="s">
        <v>90</v>
      </c>
      <c r="P868" s="1" t="s">
        <v>31</v>
      </c>
      <c r="Q868" s="4">
        <v>0.16</v>
      </c>
      <c r="R868" s="13">
        <f t="shared" si="176"/>
        <v>16</v>
      </c>
      <c r="S868" s="6">
        <f t="shared" si="170"/>
        <v>0.16</v>
      </c>
      <c r="T868" s="1">
        <v>45</v>
      </c>
      <c r="U868" s="1">
        <f t="shared" si="177"/>
        <v>45</v>
      </c>
      <c r="V868" s="1">
        <f t="shared" si="178"/>
        <v>24.7</v>
      </c>
      <c r="W868" s="10" t="str">
        <f t="shared" si="179"/>
        <v>Low</v>
      </c>
      <c r="X868" s="1" t="s">
        <v>32</v>
      </c>
      <c r="Y868" s="1" t="str">
        <f t="shared" si="180"/>
        <v>Yes</v>
      </c>
      <c r="Z868" s="14">
        <v>5</v>
      </c>
      <c r="AA868" s="18">
        <f t="shared" si="181"/>
        <v>5</v>
      </c>
      <c r="AB868" s="18" t="str">
        <f t="shared" si="182"/>
        <v>High Performer</v>
      </c>
      <c r="AC868" s="9" t="s">
        <v>3417</v>
      </c>
      <c r="AD868">
        <f>IF(AC868="",0,LEN(AC868)-LEN(SUBSTITUTE(AC868,",",""))+1)</f>
        <v>2</v>
      </c>
    </row>
    <row r="869" spans="1:30" ht="12.5" x14ac:dyDescent="0.25">
      <c r="A869" s="1" t="s">
        <v>3418</v>
      </c>
      <c r="B869" s="1" t="s">
        <v>3419</v>
      </c>
      <c r="C869" s="1" t="str">
        <v>Amy Bond</v>
      </c>
      <c r="D869" s="1" t="s">
        <v>3420</v>
      </c>
      <c r="E869" s="1" t="str">
        <v>ysmith@yahoo.com</v>
      </c>
      <c r="F869" t="str">
        <f t="shared" si="171"/>
        <v>Valid</v>
      </c>
      <c r="G869" s="1" t="s">
        <v>88</v>
      </c>
      <c r="H869" s="1" t="str">
        <f t="shared" si="172"/>
        <v>Male</v>
      </c>
      <c r="I869" s="1" t="s">
        <v>89</v>
      </c>
      <c r="J869" t="str">
        <f t="shared" si="173"/>
        <v>GERMANY</v>
      </c>
      <c r="K869" s="14">
        <v>27</v>
      </c>
      <c r="L869" s="1">
        <f t="shared" si="174"/>
        <v>27</v>
      </c>
      <c r="M869" s="1" t="str">
        <f t="shared" si="175"/>
        <v>Early Career</v>
      </c>
      <c r="N869" s="2">
        <v>45266</v>
      </c>
      <c r="O869" s="1" t="s">
        <v>90</v>
      </c>
      <c r="P869" s="1" t="s">
        <v>31</v>
      </c>
      <c r="Q869" s="4">
        <v>0.68</v>
      </c>
      <c r="R869" s="13">
        <f t="shared" si="176"/>
        <v>68</v>
      </c>
      <c r="S869" s="6">
        <f t="shared" si="170"/>
        <v>0.68</v>
      </c>
      <c r="T869" s="1">
        <v>45</v>
      </c>
      <c r="U869" s="1">
        <f t="shared" si="177"/>
        <v>45</v>
      </c>
      <c r="V869" s="1">
        <f t="shared" si="178"/>
        <v>61.099999999999994</v>
      </c>
      <c r="W869" s="10" t="str">
        <f t="shared" si="179"/>
        <v>Medium</v>
      </c>
      <c r="X869" s="1" t="s">
        <v>32</v>
      </c>
      <c r="Y869" s="1" t="str">
        <f t="shared" si="180"/>
        <v>Yes</v>
      </c>
      <c r="Z869" s="14">
        <v>2</v>
      </c>
      <c r="AA869" s="18">
        <f t="shared" si="181"/>
        <v>2</v>
      </c>
      <c r="AB869" s="18" t="str">
        <f t="shared" si="182"/>
        <v>No</v>
      </c>
      <c r="AC869" s="9">
        <v>45266</v>
      </c>
      <c r="AD869">
        <f>IF(AC869="",0,LEN(AC869)-LEN(SUBSTITUTE(AC869,",",""))+1)</f>
        <v>1</v>
      </c>
    </row>
    <row r="870" spans="1:30" ht="12.5" x14ac:dyDescent="0.25">
      <c r="A870" s="1" t="s">
        <v>3421</v>
      </c>
      <c r="B870" s="1" t="s">
        <v>3422</v>
      </c>
      <c r="C870" s="1" t="str">
        <v>Jeffrey Williams</v>
      </c>
      <c r="D870" s="1" t="s">
        <v>3423</v>
      </c>
      <c r="E870" s="1" t="str">
        <v>weavermichael@gmail.com</v>
      </c>
      <c r="F870" t="str">
        <f t="shared" si="171"/>
        <v>Valid</v>
      </c>
      <c r="G870" s="1" t="s">
        <v>88</v>
      </c>
      <c r="H870" s="1" t="str">
        <f t="shared" si="172"/>
        <v>Male</v>
      </c>
      <c r="I870" s="1" t="s">
        <v>136</v>
      </c>
      <c r="J870" t="str">
        <f t="shared" si="173"/>
        <v>UK</v>
      </c>
      <c r="K870" s="14">
        <v>19</v>
      </c>
      <c r="L870" s="1">
        <f t="shared" si="174"/>
        <v>19</v>
      </c>
      <c r="M870" s="1" t="str">
        <f t="shared" si="175"/>
        <v>Student</v>
      </c>
      <c r="N870" s="9">
        <v>45347</v>
      </c>
      <c r="O870" s="1" t="s">
        <v>158</v>
      </c>
      <c r="P870" s="1" t="s">
        <v>59</v>
      </c>
      <c r="Q870" s="4">
        <v>0.02</v>
      </c>
      <c r="R870" s="13">
        <f t="shared" si="176"/>
        <v>2</v>
      </c>
      <c r="S870" s="6">
        <f t="shared" si="170"/>
        <v>0.02</v>
      </c>
      <c r="T870" s="1">
        <v>1.5</v>
      </c>
      <c r="U870" s="1">
        <f t="shared" si="177"/>
        <v>1.5</v>
      </c>
      <c r="V870" s="1">
        <f t="shared" si="178"/>
        <v>1.8499999999999999</v>
      </c>
      <c r="W870" s="10" t="str">
        <f t="shared" si="179"/>
        <v>Low</v>
      </c>
      <c r="X870" s="1" t="s">
        <v>76</v>
      </c>
      <c r="Y870" s="1" t="str">
        <f t="shared" si="180"/>
        <v>Yes</v>
      </c>
      <c r="Z870" s="14">
        <v>6</v>
      </c>
      <c r="AA870" s="18">
        <f t="shared" si="181"/>
        <v>6</v>
      </c>
      <c r="AB870" s="18" t="str">
        <f t="shared" si="182"/>
        <v>High Performer</v>
      </c>
      <c r="AC870" s="9" t="s">
        <v>3424</v>
      </c>
      <c r="AD870">
        <f>IF(AC870="",0,LEN(AC870)-LEN(SUBSTITUTE(AC870,",",""))+1)</f>
        <v>4</v>
      </c>
    </row>
    <row r="871" spans="1:30" ht="12.5" x14ac:dyDescent="0.25">
      <c r="A871" s="1" t="s">
        <v>3425</v>
      </c>
      <c r="B871" s="1" t="s">
        <v>3426</v>
      </c>
      <c r="C871" s="1" t="str">
        <v>Deborah Mullins</v>
      </c>
      <c r="D871" s="1" t="s">
        <v>3427</v>
      </c>
      <c r="E871" s="1" t="str">
        <v>petersonmaria@glenn-patton.com</v>
      </c>
      <c r="F871" t="str">
        <f t="shared" si="171"/>
        <v>Valid</v>
      </c>
      <c r="G871" s="1" t="s">
        <v>109</v>
      </c>
      <c r="H871" s="1" t="str">
        <f t="shared" si="172"/>
        <v>Male</v>
      </c>
      <c r="I871" s="1" t="s">
        <v>44</v>
      </c>
      <c r="J871" t="str">
        <f t="shared" si="173"/>
        <v>CANADA</v>
      </c>
      <c r="K871" s="14">
        <v>45</v>
      </c>
      <c r="L871" s="1">
        <f t="shared" si="174"/>
        <v>45</v>
      </c>
      <c r="M871" s="1" t="str">
        <f t="shared" si="175"/>
        <v>Senior</v>
      </c>
      <c r="N871" s="2">
        <v>45484</v>
      </c>
      <c r="O871" s="1" t="s">
        <v>146</v>
      </c>
      <c r="P871" s="1" t="s">
        <v>147</v>
      </c>
      <c r="Q871" s="4">
        <v>0.15</v>
      </c>
      <c r="R871" s="13">
        <f t="shared" si="176"/>
        <v>15</v>
      </c>
      <c r="S871" s="6">
        <f t="shared" si="170"/>
        <v>0.15</v>
      </c>
      <c r="T871" s="1">
        <v>1.5</v>
      </c>
      <c r="U871" s="1">
        <f t="shared" si="177"/>
        <v>1.5</v>
      </c>
      <c r="V871" s="1">
        <f t="shared" si="178"/>
        <v>10.95</v>
      </c>
      <c r="W871" s="10" t="str">
        <f t="shared" si="179"/>
        <v>Low</v>
      </c>
      <c r="X871" s="1">
        <v>1</v>
      </c>
      <c r="Y871" s="1" t="str">
        <f t="shared" si="180"/>
        <v>Yes</v>
      </c>
      <c r="Z871" s="14">
        <v>6</v>
      </c>
      <c r="AA871" s="18">
        <f t="shared" si="181"/>
        <v>6</v>
      </c>
      <c r="AB871" s="18" t="str">
        <f t="shared" si="182"/>
        <v>High Performer</v>
      </c>
      <c r="AC871" s="9" t="s">
        <v>3428</v>
      </c>
      <c r="AD871">
        <f>IF(AC871="",0,LEN(AC871)-LEN(SUBSTITUTE(AC871,",",""))+1)</f>
        <v>4</v>
      </c>
    </row>
    <row r="872" spans="1:30" ht="12.5" x14ac:dyDescent="0.25">
      <c r="A872" s="1" t="s">
        <v>3429</v>
      </c>
      <c r="B872" s="1" t="s">
        <v>3430</v>
      </c>
      <c r="C872" s="1" t="str">
        <v>Donna Ritter</v>
      </c>
      <c r="D872" s="1" t="s">
        <v>3431</v>
      </c>
      <c r="E872" s="1" t="str">
        <v>karmstrong@hotmail.com</v>
      </c>
      <c r="F872" t="str">
        <f t="shared" si="171"/>
        <v>Valid</v>
      </c>
      <c r="G872" s="1" t="s">
        <v>88</v>
      </c>
      <c r="H872" s="1" t="str">
        <f t="shared" si="172"/>
        <v>Male</v>
      </c>
      <c r="I872" s="1" t="s">
        <v>89</v>
      </c>
      <c r="J872" t="str">
        <f t="shared" si="173"/>
        <v>GERMANY</v>
      </c>
      <c r="K872" s="14">
        <v>0</v>
      </c>
      <c r="L872" s="1">
        <f t="shared" si="174"/>
        <v>19</v>
      </c>
      <c r="M872" s="1" t="str">
        <f t="shared" si="175"/>
        <v>Student</v>
      </c>
      <c r="N872" s="9">
        <v>44827</v>
      </c>
      <c r="O872" s="1" t="s">
        <v>158</v>
      </c>
      <c r="P872" s="1" t="s">
        <v>59</v>
      </c>
      <c r="Q872" s="4">
        <v>77</v>
      </c>
      <c r="R872" s="13">
        <f t="shared" si="176"/>
        <v>77</v>
      </c>
      <c r="S872" s="6">
        <f t="shared" si="170"/>
        <v>0.77</v>
      </c>
      <c r="T872" s="1" t="s">
        <v>46</v>
      </c>
      <c r="U872" s="1">
        <f t="shared" si="177"/>
        <v>1</v>
      </c>
      <c r="V872" s="1">
        <f t="shared" si="178"/>
        <v>54.199999999999996</v>
      </c>
      <c r="W872" s="10" t="str">
        <f t="shared" si="179"/>
        <v>Medium</v>
      </c>
      <c r="X872" s="1" t="s">
        <v>32</v>
      </c>
      <c r="Y872" s="1" t="str">
        <f t="shared" si="180"/>
        <v>Yes</v>
      </c>
      <c r="Z872" s="14">
        <v>2</v>
      </c>
      <c r="AA872" s="18">
        <f t="shared" si="181"/>
        <v>2</v>
      </c>
      <c r="AB872" s="18" t="str">
        <f t="shared" si="182"/>
        <v>No</v>
      </c>
      <c r="AC872" s="9" t="s">
        <v>3432</v>
      </c>
      <c r="AD872">
        <f>IF(AC872="",0,LEN(AC872)-LEN(SUBSTITUTE(AC872,",",""))+1)</f>
        <v>1</v>
      </c>
    </row>
    <row r="873" spans="1:30" ht="12.5" x14ac:dyDescent="0.25">
      <c r="A873" s="1" t="s">
        <v>3433</v>
      </c>
      <c r="B873" s="1" t="s">
        <v>3434</v>
      </c>
      <c r="C873" s="1" t="str">
        <v>Tammy Anderson</v>
      </c>
      <c r="D873" s="1" t="s">
        <v>3435</v>
      </c>
      <c r="E873" s="1" t="str">
        <v>lauren41@wise.com</v>
      </c>
      <c r="F873" t="str">
        <f t="shared" si="171"/>
        <v>Valid</v>
      </c>
      <c r="G873" s="1" t="s">
        <v>119</v>
      </c>
      <c r="H873" s="1" t="str">
        <f t="shared" si="172"/>
        <v>Female</v>
      </c>
      <c r="I873" s="1" t="s">
        <v>18</v>
      </c>
      <c r="J873" t="str">
        <f t="shared" si="173"/>
        <v>US</v>
      </c>
      <c r="L873" s="1">
        <f t="shared" si="174"/>
        <v>19</v>
      </c>
      <c r="M873" s="1" t="str">
        <f t="shared" si="175"/>
        <v>Student</v>
      </c>
      <c r="N873" s="9">
        <v>45062</v>
      </c>
      <c r="O873" s="1" t="s">
        <v>114</v>
      </c>
      <c r="P873" s="1" t="s">
        <v>59</v>
      </c>
      <c r="Q873" s="4">
        <v>0.25</v>
      </c>
      <c r="R873" s="13">
        <f t="shared" si="176"/>
        <v>25</v>
      </c>
      <c r="S873" s="6">
        <f t="shared" si="170"/>
        <v>0.25</v>
      </c>
      <c r="T873" s="1">
        <v>2</v>
      </c>
      <c r="U873" s="1">
        <f t="shared" si="177"/>
        <v>2</v>
      </c>
      <c r="V873" s="1">
        <f t="shared" si="178"/>
        <v>18.100000000000001</v>
      </c>
      <c r="W873" s="10" t="str">
        <f t="shared" si="179"/>
        <v>Low</v>
      </c>
      <c r="X873" s="1" t="s">
        <v>38</v>
      </c>
      <c r="Y873" s="1" t="str">
        <f t="shared" si="180"/>
        <v>No</v>
      </c>
      <c r="Z873" s="14">
        <v>1</v>
      </c>
      <c r="AA873" s="18">
        <f t="shared" si="181"/>
        <v>1</v>
      </c>
      <c r="AB873" s="18" t="str">
        <f t="shared" si="182"/>
        <v>No</v>
      </c>
      <c r="AC873" s="9" t="s">
        <v>3334</v>
      </c>
      <c r="AD873">
        <f>IF(AC873="",0,LEN(AC873)-LEN(SUBSTITUTE(AC873,",",""))+1)</f>
        <v>1</v>
      </c>
    </row>
    <row r="874" spans="1:30" ht="12.5" x14ac:dyDescent="0.25">
      <c r="A874" s="1" t="s">
        <v>3436</v>
      </c>
      <c r="B874" s="1" t="s">
        <v>3437</v>
      </c>
      <c r="C874" s="1" t="str">
        <v>Matthew Patton</v>
      </c>
      <c r="D874" s="1" t="s">
        <v>127</v>
      </c>
      <c r="E874" s="1" t="str">
        <v>invalid-email</v>
      </c>
      <c r="F874" t="str">
        <f t="shared" si="171"/>
        <v>Invalid</v>
      </c>
      <c r="G874" s="1" t="s">
        <v>119</v>
      </c>
      <c r="H874" s="1" t="str">
        <f t="shared" si="172"/>
        <v>Female</v>
      </c>
      <c r="I874" s="1" t="s">
        <v>18</v>
      </c>
      <c r="J874" t="str">
        <f t="shared" si="173"/>
        <v>US</v>
      </c>
      <c r="K874" s="14">
        <v>0</v>
      </c>
      <c r="L874" s="1">
        <f t="shared" si="174"/>
        <v>19</v>
      </c>
      <c r="M874" s="1" t="str">
        <f t="shared" si="175"/>
        <v>Student</v>
      </c>
      <c r="N874" s="2">
        <v>45574</v>
      </c>
      <c r="O874" s="1" t="s">
        <v>69</v>
      </c>
      <c r="P874" s="1" t="s">
        <v>31</v>
      </c>
      <c r="Q874" s="4">
        <v>68</v>
      </c>
      <c r="R874" s="13">
        <f t="shared" si="176"/>
        <v>68</v>
      </c>
      <c r="S874" s="6">
        <f t="shared" si="170"/>
        <v>0.68</v>
      </c>
      <c r="T874" s="1">
        <v>2</v>
      </c>
      <c r="U874" s="1">
        <f t="shared" si="177"/>
        <v>2</v>
      </c>
      <c r="V874" s="1">
        <f t="shared" si="178"/>
        <v>48.199999999999996</v>
      </c>
      <c r="W874" s="10" t="str">
        <f t="shared" si="179"/>
        <v>Medium</v>
      </c>
      <c r="X874" s="1" t="s">
        <v>38</v>
      </c>
      <c r="Y874" s="1" t="str">
        <f t="shared" si="180"/>
        <v>No</v>
      </c>
      <c r="Z874" s="14">
        <v>5</v>
      </c>
      <c r="AA874" s="18">
        <f t="shared" si="181"/>
        <v>5</v>
      </c>
      <c r="AB874" s="18" t="str">
        <f t="shared" si="182"/>
        <v>No</v>
      </c>
      <c r="AC874" s="9" t="s">
        <v>3438</v>
      </c>
      <c r="AD874">
        <f>IF(AC874="",0,LEN(AC874)-LEN(SUBSTITUTE(AC874,",",""))+1)</f>
        <v>8</v>
      </c>
    </row>
    <row r="875" spans="1:30" ht="12.5" x14ac:dyDescent="0.25">
      <c r="A875" s="1" t="s">
        <v>3439</v>
      </c>
      <c r="B875" s="1" t="s">
        <v>3440</v>
      </c>
      <c r="C875" s="1" t="str">
        <v>Sara Abbott</v>
      </c>
      <c r="D875" s="1" t="s">
        <v>3441</v>
      </c>
      <c r="E875" s="1" t="str">
        <v>asmith@yahoo.com</v>
      </c>
      <c r="F875" t="str">
        <f t="shared" si="171"/>
        <v>Valid</v>
      </c>
      <c r="G875" s="1" t="s">
        <v>27</v>
      </c>
      <c r="H875" s="1" t="str">
        <f t="shared" si="172"/>
        <v>Male</v>
      </c>
      <c r="I875" s="1" t="s">
        <v>156</v>
      </c>
      <c r="J875" t="str">
        <f t="shared" si="173"/>
        <v>IN</v>
      </c>
      <c r="K875" s="14">
        <v>0</v>
      </c>
      <c r="L875" s="1">
        <f t="shared" si="174"/>
        <v>19</v>
      </c>
      <c r="M875" s="1" t="str">
        <f t="shared" si="175"/>
        <v>Student</v>
      </c>
      <c r="N875" s="2">
        <v>45454</v>
      </c>
      <c r="O875" s="1" t="s">
        <v>146</v>
      </c>
      <c r="P875" s="1" t="s">
        <v>147</v>
      </c>
      <c r="Q875" s="4">
        <v>57</v>
      </c>
      <c r="R875" s="13">
        <f t="shared" si="176"/>
        <v>57</v>
      </c>
      <c r="S875" s="6">
        <f t="shared" si="170"/>
        <v>0.56999999999999995</v>
      </c>
      <c r="T875" s="1" t="s">
        <v>64</v>
      </c>
      <c r="U875" s="1">
        <f t="shared" si="177"/>
        <v>2</v>
      </c>
      <c r="V875" s="1">
        <f t="shared" si="178"/>
        <v>40.5</v>
      </c>
      <c r="W875" s="10" t="str">
        <f t="shared" si="179"/>
        <v>Low</v>
      </c>
      <c r="X875" s="1" t="s">
        <v>76</v>
      </c>
      <c r="Y875" s="1" t="str">
        <f t="shared" si="180"/>
        <v>Yes</v>
      </c>
      <c r="Z875" s="14">
        <v>3</v>
      </c>
      <c r="AA875" s="18">
        <f t="shared" si="181"/>
        <v>3</v>
      </c>
      <c r="AB875" s="18" t="str">
        <f t="shared" si="182"/>
        <v>No</v>
      </c>
      <c r="AC875" s="9">
        <v>45454</v>
      </c>
      <c r="AD875">
        <f>IF(AC875="",0,LEN(AC875)-LEN(SUBSTITUTE(AC875,",",""))+1)</f>
        <v>1</v>
      </c>
    </row>
    <row r="876" spans="1:30" ht="12.5" x14ac:dyDescent="0.25">
      <c r="A876" s="1" t="s">
        <v>3442</v>
      </c>
      <c r="B876" s="1" t="s">
        <v>3443</v>
      </c>
      <c r="C876" s="1" t="str">
        <v>Claudia Brown</v>
      </c>
      <c r="D876" s="1" t="s">
        <v>3444</v>
      </c>
      <c r="E876" s="1" t="str">
        <v>penny85@alexander.com</v>
      </c>
      <c r="F876" t="str">
        <f t="shared" si="171"/>
        <v>Valid</v>
      </c>
      <c r="G876" s="1" t="s">
        <v>43</v>
      </c>
      <c r="H876" s="1" t="str">
        <f t="shared" si="172"/>
        <v>Female</v>
      </c>
      <c r="I876" s="1" t="s">
        <v>28</v>
      </c>
      <c r="J876" t="str">
        <f t="shared" si="173"/>
        <v>INDIA</v>
      </c>
      <c r="L876" s="1">
        <f t="shared" si="174"/>
        <v>19</v>
      </c>
      <c r="M876" s="1" t="str">
        <f t="shared" si="175"/>
        <v>Student</v>
      </c>
      <c r="N876" s="2">
        <v>44626</v>
      </c>
      <c r="O876" s="1" t="s">
        <v>90</v>
      </c>
      <c r="P876" s="1" t="s">
        <v>31</v>
      </c>
      <c r="Q876" s="4">
        <v>0.1</v>
      </c>
      <c r="R876" s="13">
        <f t="shared" si="176"/>
        <v>10</v>
      </c>
      <c r="S876" s="6">
        <f t="shared" si="170"/>
        <v>0.1</v>
      </c>
      <c r="T876" s="1" t="s">
        <v>64</v>
      </c>
      <c r="U876" s="1">
        <f t="shared" si="177"/>
        <v>2</v>
      </c>
      <c r="V876" s="1">
        <f t="shared" si="178"/>
        <v>7.6</v>
      </c>
      <c r="W876" s="10" t="str">
        <f t="shared" si="179"/>
        <v>Low</v>
      </c>
      <c r="X876" s="1" t="s">
        <v>32</v>
      </c>
      <c r="Y876" s="1" t="str">
        <f t="shared" si="180"/>
        <v>Yes</v>
      </c>
      <c r="Z876" s="14">
        <v>2</v>
      </c>
      <c r="AA876" s="18">
        <f t="shared" si="181"/>
        <v>2</v>
      </c>
      <c r="AB876" s="18" t="str">
        <f t="shared" si="182"/>
        <v>No</v>
      </c>
      <c r="AC876" s="9" t="s">
        <v>3445</v>
      </c>
      <c r="AD876">
        <f>IF(AC876="",0,LEN(AC876)-LEN(SUBSTITUTE(AC876,",",""))+1)</f>
        <v>4</v>
      </c>
    </row>
    <row r="877" spans="1:30" ht="12.5" x14ac:dyDescent="0.25">
      <c r="A877" s="1" t="s">
        <v>3446</v>
      </c>
      <c r="B877" s="1" t="s">
        <v>3447</v>
      </c>
      <c r="C877" s="1" t="str">
        <v>Bridget Williamson</v>
      </c>
      <c r="D877" s="1" t="s">
        <v>3448</v>
      </c>
      <c r="E877" s="1" t="str">
        <v>dannyjohnson@hunter.net</v>
      </c>
      <c r="F877" t="str">
        <f t="shared" si="171"/>
        <v>Valid</v>
      </c>
      <c r="G877" s="1" t="s">
        <v>43</v>
      </c>
      <c r="H877" s="1" t="str">
        <f t="shared" si="172"/>
        <v>Female</v>
      </c>
      <c r="I877" s="1" t="s">
        <v>96</v>
      </c>
      <c r="J877" t="str">
        <f t="shared" si="173"/>
        <v>INDIA</v>
      </c>
      <c r="L877" s="1">
        <f t="shared" si="174"/>
        <v>19</v>
      </c>
      <c r="M877" s="1" t="str">
        <f t="shared" si="175"/>
        <v>Student</v>
      </c>
      <c r="N877" s="9">
        <v>45061</v>
      </c>
      <c r="O877" s="1" t="s">
        <v>36</v>
      </c>
      <c r="P877" s="1" t="s">
        <v>37</v>
      </c>
      <c r="Q877" s="4">
        <v>0.76</v>
      </c>
      <c r="R877" s="13">
        <f t="shared" si="176"/>
        <v>76</v>
      </c>
      <c r="S877" s="6">
        <f t="shared" si="170"/>
        <v>0.76</v>
      </c>
      <c r="T877" s="1">
        <v>2</v>
      </c>
      <c r="U877" s="1">
        <f t="shared" si="177"/>
        <v>2</v>
      </c>
      <c r="V877" s="1">
        <f t="shared" si="178"/>
        <v>53.8</v>
      </c>
      <c r="W877" s="10" t="str">
        <f t="shared" si="179"/>
        <v>Medium</v>
      </c>
      <c r="X877" s="1" t="s">
        <v>32</v>
      </c>
      <c r="Y877" s="1" t="str">
        <f t="shared" si="180"/>
        <v>Yes</v>
      </c>
      <c r="Z877" s="14">
        <v>4</v>
      </c>
      <c r="AA877" s="18">
        <f t="shared" si="181"/>
        <v>4</v>
      </c>
      <c r="AB877" s="18" t="str">
        <f t="shared" si="182"/>
        <v>High Performer</v>
      </c>
      <c r="AC877" s="9" t="s">
        <v>3449</v>
      </c>
      <c r="AD877">
        <f>IF(AC877="",0,LEN(AC877)-LEN(SUBSTITUTE(AC877,",",""))+1)</f>
        <v>1</v>
      </c>
    </row>
    <row r="878" spans="1:30" ht="12.5" x14ac:dyDescent="0.25">
      <c r="A878" s="1" t="s">
        <v>3450</v>
      </c>
      <c r="B878" s="1" t="s">
        <v>3451</v>
      </c>
      <c r="C878" s="1" t="str">
        <v>David Gregory</v>
      </c>
      <c r="D878" s="1" t="s">
        <v>3452</v>
      </c>
      <c r="E878" s="1" t="str">
        <v>burkemichael@gmail.com</v>
      </c>
      <c r="F878" t="str">
        <f t="shared" si="171"/>
        <v>Valid</v>
      </c>
      <c r="G878" s="1" t="s">
        <v>17</v>
      </c>
      <c r="H878" s="1" t="str">
        <f t="shared" si="172"/>
        <v>Female</v>
      </c>
      <c r="I878" s="1" t="s">
        <v>18</v>
      </c>
      <c r="J878" t="str">
        <f t="shared" si="173"/>
        <v>US</v>
      </c>
      <c r="K878" s="14">
        <v>40</v>
      </c>
      <c r="L878" s="1">
        <f t="shared" si="174"/>
        <v>40</v>
      </c>
      <c r="M878" s="1" t="str">
        <f t="shared" si="175"/>
        <v>Mid Career</v>
      </c>
      <c r="N878" s="9">
        <v>45012</v>
      </c>
      <c r="O878" s="1" t="s">
        <v>170</v>
      </c>
      <c r="P878" s="1" t="s">
        <v>147</v>
      </c>
      <c r="Q878" s="4">
        <v>0.71</v>
      </c>
      <c r="R878" s="13">
        <f t="shared" si="176"/>
        <v>71</v>
      </c>
      <c r="S878" s="6">
        <f t="shared" si="170"/>
        <v>0.71</v>
      </c>
      <c r="T878" s="1" t="s">
        <v>46</v>
      </c>
      <c r="U878" s="1">
        <f t="shared" si="177"/>
        <v>1</v>
      </c>
      <c r="V878" s="1">
        <f t="shared" si="178"/>
        <v>49.999999999999993</v>
      </c>
      <c r="W878" s="10" t="str">
        <f t="shared" si="179"/>
        <v>Medium</v>
      </c>
      <c r="X878" s="1" t="s">
        <v>76</v>
      </c>
      <c r="Y878" s="1" t="str">
        <f t="shared" si="180"/>
        <v>Yes</v>
      </c>
      <c r="Z878" s="14">
        <v>6</v>
      </c>
      <c r="AA878" s="18">
        <f t="shared" si="181"/>
        <v>6</v>
      </c>
      <c r="AB878" s="18" t="str">
        <f t="shared" si="182"/>
        <v>High Performer</v>
      </c>
      <c r="AC878" s="9" t="s">
        <v>3453</v>
      </c>
      <c r="AD878">
        <f>IF(AC878="",0,LEN(AC878)-LEN(SUBSTITUTE(AC878,",",""))+1)</f>
        <v>8</v>
      </c>
    </row>
    <row r="879" spans="1:30" ht="12.5" x14ac:dyDescent="0.25">
      <c r="A879" s="1" t="s">
        <v>3454</v>
      </c>
      <c r="B879" s="1" t="s">
        <v>3455</v>
      </c>
      <c r="C879" s="1" t="str">
        <v>Gabriel Watson</v>
      </c>
      <c r="D879" s="1" t="s">
        <v>3456</v>
      </c>
      <c r="E879" s="1" t="str">
        <v>maynancy@gmail.com</v>
      </c>
      <c r="F879" t="str">
        <f t="shared" si="171"/>
        <v>Valid</v>
      </c>
      <c r="G879" s="1" t="s">
        <v>119</v>
      </c>
      <c r="H879" s="1" t="str">
        <f t="shared" si="172"/>
        <v>Female</v>
      </c>
      <c r="I879" s="1" t="s">
        <v>51</v>
      </c>
      <c r="J879" t="str">
        <f t="shared" si="173"/>
        <v>UK</v>
      </c>
      <c r="K879" s="14">
        <v>0</v>
      </c>
      <c r="L879" s="1">
        <f t="shared" si="174"/>
        <v>19</v>
      </c>
      <c r="M879" s="1" t="str">
        <f t="shared" si="175"/>
        <v>Student</v>
      </c>
      <c r="N879" s="2">
        <v>45328</v>
      </c>
      <c r="O879" s="1" t="s">
        <v>146</v>
      </c>
      <c r="P879" s="1" t="s">
        <v>147</v>
      </c>
      <c r="Q879" s="4">
        <v>0.14000000000000001</v>
      </c>
      <c r="R879" s="13">
        <f t="shared" si="176"/>
        <v>14.000000000000002</v>
      </c>
      <c r="S879" s="6">
        <f t="shared" si="170"/>
        <v>0.14000000000000001</v>
      </c>
      <c r="T879" s="1" t="s">
        <v>21</v>
      </c>
      <c r="U879" s="1">
        <f t="shared" si="177"/>
        <v>1.5</v>
      </c>
      <c r="V879" s="1">
        <f t="shared" si="178"/>
        <v>10.25</v>
      </c>
      <c r="W879" s="10" t="str">
        <f t="shared" si="179"/>
        <v>Low</v>
      </c>
      <c r="X879" s="1" t="s">
        <v>76</v>
      </c>
      <c r="Y879" s="1" t="str">
        <f t="shared" si="180"/>
        <v>Yes</v>
      </c>
      <c r="Z879" s="14">
        <v>1</v>
      </c>
      <c r="AA879" s="18">
        <f t="shared" si="181"/>
        <v>1</v>
      </c>
      <c r="AB879" s="18" t="str">
        <f t="shared" si="182"/>
        <v>No</v>
      </c>
      <c r="AC879" s="9" t="s">
        <v>3457</v>
      </c>
      <c r="AD879">
        <f>IF(AC879="",0,LEN(AC879)-LEN(SUBSTITUTE(AC879,",",""))+1)</f>
        <v>2</v>
      </c>
    </row>
    <row r="880" spans="1:30" ht="12.5" x14ac:dyDescent="0.25">
      <c r="A880" s="1" t="s">
        <v>3458</v>
      </c>
      <c r="B880" s="1" t="s">
        <v>3459</v>
      </c>
      <c r="C880" s="1" t="str">
        <v>Jason Pearson</v>
      </c>
      <c r="D880" s="1" t="s">
        <v>3460</v>
      </c>
      <c r="E880" s="1" t="str">
        <v>christy25@gmail.com</v>
      </c>
      <c r="F880" t="str">
        <f t="shared" si="171"/>
        <v>Valid</v>
      </c>
      <c r="G880" s="1" t="s">
        <v>57</v>
      </c>
      <c r="H880" s="1" t="str">
        <f t="shared" si="172"/>
        <v>Female</v>
      </c>
      <c r="I880" s="1" t="s">
        <v>51</v>
      </c>
      <c r="J880" t="str">
        <f t="shared" si="173"/>
        <v>UK</v>
      </c>
      <c r="L880" s="1">
        <f t="shared" si="174"/>
        <v>19</v>
      </c>
      <c r="M880" s="1" t="str">
        <f t="shared" si="175"/>
        <v>Student</v>
      </c>
      <c r="N880" s="9">
        <v>44696</v>
      </c>
      <c r="O880" s="1" t="s">
        <v>36</v>
      </c>
      <c r="P880" s="1" t="s">
        <v>37</v>
      </c>
      <c r="Q880" s="4">
        <v>86</v>
      </c>
      <c r="R880" s="13">
        <f t="shared" si="176"/>
        <v>86</v>
      </c>
      <c r="S880" s="6">
        <f t="shared" si="170"/>
        <v>0.86</v>
      </c>
      <c r="T880" s="1">
        <v>2</v>
      </c>
      <c r="U880" s="1">
        <f t="shared" si="177"/>
        <v>2</v>
      </c>
      <c r="V880" s="1">
        <f t="shared" si="178"/>
        <v>60.8</v>
      </c>
      <c r="W880" s="10" t="str">
        <f t="shared" si="179"/>
        <v>Medium</v>
      </c>
      <c r="X880" s="1" t="s">
        <v>22</v>
      </c>
      <c r="Y880" s="1" t="str">
        <f t="shared" si="180"/>
        <v>No</v>
      </c>
      <c r="Z880" s="14">
        <v>3</v>
      </c>
      <c r="AA880" s="18">
        <f t="shared" si="181"/>
        <v>3</v>
      </c>
      <c r="AB880" s="18" t="str">
        <f t="shared" si="182"/>
        <v>No</v>
      </c>
      <c r="AC880" s="9" t="s">
        <v>3461</v>
      </c>
      <c r="AD880">
        <f>IF(AC880="",0,LEN(AC880)-LEN(SUBSTITUTE(AC880,",",""))+1)</f>
        <v>7</v>
      </c>
    </row>
    <row r="881" spans="1:30" ht="12.5" x14ac:dyDescent="0.25">
      <c r="A881" s="1" t="s">
        <v>3462</v>
      </c>
      <c r="B881" s="1" t="s">
        <v>3463</v>
      </c>
      <c r="C881" s="1" t="str">
        <v>Lee Morton</v>
      </c>
      <c r="D881" s="1" t="s">
        <v>3464</v>
      </c>
      <c r="E881" s="1" t="str">
        <v>nicholasaguilar@hotmail.com</v>
      </c>
      <c r="F881" t="str">
        <f t="shared" si="171"/>
        <v>Valid</v>
      </c>
      <c r="G881" s="1" t="s">
        <v>109</v>
      </c>
      <c r="H881" s="1" t="str">
        <f t="shared" si="172"/>
        <v>Male</v>
      </c>
      <c r="I881" s="1" t="s">
        <v>51</v>
      </c>
      <c r="J881" t="str">
        <f t="shared" si="173"/>
        <v>UK</v>
      </c>
      <c r="K881" s="14">
        <v>0</v>
      </c>
      <c r="L881" s="1">
        <f t="shared" si="174"/>
        <v>19</v>
      </c>
      <c r="M881" s="1" t="str">
        <f t="shared" si="175"/>
        <v>Student</v>
      </c>
      <c r="N881" s="2">
        <v>44964</v>
      </c>
      <c r="O881" s="1" t="s">
        <v>30</v>
      </c>
      <c r="P881" s="1" t="s">
        <v>31</v>
      </c>
      <c r="Q881" s="4">
        <v>0.6</v>
      </c>
      <c r="R881" s="13">
        <f t="shared" si="176"/>
        <v>60</v>
      </c>
      <c r="S881" s="6">
        <f t="shared" si="170"/>
        <v>0.6</v>
      </c>
      <c r="T881" s="1">
        <v>45</v>
      </c>
      <c r="U881" s="1">
        <f t="shared" si="177"/>
        <v>45</v>
      </c>
      <c r="V881" s="1">
        <f t="shared" si="178"/>
        <v>55.5</v>
      </c>
      <c r="W881" s="10" t="str">
        <f t="shared" si="179"/>
        <v>Medium</v>
      </c>
      <c r="X881" s="1" t="s">
        <v>76</v>
      </c>
      <c r="Y881" s="1" t="str">
        <f t="shared" si="180"/>
        <v>Yes</v>
      </c>
      <c r="Z881" s="14">
        <v>4</v>
      </c>
      <c r="AA881" s="18">
        <f t="shared" si="181"/>
        <v>4</v>
      </c>
      <c r="AB881" s="18" t="str">
        <f t="shared" si="182"/>
        <v>High Performer</v>
      </c>
      <c r="AC881" s="9" t="s">
        <v>3465</v>
      </c>
      <c r="AD881">
        <f>IF(AC881="",0,LEN(AC881)-LEN(SUBSTITUTE(AC881,",",""))+1)</f>
        <v>6</v>
      </c>
    </row>
    <row r="882" spans="1:30" ht="12.5" x14ac:dyDescent="0.25">
      <c r="A882" s="1" t="s">
        <v>3466</v>
      </c>
      <c r="B882" s="1" t="s">
        <v>3467</v>
      </c>
      <c r="C882" s="1" t="str">
        <v>Billy Walls</v>
      </c>
      <c r="D882" s="1" t="s">
        <v>3468</v>
      </c>
      <c r="E882" s="1" t="str">
        <v>hryan@yates.net</v>
      </c>
      <c r="F882" t="str">
        <f t="shared" si="171"/>
        <v>Valid</v>
      </c>
      <c r="G882" s="1" t="s">
        <v>17</v>
      </c>
      <c r="H882" s="1" t="str">
        <f t="shared" si="172"/>
        <v>Female</v>
      </c>
      <c r="I882" s="1" t="s">
        <v>96</v>
      </c>
      <c r="J882" t="str">
        <f t="shared" si="173"/>
        <v>INDIA</v>
      </c>
      <c r="L882" s="1">
        <f t="shared" si="174"/>
        <v>19</v>
      </c>
      <c r="M882" s="1" t="str">
        <f t="shared" si="175"/>
        <v>Student</v>
      </c>
      <c r="N882" s="9">
        <v>44891</v>
      </c>
      <c r="O882" s="1" t="s">
        <v>52</v>
      </c>
      <c r="P882" s="1" t="s">
        <v>37</v>
      </c>
      <c r="Q882" s="4">
        <v>0</v>
      </c>
      <c r="R882" s="13">
        <f t="shared" si="176"/>
        <v>0</v>
      </c>
      <c r="S882" s="6">
        <f t="shared" si="170"/>
        <v>0</v>
      </c>
      <c r="T882" s="1" t="s">
        <v>21</v>
      </c>
      <c r="U882" s="1">
        <f t="shared" si="177"/>
        <v>1.5</v>
      </c>
      <c r="V882" s="1">
        <f t="shared" si="178"/>
        <v>0.44999999999999996</v>
      </c>
      <c r="W882" s="10" t="str">
        <f t="shared" si="179"/>
        <v>Low</v>
      </c>
      <c r="X882" s="1">
        <v>1</v>
      </c>
      <c r="Y882" s="1" t="str">
        <f t="shared" si="180"/>
        <v>Yes</v>
      </c>
      <c r="Z882" s="14">
        <v>3</v>
      </c>
      <c r="AA882" s="18">
        <f t="shared" si="181"/>
        <v>3</v>
      </c>
      <c r="AB882" s="18" t="str">
        <f t="shared" si="182"/>
        <v>No</v>
      </c>
      <c r="AC882" s="9" t="s">
        <v>3469</v>
      </c>
      <c r="AD882">
        <f>IF(AC882="",0,LEN(AC882)-LEN(SUBSTITUTE(AC882,",",""))+1)</f>
        <v>3</v>
      </c>
    </row>
    <row r="883" spans="1:30" ht="12.5" x14ac:dyDescent="0.25">
      <c r="A883" s="1" t="s">
        <v>3470</v>
      </c>
      <c r="B883" s="1" t="s">
        <v>3471</v>
      </c>
      <c r="C883" s="1" t="str">
        <v>Susan Murphy</v>
      </c>
      <c r="D883" s="1" t="s">
        <v>127</v>
      </c>
      <c r="E883" s="1" t="str">
        <v>invalid-email</v>
      </c>
      <c r="F883" t="str">
        <f t="shared" si="171"/>
        <v>Invalid</v>
      </c>
      <c r="G883" s="1" t="s">
        <v>43</v>
      </c>
      <c r="H883" s="1" t="str">
        <f t="shared" si="172"/>
        <v>Female</v>
      </c>
      <c r="I883" s="1" t="s">
        <v>44</v>
      </c>
      <c r="J883" t="str">
        <f t="shared" si="173"/>
        <v>CANADA</v>
      </c>
      <c r="L883" s="1">
        <f t="shared" si="174"/>
        <v>19</v>
      </c>
      <c r="M883" s="1" t="str">
        <f t="shared" si="175"/>
        <v>Student</v>
      </c>
      <c r="N883" s="9">
        <v>45343</v>
      </c>
      <c r="O883" s="1" t="s">
        <v>114</v>
      </c>
      <c r="P883" s="1" t="s">
        <v>59</v>
      </c>
      <c r="Q883" s="4">
        <v>0.71</v>
      </c>
      <c r="R883" s="13">
        <f t="shared" si="176"/>
        <v>71</v>
      </c>
      <c r="S883" s="6">
        <f t="shared" si="170"/>
        <v>0.71</v>
      </c>
      <c r="T883" s="1">
        <v>1.5</v>
      </c>
      <c r="U883" s="1">
        <f t="shared" si="177"/>
        <v>1.5</v>
      </c>
      <c r="V883" s="1">
        <f t="shared" si="178"/>
        <v>50.15</v>
      </c>
      <c r="W883" s="10" t="str">
        <f t="shared" si="179"/>
        <v>Medium</v>
      </c>
      <c r="X883" s="1" t="s">
        <v>32</v>
      </c>
      <c r="Y883" s="1" t="str">
        <f t="shared" si="180"/>
        <v>Yes</v>
      </c>
      <c r="Z883" s="14">
        <v>2</v>
      </c>
      <c r="AA883" s="18">
        <f t="shared" si="181"/>
        <v>2</v>
      </c>
      <c r="AB883" s="18" t="str">
        <f t="shared" si="182"/>
        <v>No</v>
      </c>
      <c r="AC883" s="9" t="s">
        <v>3472</v>
      </c>
      <c r="AD883">
        <f>IF(AC883="",0,LEN(AC883)-LEN(SUBSTITUTE(AC883,",",""))+1)</f>
        <v>3</v>
      </c>
    </row>
    <row r="884" spans="1:30" ht="12.5" x14ac:dyDescent="0.25">
      <c r="A884" s="1" t="s">
        <v>3473</v>
      </c>
      <c r="B884" s="1" t="s">
        <v>3474</v>
      </c>
      <c r="C884" s="1" t="str">
        <v>Melissa Wallace</v>
      </c>
      <c r="D884" s="1" t="s">
        <v>3475</v>
      </c>
      <c r="E884" s="1" t="str">
        <v>christopher88@gmail.com</v>
      </c>
      <c r="F884" t="str">
        <f t="shared" si="171"/>
        <v>Valid</v>
      </c>
      <c r="G884" s="1" t="s">
        <v>17</v>
      </c>
      <c r="H884" s="1" t="str">
        <f t="shared" si="172"/>
        <v>Female</v>
      </c>
      <c r="I884" s="1" t="s">
        <v>89</v>
      </c>
      <c r="J884" t="str">
        <f t="shared" si="173"/>
        <v>GERMANY</v>
      </c>
      <c r="K884" s="14">
        <v>26</v>
      </c>
      <c r="L884" s="1">
        <f t="shared" si="174"/>
        <v>26</v>
      </c>
      <c r="M884" s="1" t="str">
        <f t="shared" si="175"/>
        <v>Early Career</v>
      </c>
      <c r="N884" s="9">
        <v>45220</v>
      </c>
      <c r="O884" s="1" t="s">
        <v>75</v>
      </c>
      <c r="P884" s="1" t="s">
        <v>37</v>
      </c>
      <c r="Q884" s="4">
        <v>0.82</v>
      </c>
      <c r="R884" s="13">
        <f t="shared" si="176"/>
        <v>82</v>
      </c>
      <c r="S884" s="6">
        <f t="shared" si="170"/>
        <v>0.82</v>
      </c>
      <c r="T884" s="1">
        <v>2</v>
      </c>
      <c r="U884" s="1">
        <f t="shared" si="177"/>
        <v>2</v>
      </c>
      <c r="V884" s="1">
        <f t="shared" si="178"/>
        <v>58</v>
      </c>
      <c r="W884" s="10" t="str">
        <f t="shared" si="179"/>
        <v>Medium</v>
      </c>
      <c r="X884" s="1" t="s">
        <v>76</v>
      </c>
      <c r="Y884" s="1" t="str">
        <f t="shared" si="180"/>
        <v>Yes</v>
      </c>
      <c r="AA884" s="18" t="str">
        <f t="shared" si="181"/>
        <v>Invalid</v>
      </c>
      <c r="AB884" s="18" t="str">
        <f t="shared" si="182"/>
        <v>High Performer</v>
      </c>
      <c r="AC884" s="9" t="s">
        <v>3476</v>
      </c>
      <c r="AD884">
        <f>IF(AC884="",0,LEN(AC884)-LEN(SUBSTITUTE(AC884,",",""))+1)</f>
        <v>7</v>
      </c>
    </row>
    <row r="885" spans="1:30" ht="12.5" x14ac:dyDescent="0.25">
      <c r="A885" s="1" t="s">
        <v>3477</v>
      </c>
      <c r="B885" s="1" t="s">
        <v>3478</v>
      </c>
      <c r="C885" s="1" t="str">
        <v>Jason Hudson</v>
      </c>
      <c r="D885" s="1" t="s">
        <v>3479</v>
      </c>
      <c r="E885" s="1" t="str">
        <v>kimberlyrussell@wade.com</v>
      </c>
      <c r="F885" t="str">
        <f t="shared" si="171"/>
        <v>Valid</v>
      </c>
      <c r="G885" s="1" t="s">
        <v>119</v>
      </c>
      <c r="H885" s="1" t="str">
        <f t="shared" si="172"/>
        <v>Female</v>
      </c>
      <c r="I885" s="1" t="s">
        <v>89</v>
      </c>
      <c r="J885" t="str">
        <f t="shared" si="173"/>
        <v>GERMANY</v>
      </c>
      <c r="K885" s="14">
        <v>23</v>
      </c>
      <c r="L885" s="1">
        <f t="shared" si="174"/>
        <v>23</v>
      </c>
      <c r="M885" s="1" t="str">
        <f t="shared" si="175"/>
        <v>Early Career</v>
      </c>
      <c r="N885" s="9">
        <v>45220</v>
      </c>
      <c r="O885" s="1" t="s">
        <v>146</v>
      </c>
      <c r="P885" s="1" t="s">
        <v>147</v>
      </c>
      <c r="Q885" s="4">
        <v>0.75</v>
      </c>
      <c r="R885" s="13">
        <f t="shared" si="176"/>
        <v>75</v>
      </c>
      <c r="S885" s="6">
        <f t="shared" si="170"/>
        <v>0.75</v>
      </c>
      <c r="T885" s="1">
        <v>2</v>
      </c>
      <c r="U885" s="1">
        <f t="shared" si="177"/>
        <v>2</v>
      </c>
      <c r="V885" s="1">
        <f t="shared" si="178"/>
        <v>53.1</v>
      </c>
      <c r="W885" s="10" t="str">
        <f t="shared" si="179"/>
        <v>Medium</v>
      </c>
      <c r="X885" s="1" t="s">
        <v>22</v>
      </c>
      <c r="Y885" s="1" t="str">
        <f t="shared" si="180"/>
        <v>No</v>
      </c>
      <c r="Z885" s="14">
        <v>5</v>
      </c>
      <c r="AA885" s="18">
        <f t="shared" si="181"/>
        <v>5</v>
      </c>
      <c r="AB885" s="18" t="str">
        <f t="shared" si="182"/>
        <v>No</v>
      </c>
      <c r="AC885" s="9" t="s">
        <v>3476</v>
      </c>
      <c r="AD885">
        <f>IF(AC885="",0,LEN(AC885)-LEN(SUBSTITUTE(AC885,",",""))+1)</f>
        <v>7</v>
      </c>
    </row>
    <row r="886" spans="1:30" ht="12.5" x14ac:dyDescent="0.25">
      <c r="A886" s="1" t="s">
        <v>3480</v>
      </c>
      <c r="B886" s="1" t="s">
        <v>3481</v>
      </c>
      <c r="C886" s="1" t="str">
        <v>Brittany Snyder</v>
      </c>
      <c r="D886" s="1" t="s">
        <v>3482</v>
      </c>
      <c r="E886" s="1" t="str">
        <v>nancysmith@barnes.info</v>
      </c>
      <c r="F886" t="str">
        <f t="shared" si="171"/>
        <v>Valid</v>
      </c>
      <c r="G886" s="1" t="s">
        <v>109</v>
      </c>
      <c r="H886" s="1" t="str">
        <f t="shared" si="172"/>
        <v>Male</v>
      </c>
      <c r="I886" s="1" t="s">
        <v>96</v>
      </c>
      <c r="J886" t="str">
        <f t="shared" si="173"/>
        <v>INDIA</v>
      </c>
      <c r="L886" s="1">
        <f t="shared" si="174"/>
        <v>19</v>
      </c>
      <c r="M886" s="1" t="str">
        <f t="shared" si="175"/>
        <v>Student</v>
      </c>
      <c r="N886" s="2">
        <v>45115</v>
      </c>
      <c r="O886" s="1" t="s">
        <v>45</v>
      </c>
      <c r="P886" s="1" t="s">
        <v>20</v>
      </c>
      <c r="Q886" s="4">
        <v>0</v>
      </c>
      <c r="R886" s="13">
        <f t="shared" si="176"/>
        <v>0</v>
      </c>
      <c r="S886" s="6">
        <f t="shared" si="170"/>
        <v>0</v>
      </c>
      <c r="T886" s="1" t="s">
        <v>21</v>
      </c>
      <c r="U886" s="1">
        <f t="shared" si="177"/>
        <v>1.5</v>
      </c>
      <c r="V886" s="1">
        <f t="shared" si="178"/>
        <v>0.44999999999999996</v>
      </c>
      <c r="W886" s="10" t="str">
        <f t="shared" si="179"/>
        <v>Low</v>
      </c>
      <c r="X886" s="1" t="s">
        <v>38</v>
      </c>
      <c r="Y886" s="1" t="str">
        <f t="shared" si="180"/>
        <v>No</v>
      </c>
      <c r="Z886" s="14">
        <v>3</v>
      </c>
      <c r="AA886" s="18">
        <f t="shared" si="181"/>
        <v>3</v>
      </c>
      <c r="AB886" s="18" t="str">
        <f t="shared" si="182"/>
        <v>No</v>
      </c>
      <c r="AC886" s="9" t="s">
        <v>3483</v>
      </c>
      <c r="AD886">
        <f>IF(AC886="",0,LEN(AC886)-LEN(SUBSTITUTE(AC886,",",""))+1)</f>
        <v>3</v>
      </c>
    </row>
    <row r="887" spans="1:30" ht="12.5" x14ac:dyDescent="0.25">
      <c r="A887" s="1" t="s">
        <v>3484</v>
      </c>
      <c r="B887" s="1" t="s">
        <v>3485</v>
      </c>
      <c r="C887" s="1" t="str">
        <v>Michael Fritz</v>
      </c>
      <c r="D887" s="1" t="s">
        <v>3486</v>
      </c>
      <c r="E887" s="1" t="str">
        <v>wstrong@morales.com</v>
      </c>
      <c r="F887" t="str">
        <f t="shared" si="171"/>
        <v>Valid</v>
      </c>
      <c r="G887" s="1" t="s">
        <v>27</v>
      </c>
      <c r="H887" s="1" t="str">
        <f t="shared" si="172"/>
        <v>Male</v>
      </c>
      <c r="I887" s="1" t="s">
        <v>96</v>
      </c>
      <c r="J887" t="str">
        <f t="shared" si="173"/>
        <v>INDIA</v>
      </c>
      <c r="K887" s="14">
        <v>0</v>
      </c>
      <c r="L887" s="1">
        <f t="shared" si="174"/>
        <v>19</v>
      </c>
      <c r="M887" s="1" t="str">
        <f t="shared" si="175"/>
        <v>Student</v>
      </c>
      <c r="N887" s="2">
        <v>44843</v>
      </c>
      <c r="O887" s="1" t="s">
        <v>52</v>
      </c>
      <c r="P887" s="1" t="s">
        <v>37</v>
      </c>
      <c r="Q887" s="4">
        <v>0.48</v>
      </c>
      <c r="R887" s="13">
        <f t="shared" si="176"/>
        <v>48</v>
      </c>
      <c r="S887" s="6">
        <f t="shared" si="170"/>
        <v>0.48</v>
      </c>
      <c r="T887" s="1" t="s">
        <v>21</v>
      </c>
      <c r="U887" s="1">
        <f t="shared" si="177"/>
        <v>1.5</v>
      </c>
      <c r="V887" s="1">
        <f t="shared" si="178"/>
        <v>34.049999999999997</v>
      </c>
      <c r="W887" s="10" t="str">
        <f t="shared" si="179"/>
        <v>Low</v>
      </c>
      <c r="X887" s="1">
        <v>1</v>
      </c>
      <c r="Y887" s="1" t="str">
        <f t="shared" si="180"/>
        <v>Yes</v>
      </c>
      <c r="Z887" s="14">
        <v>6</v>
      </c>
      <c r="AA887" s="18">
        <f t="shared" si="181"/>
        <v>6</v>
      </c>
      <c r="AB887" s="18" t="str">
        <f t="shared" si="182"/>
        <v>High Performer</v>
      </c>
      <c r="AC887" s="9" t="s">
        <v>3487</v>
      </c>
      <c r="AD887">
        <f>IF(AC887="",0,LEN(AC887)-LEN(SUBSTITUTE(AC887,",",""))+1)</f>
        <v>2</v>
      </c>
    </row>
    <row r="888" spans="1:30" ht="12.5" x14ac:dyDescent="0.25">
      <c r="A888" s="1" t="s">
        <v>3488</v>
      </c>
      <c r="B888" s="1" t="s">
        <v>3489</v>
      </c>
      <c r="C888" s="1" t="str">
        <v>Leslie Jensen</v>
      </c>
      <c r="D888" s="1" t="s">
        <v>3490</v>
      </c>
      <c r="E888" s="1" t="str">
        <v>rodgersmichael@lozano-mccoy.biz</v>
      </c>
      <c r="F888" t="str">
        <f t="shared" si="171"/>
        <v>Valid</v>
      </c>
      <c r="G888" s="1" t="s">
        <v>27</v>
      </c>
      <c r="H888" s="1" t="str">
        <f t="shared" si="172"/>
        <v>Male</v>
      </c>
      <c r="I888" s="1" t="s">
        <v>74</v>
      </c>
      <c r="J888" t="str">
        <f t="shared" si="173"/>
        <v>USA</v>
      </c>
      <c r="L888" s="1">
        <f t="shared" si="174"/>
        <v>19</v>
      </c>
      <c r="M888" s="1" t="str">
        <f t="shared" si="175"/>
        <v>Student</v>
      </c>
      <c r="N888" s="2">
        <v>45084</v>
      </c>
      <c r="O888" s="1" t="s">
        <v>235</v>
      </c>
      <c r="P888" s="1" t="s">
        <v>147</v>
      </c>
      <c r="Q888" s="4">
        <v>0.55000000000000004</v>
      </c>
      <c r="R888" s="13">
        <f t="shared" si="176"/>
        <v>55.000000000000007</v>
      </c>
      <c r="S888" s="6">
        <f t="shared" si="170"/>
        <v>0.55000000000000004</v>
      </c>
      <c r="T888" s="1" t="s">
        <v>46</v>
      </c>
      <c r="U888" s="1">
        <f t="shared" si="177"/>
        <v>1</v>
      </c>
      <c r="V888" s="1">
        <f t="shared" si="178"/>
        <v>38.799999999999997</v>
      </c>
      <c r="W888" s="10" t="str">
        <f t="shared" si="179"/>
        <v>Low</v>
      </c>
      <c r="X888" s="1" t="s">
        <v>22</v>
      </c>
      <c r="Y888" s="1" t="str">
        <f t="shared" si="180"/>
        <v>No</v>
      </c>
      <c r="Z888" s="14">
        <v>5</v>
      </c>
      <c r="AA888" s="18">
        <f t="shared" si="181"/>
        <v>5</v>
      </c>
      <c r="AB888" s="18" t="str">
        <f t="shared" si="182"/>
        <v>No</v>
      </c>
      <c r="AC888" s="9" t="s">
        <v>47</v>
      </c>
      <c r="AD888">
        <f>IF(AC888="",0,LEN(AC888)-LEN(SUBSTITUTE(AC888,",",""))+1)</f>
        <v>5</v>
      </c>
    </row>
    <row r="889" spans="1:30" ht="12.5" x14ac:dyDescent="0.25">
      <c r="A889" s="1" t="s">
        <v>3491</v>
      </c>
      <c r="B889" s="1" t="s">
        <v>3492</v>
      </c>
      <c r="C889" s="1" t="str">
        <v>Misty Lawrence</v>
      </c>
      <c r="D889" s="1" t="s">
        <v>3493</v>
      </c>
      <c r="E889" s="1" t="str">
        <v>paulawatkins@craig-chavez.com</v>
      </c>
      <c r="F889" t="str">
        <f t="shared" si="171"/>
        <v>Valid</v>
      </c>
      <c r="G889" s="1" t="s">
        <v>43</v>
      </c>
      <c r="H889" s="1" t="str">
        <f t="shared" si="172"/>
        <v>Female</v>
      </c>
      <c r="I889" s="1" t="s">
        <v>18</v>
      </c>
      <c r="J889" t="str">
        <f t="shared" si="173"/>
        <v>US</v>
      </c>
      <c r="K889" s="14">
        <v>29</v>
      </c>
      <c r="L889" s="1">
        <f t="shared" si="174"/>
        <v>29</v>
      </c>
      <c r="M889" s="1" t="str">
        <f t="shared" si="175"/>
        <v>Early Career</v>
      </c>
      <c r="N889" s="9">
        <v>45107</v>
      </c>
      <c r="O889" s="1" t="s">
        <v>301</v>
      </c>
      <c r="P889" s="1" t="s">
        <v>20</v>
      </c>
      <c r="Q889" s="4">
        <v>0.54</v>
      </c>
      <c r="R889" s="13">
        <f t="shared" si="176"/>
        <v>54</v>
      </c>
      <c r="S889" s="6">
        <f t="shared" si="170"/>
        <v>0.54</v>
      </c>
      <c r="T889" s="1" t="s">
        <v>46</v>
      </c>
      <c r="U889" s="1">
        <f t="shared" si="177"/>
        <v>1</v>
      </c>
      <c r="V889" s="1">
        <f t="shared" si="178"/>
        <v>38.099999999999994</v>
      </c>
      <c r="W889" s="10" t="str">
        <f t="shared" si="179"/>
        <v>Low</v>
      </c>
      <c r="X889" s="1" t="s">
        <v>76</v>
      </c>
      <c r="Y889" s="1" t="str">
        <f t="shared" si="180"/>
        <v>Yes</v>
      </c>
      <c r="Z889" s="14">
        <v>2</v>
      </c>
      <c r="AA889" s="18">
        <f t="shared" si="181"/>
        <v>2</v>
      </c>
      <c r="AB889" s="18" t="str">
        <f t="shared" si="182"/>
        <v>No</v>
      </c>
      <c r="AC889" s="9" t="s">
        <v>3494</v>
      </c>
      <c r="AD889">
        <f>IF(AC889="",0,LEN(AC889)-LEN(SUBSTITUTE(AC889,",",""))+1)</f>
        <v>8</v>
      </c>
    </row>
    <row r="890" spans="1:30" ht="12.5" x14ac:dyDescent="0.25">
      <c r="A890" s="1" t="s">
        <v>3495</v>
      </c>
      <c r="B890" s="1" t="s">
        <v>3496</v>
      </c>
      <c r="C890" s="1" t="str">
        <v>Raymond Hall</v>
      </c>
      <c r="D890" s="1" t="s">
        <v>3497</v>
      </c>
      <c r="E890" s="1" t="str">
        <v>brandon88@hotmail.com</v>
      </c>
      <c r="F890" t="str">
        <f t="shared" si="171"/>
        <v>Valid</v>
      </c>
      <c r="G890" s="1" t="s">
        <v>27</v>
      </c>
      <c r="H890" s="1" t="str">
        <f t="shared" si="172"/>
        <v>Male</v>
      </c>
      <c r="I890" s="1" t="s">
        <v>96</v>
      </c>
      <c r="J890" t="str">
        <f t="shared" si="173"/>
        <v>INDIA</v>
      </c>
      <c r="K890" s="14">
        <v>0</v>
      </c>
      <c r="L890" s="1">
        <f t="shared" si="174"/>
        <v>19</v>
      </c>
      <c r="M890" s="1" t="str">
        <f t="shared" si="175"/>
        <v>Student</v>
      </c>
      <c r="N890" s="9">
        <v>45339</v>
      </c>
      <c r="O890" s="1" t="s">
        <v>170</v>
      </c>
      <c r="P890" s="1" t="s">
        <v>147</v>
      </c>
      <c r="Q890" s="4">
        <v>0.75</v>
      </c>
      <c r="R890" s="13">
        <f t="shared" si="176"/>
        <v>75</v>
      </c>
      <c r="S890" s="6">
        <f t="shared" si="170"/>
        <v>0.75</v>
      </c>
      <c r="T890" s="1">
        <v>45</v>
      </c>
      <c r="U890" s="1">
        <f t="shared" si="177"/>
        <v>45</v>
      </c>
      <c r="V890" s="1">
        <f t="shared" si="178"/>
        <v>66</v>
      </c>
      <c r="W890" s="10" t="str">
        <f t="shared" si="179"/>
        <v>Medium</v>
      </c>
      <c r="X890" s="1">
        <v>0</v>
      </c>
      <c r="Y890" s="1" t="str">
        <f t="shared" si="180"/>
        <v>No</v>
      </c>
      <c r="Z890" s="14">
        <v>3</v>
      </c>
      <c r="AA890" s="18">
        <f t="shared" si="181"/>
        <v>3</v>
      </c>
      <c r="AB890" s="18" t="str">
        <f t="shared" si="182"/>
        <v>No</v>
      </c>
      <c r="AC890" s="9" t="s">
        <v>3498</v>
      </c>
      <c r="AD890">
        <f>IF(AC890="",0,LEN(AC890)-LEN(SUBSTITUTE(AC890,",",""))+1)</f>
        <v>6</v>
      </c>
    </row>
    <row r="891" spans="1:30" ht="12.5" x14ac:dyDescent="0.25">
      <c r="A891" s="1" t="s">
        <v>3499</v>
      </c>
      <c r="B891" s="1" t="s">
        <v>3500</v>
      </c>
      <c r="C891" s="1" t="str">
        <v>Fernando White</v>
      </c>
      <c r="D891" s="1" t="s">
        <v>3501</v>
      </c>
      <c r="E891" s="1" t="str">
        <v>cervantesjessica@clark.org</v>
      </c>
      <c r="F891" t="str">
        <f t="shared" si="171"/>
        <v>Valid</v>
      </c>
      <c r="G891" s="1" t="s">
        <v>95</v>
      </c>
      <c r="H891" s="1" t="str">
        <f t="shared" si="172"/>
        <v>Male</v>
      </c>
      <c r="I891" s="1" t="s">
        <v>136</v>
      </c>
      <c r="J891" t="str">
        <f t="shared" si="173"/>
        <v>UK</v>
      </c>
      <c r="K891" s="14">
        <v>0</v>
      </c>
      <c r="L891" s="1">
        <f t="shared" si="174"/>
        <v>19</v>
      </c>
      <c r="M891" s="1" t="str">
        <f t="shared" si="175"/>
        <v>Student</v>
      </c>
      <c r="N891" s="2">
        <v>45388</v>
      </c>
      <c r="O891" s="1" t="s">
        <v>75</v>
      </c>
      <c r="P891" s="1" t="s">
        <v>37</v>
      </c>
      <c r="Q891" s="4">
        <v>0.89</v>
      </c>
      <c r="R891" s="13">
        <f t="shared" si="176"/>
        <v>89</v>
      </c>
      <c r="S891" s="6">
        <f t="shared" si="170"/>
        <v>0.89</v>
      </c>
      <c r="T891" s="1" t="s">
        <v>64</v>
      </c>
      <c r="U891" s="1">
        <f t="shared" si="177"/>
        <v>2</v>
      </c>
      <c r="V891" s="1">
        <f t="shared" si="178"/>
        <v>62.9</v>
      </c>
      <c r="W891" s="10" t="str">
        <f t="shared" si="179"/>
        <v>Medium</v>
      </c>
      <c r="X891" s="1" t="s">
        <v>22</v>
      </c>
      <c r="Y891" s="1" t="str">
        <f t="shared" si="180"/>
        <v>No</v>
      </c>
      <c r="AA891" s="18" t="str">
        <f t="shared" si="181"/>
        <v>Invalid</v>
      </c>
      <c r="AB891" s="18" t="str">
        <f t="shared" si="182"/>
        <v>No</v>
      </c>
      <c r="AC891" s="9" t="s">
        <v>3502</v>
      </c>
      <c r="AD891">
        <f>IF(AC891="",0,LEN(AC891)-LEN(SUBSTITUTE(AC891,",",""))+1)</f>
        <v>8</v>
      </c>
    </row>
    <row r="892" spans="1:30" ht="12.5" x14ac:dyDescent="0.25">
      <c r="A892" s="1" t="s">
        <v>3503</v>
      </c>
      <c r="B892" s="1" t="s">
        <v>3504</v>
      </c>
      <c r="C892" s="1" t="str">
        <v>Donald Gonzales</v>
      </c>
      <c r="D892" s="1" t="s">
        <v>3505</v>
      </c>
      <c r="E892" s="1" t="str">
        <v>sheila49@middleton.com</v>
      </c>
      <c r="F892" t="str">
        <f t="shared" si="171"/>
        <v>Valid</v>
      </c>
      <c r="G892" s="1" t="s">
        <v>109</v>
      </c>
      <c r="H892" s="1" t="str">
        <f t="shared" si="172"/>
        <v>Male</v>
      </c>
      <c r="I892" s="1" t="s">
        <v>74</v>
      </c>
      <c r="J892" t="str">
        <f t="shared" si="173"/>
        <v>USA</v>
      </c>
      <c r="K892" s="14">
        <v>31</v>
      </c>
      <c r="L892" s="1">
        <f t="shared" si="174"/>
        <v>31</v>
      </c>
      <c r="M892" s="1" t="str">
        <f t="shared" si="175"/>
        <v>Mid Career</v>
      </c>
      <c r="N892" s="2">
        <v>45146</v>
      </c>
      <c r="O892" s="1" t="s">
        <v>114</v>
      </c>
      <c r="P892" s="1" t="s">
        <v>59</v>
      </c>
      <c r="Q892" s="4">
        <v>0.78</v>
      </c>
      <c r="R892" s="13">
        <f t="shared" si="176"/>
        <v>78</v>
      </c>
      <c r="S892" s="6">
        <f t="shared" si="170"/>
        <v>0.78</v>
      </c>
      <c r="T892" s="1">
        <v>1.5</v>
      </c>
      <c r="U892" s="1">
        <f t="shared" si="177"/>
        <v>1.5</v>
      </c>
      <c r="V892" s="1">
        <f t="shared" si="178"/>
        <v>55.05</v>
      </c>
      <c r="W892" s="10" t="str">
        <f t="shared" si="179"/>
        <v>Medium</v>
      </c>
      <c r="X892" s="1">
        <v>0</v>
      </c>
      <c r="Y892" s="1" t="str">
        <f t="shared" si="180"/>
        <v>No</v>
      </c>
      <c r="AA892" s="18" t="str">
        <f t="shared" si="181"/>
        <v>Invalid</v>
      </c>
      <c r="AB892" s="18" t="str">
        <f t="shared" si="182"/>
        <v>No</v>
      </c>
      <c r="AC892" s="9" t="s">
        <v>3060</v>
      </c>
      <c r="AD892">
        <f>IF(AC892="",0,LEN(AC892)-LEN(SUBSTITUTE(AC892,",",""))+1)</f>
        <v>2</v>
      </c>
    </row>
    <row r="893" spans="1:30" ht="12.5" x14ac:dyDescent="0.25">
      <c r="A893" s="1" t="s">
        <v>3506</v>
      </c>
      <c r="B893" s="1" t="s">
        <v>3507</v>
      </c>
      <c r="C893" s="1" t="str">
        <v>Caroline George</v>
      </c>
      <c r="D893" s="1" t="s">
        <v>127</v>
      </c>
      <c r="E893" s="1" t="str">
        <v>invalid-email</v>
      </c>
      <c r="F893" t="str">
        <f t="shared" si="171"/>
        <v>Invalid</v>
      </c>
      <c r="G893" s="1" t="s">
        <v>57</v>
      </c>
      <c r="H893" s="1" t="str">
        <f t="shared" si="172"/>
        <v>Female</v>
      </c>
      <c r="I893" s="1" t="s">
        <v>51</v>
      </c>
      <c r="J893" t="str">
        <f t="shared" si="173"/>
        <v>UK</v>
      </c>
      <c r="K893" s="14">
        <v>0</v>
      </c>
      <c r="L893" s="1">
        <f t="shared" si="174"/>
        <v>19</v>
      </c>
      <c r="M893" s="1" t="str">
        <f t="shared" si="175"/>
        <v>Student</v>
      </c>
      <c r="N893" s="3">
        <v>44906</v>
      </c>
      <c r="O893" s="1" t="s">
        <v>301</v>
      </c>
      <c r="P893" s="1" t="s">
        <v>20</v>
      </c>
      <c r="Q893" s="4">
        <v>0.24</v>
      </c>
      <c r="R893" s="13">
        <f t="shared" si="176"/>
        <v>24</v>
      </c>
      <c r="S893" s="6">
        <f t="shared" si="170"/>
        <v>0.24</v>
      </c>
      <c r="T893" s="1">
        <v>45</v>
      </c>
      <c r="U893" s="1">
        <f t="shared" si="177"/>
        <v>45</v>
      </c>
      <c r="V893" s="1">
        <f t="shared" si="178"/>
        <v>30.299999999999997</v>
      </c>
      <c r="W893" s="10" t="str">
        <f t="shared" si="179"/>
        <v>Low</v>
      </c>
      <c r="X893" s="1">
        <v>1</v>
      </c>
      <c r="Y893" s="1" t="str">
        <f t="shared" si="180"/>
        <v>Yes</v>
      </c>
      <c r="AA893" s="18" t="str">
        <f t="shared" si="181"/>
        <v>Invalid</v>
      </c>
      <c r="AB893" s="18" t="str">
        <f t="shared" si="182"/>
        <v>High Performer</v>
      </c>
      <c r="AC893" s="9" t="s">
        <v>3508</v>
      </c>
      <c r="AD893">
        <f>IF(AC893="",0,LEN(AC893)-LEN(SUBSTITUTE(AC893,",",""))+1)</f>
        <v>2</v>
      </c>
    </row>
    <row r="894" spans="1:30" ht="12.5" x14ac:dyDescent="0.25">
      <c r="A894" s="1" t="s">
        <v>3509</v>
      </c>
      <c r="B894" s="1" t="s">
        <v>3510</v>
      </c>
      <c r="C894" s="1" t="str">
        <v>Adriana Wall</v>
      </c>
      <c r="D894" s="1" t="s">
        <v>3511</v>
      </c>
      <c r="E894" s="1" t="str">
        <v>james96@wallace.com</v>
      </c>
      <c r="F894" t="str">
        <f t="shared" si="171"/>
        <v>Valid</v>
      </c>
      <c r="G894" s="1" t="s">
        <v>109</v>
      </c>
      <c r="H894" s="1" t="str">
        <f t="shared" si="172"/>
        <v>Male</v>
      </c>
      <c r="I894" s="1" t="s">
        <v>44</v>
      </c>
      <c r="J894" t="str">
        <f t="shared" si="173"/>
        <v>CANADA</v>
      </c>
      <c r="K894" s="14">
        <v>20</v>
      </c>
      <c r="L894" s="1">
        <f t="shared" si="174"/>
        <v>20</v>
      </c>
      <c r="M894" s="1" t="str">
        <f t="shared" si="175"/>
        <v>Student</v>
      </c>
      <c r="N894" s="2">
        <v>44748</v>
      </c>
      <c r="O894" s="1" t="s">
        <v>45</v>
      </c>
      <c r="P894" s="1" t="s">
        <v>20</v>
      </c>
      <c r="Q894" s="4">
        <v>85</v>
      </c>
      <c r="R894" s="13">
        <f t="shared" si="176"/>
        <v>85</v>
      </c>
      <c r="S894" s="6">
        <f t="shared" si="170"/>
        <v>0.85</v>
      </c>
      <c r="T894" s="1" t="s">
        <v>64</v>
      </c>
      <c r="U894" s="1">
        <f t="shared" si="177"/>
        <v>2</v>
      </c>
      <c r="V894" s="1">
        <f t="shared" si="178"/>
        <v>60.099999999999994</v>
      </c>
      <c r="W894" s="10" t="str">
        <f t="shared" si="179"/>
        <v>Medium</v>
      </c>
      <c r="X894" s="1" t="s">
        <v>32</v>
      </c>
      <c r="Y894" s="1" t="str">
        <f t="shared" si="180"/>
        <v>Yes</v>
      </c>
      <c r="Z894" s="14">
        <v>1</v>
      </c>
      <c r="AA894" s="18">
        <f t="shared" si="181"/>
        <v>1</v>
      </c>
      <c r="AB894" s="18" t="str">
        <f t="shared" si="182"/>
        <v>No</v>
      </c>
      <c r="AC894" s="9" t="s">
        <v>3512</v>
      </c>
      <c r="AD894">
        <f>IF(AC894="",0,LEN(AC894)-LEN(SUBSTITUTE(AC894,",",""))+1)</f>
        <v>7</v>
      </c>
    </row>
    <row r="895" spans="1:30" ht="12.5" x14ac:dyDescent="0.25">
      <c r="A895" s="1" t="s">
        <v>3513</v>
      </c>
      <c r="B895" s="1" t="s">
        <v>3514</v>
      </c>
      <c r="C895" s="1" t="str">
        <v>Sean Kaiser</v>
      </c>
      <c r="D895" s="1" t="s">
        <v>3515</v>
      </c>
      <c r="E895" s="1" t="str">
        <v>linda31@moore-rogers.info</v>
      </c>
      <c r="F895" t="str">
        <f t="shared" si="171"/>
        <v>Valid</v>
      </c>
      <c r="G895" s="1" t="s">
        <v>57</v>
      </c>
      <c r="H895" s="1" t="str">
        <f t="shared" si="172"/>
        <v>Female</v>
      </c>
      <c r="I895" s="1" t="s">
        <v>136</v>
      </c>
      <c r="J895" t="str">
        <f t="shared" si="173"/>
        <v>UK</v>
      </c>
      <c r="K895" s="14">
        <v>0</v>
      </c>
      <c r="L895" s="1">
        <f t="shared" si="174"/>
        <v>19</v>
      </c>
      <c r="M895" s="1" t="str">
        <f t="shared" si="175"/>
        <v>Student</v>
      </c>
      <c r="N895" s="3">
        <v>44844</v>
      </c>
      <c r="O895" s="1" t="s">
        <v>90</v>
      </c>
      <c r="P895" s="1" t="s">
        <v>31</v>
      </c>
      <c r="Q895" s="4">
        <v>0</v>
      </c>
      <c r="R895" s="13">
        <f t="shared" si="176"/>
        <v>0</v>
      </c>
      <c r="S895" s="6">
        <f t="shared" si="170"/>
        <v>0</v>
      </c>
      <c r="T895" s="1" t="s">
        <v>21</v>
      </c>
      <c r="U895" s="1">
        <f t="shared" si="177"/>
        <v>1.5</v>
      </c>
      <c r="V895" s="1">
        <f t="shared" si="178"/>
        <v>0.44999999999999996</v>
      </c>
      <c r="W895" s="10" t="str">
        <f t="shared" si="179"/>
        <v>Low</v>
      </c>
      <c r="X895" s="1" t="s">
        <v>38</v>
      </c>
      <c r="Y895" s="1" t="str">
        <f t="shared" si="180"/>
        <v>No</v>
      </c>
      <c r="Z895" s="14">
        <v>3</v>
      </c>
      <c r="AA895" s="18">
        <f t="shared" si="181"/>
        <v>3</v>
      </c>
      <c r="AB895" s="18" t="str">
        <f t="shared" si="182"/>
        <v>No</v>
      </c>
      <c r="AC895" s="9" t="s">
        <v>3516</v>
      </c>
      <c r="AD895">
        <f>IF(AC895="",0,LEN(AC895)-LEN(SUBSTITUTE(AC895,",",""))+1)</f>
        <v>7</v>
      </c>
    </row>
    <row r="896" spans="1:30" ht="12.5" x14ac:dyDescent="0.25">
      <c r="A896" s="1" t="s">
        <v>3517</v>
      </c>
      <c r="B896" s="1" t="s">
        <v>3518</v>
      </c>
      <c r="C896" s="1" t="str">
        <v>Michael Mcclain</v>
      </c>
      <c r="D896" s="1" t="s">
        <v>3519</v>
      </c>
      <c r="E896" s="1" t="str">
        <v>tgarcia@stewart.com</v>
      </c>
      <c r="F896" t="str">
        <f t="shared" si="171"/>
        <v>Valid</v>
      </c>
      <c r="G896" s="1" t="s">
        <v>109</v>
      </c>
      <c r="H896" s="1" t="str">
        <f t="shared" si="172"/>
        <v>Male</v>
      </c>
      <c r="I896" s="1" t="s">
        <v>28</v>
      </c>
      <c r="J896" t="str">
        <f t="shared" si="173"/>
        <v>INDIA</v>
      </c>
      <c r="K896" s="14">
        <v>0</v>
      </c>
      <c r="L896" s="1">
        <f t="shared" si="174"/>
        <v>19</v>
      </c>
      <c r="M896" s="1" t="str">
        <f t="shared" si="175"/>
        <v>Student</v>
      </c>
      <c r="N896" s="3">
        <v>45608</v>
      </c>
      <c r="O896" s="1" t="s">
        <v>19</v>
      </c>
      <c r="P896" s="1" t="s">
        <v>20</v>
      </c>
      <c r="Q896" s="4">
        <v>23</v>
      </c>
      <c r="R896" s="13">
        <f t="shared" si="176"/>
        <v>23</v>
      </c>
      <c r="S896" s="6">
        <f t="shared" si="170"/>
        <v>0.23</v>
      </c>
      <c r="T896" s="1" t="s">
        <v>21</v>
      </c>
      <c r="U896" s="1">
        <f t="shared" si="177"/>
        <v>1.5</v>
      </c>
      <c r="V896" s="1">
        <f t="shared" si="178"/>
        <v>16.549999999999997</v>
      </c>
      <c r="W896" s="10" t="str">
        <f t="shared" si="179"/>
        <v>Low</v>
      </c>
      <c r="X896" s="1" t="s">
        <v>76</v>
      </c>
      <c r="Y896" s="1" t="str">
        <f t="shared" si="180"/>
        <v>Yes</v>
      </c>
      <c r="Z896" s="14">
        <v>3</v>
      </c>
      <c r="AA896" s="18">
        <f t="shared" si="181"/>
        <v>3</v>
      </c>
      <c r="AB896" s="18" t="str">
        <f t="shared" si="182"/>
        <v>No</v>
      </c>
      <c r="AC896" s="9" t="s">
        <v>3520</v>
      </c>
      <c r="AD896">
        <f>IF(AC896="",0,LEN(AC896)-LEN(SUBSTITUTE(AC896,",",""))+1)</f>
        <v>2</v>
      </c>
    </row>
    <row r="897" spans="1:30" ht="12.5" x14ac:dyDescent="0.25">
      <c r="A897" s="1" t="s">
        <v>3521</v>
      </c>
      <c r="B897" s="1" t="s">
        <v>3522</v>
      </c>
      <c r="C897" s="1" t="str">
        <v>Shelby Robinson</v>
      </c>
      <c r="D897" s="1" t="s">
        <v>3523</v>
      </c>
      <c r="E897" s="1" t="str">
        <v>theodore72@crawford.com</v>
      </c>
      <c r="F897" t="str">
        <f t="shared" si="171"/>
        <v>Valid</v>
      </c>
      <c r="G897" s="1" t="s">
        <v>109</v>
      </c>
      <c r="H897" s="1" t="str">
        <f t="shared" si="172"/>
        <v>Male</v>
      </c>
      <c r="I897" s="1" t="s">
        <v>44</v>
      </c>
      <c r="J897" t="str">
        <f t="shared" si="173"/>
        <v>CANADA</v>
      </c>
      <c r="K897" s="14">
        <v>0</v>
      </c>
      <c r="L897" s="1">
        <f t="shared" si="174"/>
        <v>19</v>
      </c>
      <c r="M897" s="1" t="str">
        <f t="shared" si="175"/>
        <v>Student</v>
      </c>
      <c r="N897" s="9">
        <v>45643</v>
      </c>
      <c r="O897" s="1" t="s">
        <v>170</v>
      </c>
      <c r="P897" s="1" t="s">
        <v>147</v>
      </c>
      <c r="Q897" s="4">
        <v>16</v>
      </c>
      <c r="R897" s="13">
        <f t="shared" si="176"/>
        <v>16</v>
      </c>
      <c r="S897" s="6">
        <f t="shared" si="170"/>
        <v>0.16</v>
      </c>
      <c r="T897" s="1" t="s">
        <v>46</v>
      </c>
      <c r="U897" s="1">
        <f t="shared" si="177"/>
        <v>1</v>
      </c>
      <c r="V897" s="1">
        <f t="shared" si="178"/>
        <v>11.5</v>
      </c>
      <c r="W897" s="10" t="str">
        <f t="shared" si="179"/>
        <v>Low</v>
      </c>
      <c r="X897" s="1" t="s">
        <v>22</v>
      </c>
      <c r="Y897" s="1" t="str">
        <f t="shared" si="180"/>
        <v>No</v>
      </c>
      <c r="Z897" s="14">
        <v>3</v>
      </c>
      <c r="AA897" s="18">
        <f t="shared" si="181"/>
        <v>3</v>
      </c>
      <c r="AB897" s="18" t="str">
        <f t="shared" si="182"/>
        <v>No</v>
      </c>
      <c r="AC897" s="9" t="s">
        <v>819</v>
      </c>
      <c r="AD897">
        <f>IF(AC897="",0,LEN(AC897)-LEN(SUBSTITUTE(AC897,",",""))+1)</f>
        <v>4</v>
      </c>
    </row>
    <row r="898" spans="1:30" ht="12.5" x14ac:dyDescent="0.25">
      <c r="A898" s="1" t="s">
        <v>3524</v>
      </c>
      <c r="B898" s="1" t="s">
        <v>3525</v>
      </c>
      <c r="C898" s="1" t="str">
        <v>Austin Grant</v>
      </c>
      <c r="D898" s="1" t="s">
        <v>3526</v>
      </c>
      <c r="E898" s="1" t="str">
        <v>benjaminwatts@james.info</v>
      </c>
      <c r="F898" t="str">
        <f t="shared" si="171"/>
        <v>Valid</v>
      </c>
      <c r="G898" s="1" t="s">
        <v>57</v>
      </c>
      <c r="H898" s="1" t="str">
        <f t="shared" si="172"/>
        <v>Female</v>
      </c>
      <c r="I898" s="1" t="s">
        <v>156</v>
      </c>
      <c r="J898" t="str">
        <f t="shared" si="173"/>
        <v>IN</v>
      </c>
      <c r="K898" s="14">
        <v>0</v>
      </c>
      <c r="L898" s="1">
        <f t="shared" si="174"/>
        <v>19</v>
      </c>
      <c r="M898" s="1" t="str">
        <f t="shared" si="175"/>
        <v>Student</v>
      </c>
      <c r="N898" s="9">
        <v>45460</v>
      </c>
      <c r="O898" s="1" t="s">
        <v>170</v>
      </c>
      <c r="P898" s="1" t="s">
        <v>147</v>
      </c>
      <c r="Q898" s="4">
        <v>33</v>
      </c>
      <c r="R898" s="13">
        <f t="shared" si="176"/>
        <v>33</v>
      </c>
      <c r="S898" s="6">
        <f t="shared" ref="S898:S961" si="183">R898/100</f>
        <v>0.33</v>
      </c>
      <c r="T898" s="1" t="s">
        <v>21</v>
      </c>
      <c r="U898" s="1">
        <f t="shared" si="177"/>
        <v>1.5</v>
      </c>
      <c r="V898" s="1">
        <f t="shared" si="178"/>
        <v>23.549999999999997</v>
      </c>
      <c r="W898" s="10" t="str">
        <f t="shared" si="179"/>
        <v>Low</v>
      </c>
      <c r="X898" s="1">
        <v>0</v>
      </c>
      <c r="Y898" s="1" t="str">
        <f t="shared" si="180"/>
        <v>No</v>
      </c>
      <c r="AA898" s="18" t="str">
        <f t="shared" si="181"/>
        <v>Invalid</v>
      </c>
      <c r="AB898" s="18" t="str">
        <f t="shared" si="182"/>
        <v>No</v>
      </c>
      <c r="AC898" s="9" t="s">
        <v>3527</v>
      </c>
      <c r="AD898">
        <f>IF(AC898="",0,LEN(AC898)-LEN(SUBSTITUTE(AC898,",",""))+1)</f>
        <v>4</v>
      </c>
    </row>
    <row r="899" spans="1:30" ht="12.5" x14ac:dyDescent="0.25">
      <c r="A899" s="1" t="s">
        <v>3528</v>
      </c>
      <c r="B899" s="1" t="s">
        <v>3529</v>
      </c>
      <c r="C899" s="1" t="str">
        <v>David Carter</v>
      </c>
      <c r="D899" s="1" t="s">
        <v>3530</v>
      </c>
      <c r="E899" s="1" t="str">
        <v>zrobles@hotmail.com</v>
      </c>
      <c r="F899" t="str">
        <f t="shared" ref="F899:F962" si="184">IF(ISNUMBER(SEARCH("@", E899)), "Valid", "Invalid")</f>
        <v>Valid</v>
      </c>
      <c r="G899" s="1" t="s">
        <v>27</v>
      </c>
      <c r="H899" s="1" t="str">
        <f t="shared" ref="H899:H962" si="185">IF(OR(LOWER(G899)="m", LOWER(G899)="male"), "Male", IF(OR(LOWER(G899)="f", LOWER(G899)="female"), "Female","Other"))</f>
        <v>Male</v>
      </c>
      <c r="I899" s="1" t="s">
        <v>89</v>
      </c>
      <c r="J899" t="str">
        <f t="shared" ref="J899:J962" si="186">UPPER(TRIM(I899))</f>
        <v>GERMANY</v>
      </c>
      <c r="K899" s="14">
        <v>0</v>
      </c>
      <c r="L899" s="1">
        <f t="shared" ref="L899:L962" si="187">IF(OR(K899=0,K899&lt;10,K899&gt;100), $L$1202, K899)</f>
        <v>19</v>
      </c>
      <c r="M899" s="1" t="str">
        <f t="shared" ref="M899:M962" si="188">IF(K899&lt;22,"Student",
IF(K899&lt;=30,"Early Career",
IF(K899&lt;=40,"Mid Career",
IF(K899&lt;=50,"Senior","Expert"))))</f>
        <v>Student</v>
      </c>
      <c r="N899" s="2">
        <v>45542</v>
      </c>
      <c r="O899" s="1" t="s">
        <v>235</v>
      </c>
      <c r="P899" s="1" t="s">
        <v>147</v>
      </c>
      <c r="Q899" s="4">
        <v>0.26</v>
      </c>
      <c r="R899" s="13">
        <f t="shared" ref="R899:R962" si="189">IF(Q899&lt;=1, Q899*100, Q899)</f>
        <v>26</v>
      </c>
      <c r="S899" s="6">
        <f t="shared" si="183"/>
        <v>0.26</v>
      </c>
      <c r="T899" s="1" t="s">
        <v>21</v>
      </c>
      <c r="U899" s="1">
        <f t="shared" ref="U899:U962" si="190">IF(ISNUMBER(T899), T899,
IF(ISNUMBER(SEARCH("min", T899)), VALUE(LEFT(T899, FIND(" ", T899)-1))/60,
IF(ISNUMBER(SEARCH("hour", T899)), VALUE(LEFT(T899, FIND(" ", T899)-1)),
"")))</f>
        <v>1.5</v>
      </c>
      <c r="V899" s="1">
        <f t="shared" ref="V899:V962" si="191">MIN( (0.7*R899 + 0.3*(U899)), 100 )</f>
        <v>18.649999999999999</v>
      </c>
      <c r="W899" s="10" t="str">
        <f t="shared" ref="W899:W962" si="192">IF(V899&lt;41,"Low",IF(V899&lt;71,"Medium","High"))</f>
        <v>Low</v>
      </c>
      <c r="X899" s="1">
        <v>1</v>
      </c>
      <c r="Y899" s="1" t="str">
        <f t="shared" ref="Y899:Y962" si="193">IF(OR(X899="Yes", X899="Y", X899=1), "Yes", "No")</f>
        <v>Yes</v>
      </c>
      <c r="AA899" s="18" t="str">
        <f t="shared" ref="AA899:AA962" si="194">IF(AND(Z899&gt;=1,Z899&lt;=6),Z899,"Invalid")</f>
        <v>Invalid</v>
      </c>
      <c r="AB899" s="18" t="str">
        <f t="shared" ref="AB899:AB962" si="195">IF(AND(Y899="Yes",AA899&gt;=4),"High Performer","No")</f>
        <v>High Performer</v>
      </c>
      <c r="AC899" s="9" t="s">
        <v>3531</v>
      </c>
      <c r="AD899">
        <f>IF(AC899="",0,LEN(AC899)-LEN(SUBSTITUTE(AC899,",",""))+1)</f>
        <v>7</v>
      </c>
    </row>
    <row r="900" spans="1:30" ht="12.5" x14ac:dyDescent="0.25">
      <c r="A900" s="1" t="s">
        <v>3532</v>
      </c>
      <c r="B900" s="1" t="s">
        <v>3533</v>
      </c>
      <c r="C900" s="1" t="str">
        <v>Victor Prince</v>
      </c>
      <c r="D900" s="1" t="s">
        <v>3534</v>
      </c>
      <c r="E900" s="1" t="str">
        <v>umontes@gmail.com</v>
      </c>
      <c r="F900" t="str">
        <f t="shared" si="184"/>
        <v>Valid</v>
      </c>
      <c r="G900" s="1" t="s">
        <v>109</v>
      </c>
      <c r="H900" s="1" t="str">
        <f t="shared" si="185"/>
        <v>Male</v>
      </c>
      <c r="I900" s="1" t="s">
        <v>136</v>
      </c>
      <c r="J900" t="str">
        <f t="shared" si="186"/>
        <v>UK</v>
      </c>
      <c r="L900" s="1">
        <f t="shared" si="187"/>
        <v>19</v>
      </c>
      <c r="M900" s="1" t="str">
        <f t="shared" si="188"/>
        <v>Student</v>
      </c>
      <c r="N900" s="9">
        <v>45212</v>
      </c>
      <c r="O900" s="1" t="s">
        <v>36</v>
      </c>
      <c r="P900" s="1" t="s">
        <v>37</v>
      </c>
      <c r="Q900" s="4">
        <v>0.33</v>
      </c>
      <c r="R900" s="13">
        <f t="shared" si="189"/>
        <v>33</v>
      </c>
      <c r="S900" s="6">
        <f t="shared" si="183"/>
        <v>0.33</v>
      </c>
      <c r="T900" s="1">
        <v>2</v>
      </c>
      <c r="U900" s="1">
        <f t="shared" si="190"/>
        <v>2</v>
      </c>
      <c r="V900" s="1">
        <f t="shared" si="191"/>
        <v>23.7</v>
      </c>
      <c r="W900" s="10" t="str">
        <f t="shared" si="192"/>
        <v>Low</v>
      </c>
      <c r="X900" s="1" t="s">
        <v>32</v>
      </c>
      <c r="Y900" s="1" t="str">
        <f t="shared" si="193"/>
        <v>Yes</v>
      </c>
      <c r="Z900" s="14">
        <v>1</v>
      </c>
      <c r="AA900" s="18">
        <f t="shared" si="194"/>
        <v>1</v>
      </c>
      <c r="AB900" s="18" t="str">
        <f t="shared" si="195"/>
        <v>No</v>
      </c>
      <c r="AC900" s="9" t="s">
        <v>3535</v>
      </c>
      <c r="AD900">
        <f>IF(AC900="",0,LEN(AC900)-LEN(SUBSTITUTE(AC900,",",""))+1)</f>
        <v>4</v>
      </c>
    </row>
    <row r="901" spans="1:30" ht="12.5" x14ac:dyDescent="0.25">
      <c r="A901" s="1" t="s">
        <v>3536</v>
      </c>
      <c r="B901" s="1" t="s">
        <v>3537</v>
      </c>
      <c r="C901" s="1" t="str">
        <v>Mary Bailey</v>
      </c>
      <c r="D901" s="1" t="s">
        <v>127</v>
      </c>
      <c r="E901" s="1" t="str">
        <v>invalid-email</v>
      </c>
      <c r="F901" t="str">
        <f t="shared" si="184"/>
        <v>Invalid</v>
      </c>
      <c r="G901" s="1" t="s">
        <v>88</v>
      </c>
      <c r="H901" s="1" t="str">
        <f t="shared" si="185"/>
        <v>Male</v>
      </c>
      <c r="I901" s="1" t="s">
        <v>136</v>
      </c>
      <c r="J901" t="str">
        <f t="shared" si="186"/>
        <v>UK</v>
      </c>
      <c r="L901" s="1">
        <f t="shared" si="187"/>
        <v>19</v>
      </c>
      <c r="M901" s="1" t="str">
        <f t="shared" si="188"/>
        <v>Student</v>
      </c>
      <c r="N901" s="9">
        <v>45687</v>
      </c>
      <c r="O901" s="1" t="s">
        <v>69</v>
      </c>
      <c r="P901" s="1" t="s">
        <v>31</v>
      </c>
      <c r="Q901" s="4">
        <v>80</v>
      </c>
      <c r="R901" s="13">
        <f t="shared" si="189"/>
        <v>80</v>
      </c>
      <c r="S901" s="6">
        <f t="shared" si="183"/>
        <v>0.8</v>
      </c>
      <c r="T901" s="1">
        <v>2</v>
      </c>
      <c r="U901" s="1">
        <f t="shared" si="190"/>
        <v>2</v>
      </c>
      <c r="V901" s="1">
        <f t="shared" si="191"/>
        <v>56.6</v>
      </c>
      <c r="W901" s="10" t="str">
        <f t="shared" si="192"/>
        <v>Medium</v>
      </c>
      <c r="X901" s="1" t="s">
        <v>76</v>
      </c>
      <c r="Y901" s="1" t="str">
        <f t="shared" si="193"/>
        <v>Yes</v>
      </c>
      <c r="Z901" s="14">
        <v>3</v>
      </c>
      <c r="AA901" s="18">
        <f t="shared" si="194"/>
        <v>3</v>
      </c>
      <c r="AB901" s="18" t="str">
        <f t="shared" si="195"/>
        <v>No</v>
      </c>
      <c r="AC901" s="9" t="s">
        <v>2776</v>
      </c>
      <c r="AD901">
        <f>IF(AC901="",0,LEN(AC901)-LEN(SUBSTITUTE(AC901,",",""))+1)</f>
        <v>1</v>
      </c>
    </row>
    <row r="902" spans="1:30" ht="12.5" x14ac:dyDescent="0.25">
      <c r="A902" s="1" t="s">
        <v>3538</v>
      </c>
      <c r="B902" s="1" t="s">
        <v>3539</v>
      </c>
      <c r="C902" s="1" t="str">
        <v>Dr. John Jenkins</v>
      </c>
      <c r="D902" s="1" t="s">
        <v>3540</v>
      </c>
      <c r="E902" s="1" t="str">
        <v>carterwilliam@brown-ingram.com</v>
      </c>
      <c r="F902" t="str">
        <f t="shared" si="184"/>
        <v>Valid</v>
      </c>
      <c r="G902" s="1" t="s">
        <v>119</v>
      </c>
      <c r="H902" s="1" t="str">
        <f t="shared" si="185"/>
        <v>Female</v>
      </c>
      <c r="I902" s="1" t="s">
        <v>18</v>
      </c>
      <c r="J902" t="str">
        <f t="shared" si="186"/>
        <v>US</v>
      </c>
      <c r="L902" s="1">
        <f t="shared" si="187"/>
        <v>19</v>
      </c>
      <c r="M902" s="1" t="str">
        <f t="shared" si="188"/>
        <v>Student</v>
      </c>
      <c r="N902" s="9">
        <v>45276</v>
      </c>
      <c r="O902" s="1" t="s">
        <v>170</v>
      </c>
      <c r="P902" s="1" t="s">
        <v>147</v>
      </c>
      <c r="Q902" s="4">
        <v>0.23</v>
      </c>
      <c r="R902" s="13">
        <f t="shared" si="189"/>
        <v>23</v>
      </c>
      <c r="S902" s="6">
        <f t="shared" si="183"/>
        <v>0.23</v>
      </c>
      <c r="T902" s="1" t="s">
        <v>21</v>
      </c>
      <c r="U902" s="1">
        <f t="shared" si="190"/>
        <v>1.5</v>
      </c>
      <c r="V902" s="1">
        <f t="shared" si="191"/>
        <v>16.549999999999997</v>
      </c>
      <c r="W902" s="10" t="str">
        <f t="shared" si="192"/>
        <v>Low</v>
      </c>
      <c r="X902" s="1" t="s">
        <v>22</v>
      </c>
      <c r="Y902" s="1" t="str">
        <f t="shared" si="193"/>
        <v>No</v>
      </c>
      <c r="Z902" s="14">
        <v>6</v>
      </c>
      <c r="AA902" s="18">
        <f t="shared" si="194"/>
        <v>6</v>
      </c>
      <c r="AB902" s="18" t="str">
        <f t="shared" si="195"/>
        <v>No</v>
      </c>
      <c r="AC902" s="9" t="s">
        <v>3541</v>
      </c>
      <c r="AD902">
        <f>IF(AC902="",0,LEN(AC902)-LEN(SUBSTITUTE(AC902,",",""))+1)</f>
        <v>5</v>
      </c>
    </row>
    <row r="903" spans="1:30" ht="12.5" x14ac:dyDescent="0.25">
      <c r="A903" s="1" t="s">
        <v>3542</v>
      </c>
      <c r="B903" s="1" t="s">
        <v>3543</v>
      </c>
      <c r="C903" s="1" t="str">
        <v>James Gaines</v>
      </c>
      <c r="D903" s="1" t="s">
        <v>3544</v>
      </c>
      <c r="E903" s="1" t="str">
        <v>vchandler@hotmail.com</v>
      </c>
      <c r="F903" t="str">
        <f t="shared" si="184"/>
        <v>Valid</v>
      </c>
      <c r="G903" s="1" t="s">
        <v>43</v>
      </c>
      <c r="H903" s="1" t="str">
        <f t="shared" si="185"/>
        <v>Female</v>
      </c>
      <c r="I903" s="1" t="s">
        <v>96</v>
      </c>
      <c r="J903" t="str">
        <f t="shared" si="186"/>
        <v>INDIA</v>
      </c>
      <c r="L903" s="1">
        <f t="shared" si="187"/>
        <v>19</v>
      </c>
      <c r="M903" s="1" t="str">
        <f t="shared" si="188"/>
        <v>Student</v>
      </c>
      <c r="N903" s="9">
        <v>45706</v>
      </c>
      <c r="O903" s="1" t="s">
        <v>75</v>
      </c>
      <c r="P903" s="1" t="s">
        <v>37</v>
      </c>
      <c r="Q903" s="4">
        <v>0.86</v>
      </c>
      <c r="R903" s="13">
        <f t="shared" si="189"/>
        <v>86</v>
      </c>
      <c r="S903" s="6">
        <f t="shared" si="183"/>
        <v>0.86</v>
      </c>
      <c r="T903" s="1">
        <v>45</v>
      </c>
      <c r="U903" s="1">
        <f t="shared" si="190"/>
        <v>45</v>
      </c>
      <c r="V903" s="1">
        <f t="shared" si="191"/>
        <v>73.699999999999989</v>
      </c>
      <c r="W903" s="10" t="str">
        <f t="shared" si="192"/>
        <v>High</v>
      </c>
      <c r="X903" s="1" t="s">
        <v>32</v>
      </c>
      <c r="Y903" s="1" t="str">
        <f t="shared" si="193"/>
        <v>Yes</v>
      </c>
      <c r="Z903" s="14">
        <v>4</v>
      </c>
      <c r="AA903" s="18">
        <f t="shared" si="194"/>
        <v>4</v>
      </c>
      <c r="AB903" s="18" t="str">
        <f t="shared" si="195"/>
        <v>High Performer</v>
      </c>
      <c r="AC903" s="9" t="s">
        <v>3545</v>
      </c>
      <c r="AD903">
        <f>IF(AC903="",0,LEN(AC903)-LEN(SUBSTITUTE(AC903,",",""))+1)</f>
        <v>6</v>
      </c>
    </row>
    <row r="904" spans="1:30" ht="12.5" x14ac:dyDescent="0.25">
      <c r="A904" s="1" t="s">
        <v>3546</v>
      </c>
      <c r="B904" s="1" t="s">
        <v>3547</v>
      </c>
      <c r="C904" s="1" t="str">
        <v>Carol Harris</v>
      </c>
      <c r="D904" s="1" t="s">
        <v>3548</v>
      </c>
      <c r="E904" s="1" t="str">
        <v>david80@smith.com</v>
      </c>
      <c r="F904" t="str">
        <f t="shared" si="184"/>
        <v>Valid</v>
      </c>
      <c r="G904" s="1" t="s">
        <v>43</v>
      </c>
      <c r="H904" s="1" t="str">
        <f t="shared" si="185"/>
        <v>Female</v>
      </c>
      <c r="I904" s="1" t="s">
        <v>51</v>
      </c>
      <c r="J904" t="str">
        <f t="shared" si="186"/>
        <v>UK</v>
      </c>
      <c r="K904" s="14">
        <v>0</v>
      </c>
      <c r="L904" s="1">
        <f t="shared" si="187"/>
        <v>19</v>
      </c>
      <c r="M904" s="1" t="str">
        <f t="shared" si="188"/>
        <v>Student</v>
      </c>
      <c r="N904" s="9">
        <v>44728</v>
      </c>
      <c r="O904" s="1" t="s">
        <v>69</v>
      </c>
      <c r="P904" s="1" t="s">
        <v>31</v>
      </c>
      <c r="Q904" s="4">
        <v>0.38</v>
      </c>
      <c r="R904" s="13">
        <f t="shared" si="189"/>
        <v>38</v>
      </c>
      <c r="S904" s="6">
        <f t="shared" si="183"/>
        <v>0.38</v>
      </c>
      <c r="T904" s="1" t="s">
        <v>21</v>
      </c>
      <c r="U904" s="1">
        <f t="shared" si="190"/>
        <v>1.5</v>
      </c>
      <c r="V904" s="1">
        <f t="shared" si="191"/>
        <v>27.049999999999997</v>
      </c>
      <c r="W904" s="10" t="str">
        <f t="shared" si="192"/>
        <v>Low</v>
      </c>
      <c r="X904" s="1" t="s">
        <v>76</v>
      </c>
      <c r="Y904" s="1" t="str">
        <f t="shared" si="193"/>
        <v>Yes</v>
      </c>
      <c r="Z904" s="14">
        <v>5</v>
      </c>
      <c r="AA904" s="18">
        <f t="shared" si="194"/>
        <v>5</v>
      </c>
      <c r="AB904" s="18" t="str">
        <f t="shared" si="195"/>
        <v>High Performer</v>
      </c>
      <c r="AC904" s="9" t="s">
        <v>3549</v>
      </c>
      <c r="AD904">
        <f>IF(AC904="",0,LEN(AC904)-LEN(SUBSTITUTE(AC904,",",""))+1)</f>
        <v>1</v>
      </c>
    </row>
    <row r="905" spans="1:30" ht="12.5" x14ac:dyDescent="0.25">
      <c r="A905" s="1" t="s">
        <v>3550</v>
      </c>
      <c r="B905" s="1" t="s">
        <v>3551</v>
      </c>
      <c r="C905" s="1" t="str">
        <v>Kelly Cox</v>
      </c>
      <c r="D905" s="1" t="s">
        <v>3552</v>
      </c>
      <c r="E905" s="1" t="str">
        <v>maryfoster@perez.com</v>
      </c>
      <c r="F905" t="str">
        <f t="shared" si="184"/>
        <v>Valid</v>
      </c>
      <c r="G905" s="1" t="s">
        <v>109</v>
      </c>
      <c r="H905" s="1" t="str">
        <f t="shared" si="185"/>
        <v>Male</v>
      </c>
      <c r="I905" s="1" t="s">
        <v>44</v>
      </c>
      <c r="J905" t="str">
        <f t="shared" si="186"/>
        <v>CANADA</v>
      </c>
      <c r="K905" s="14">
        <v>27</v>
      </c>
      <c r="L905" s="1">
        <f t="shared" si="187"/>
        <v>27</v>
      </c>
      <c r="M905" s="1" t="str">
        <f t="shared" si="188"/>
        <v>Early Career</v>
      </c>
      <c r="N905" s="2">
        <v>45087</v>
      </c>
      <c r="O905" s="1" t="s">
        <v>301</v>
      </c>
      <c r="P905" s="1" t="s">
        <v>20</v>
      </c>
      <c r="Q905" s="4">
        <v>0.21</v>
      </c>
      <c r="R905" s="13">
        <f t="shared" si="189"/>
        <v>21</v>
      </c>
      <c r="S905" s="6">
        <f t="shared" si="183"/>
        <v>0.21</v>
      </c>
      <c r="T905" s="1">
        <v>2</v>
      </c>
      <c r="U905" s="1">
        <f t="shared" si="190"/>
        <v>2</v>
      </c>
      <c r="V905" s="1">
        <f t="shared" si="191"/>
        <v>15.299999999999999</v>
      </c>
      <c r="W905" s="10" t="str">
        <f t="shared" si="192"/>
        <v>Low</v>
      </c>
      <c r="X905" s="1" t="s">
        <v>22</v>
      </c>
      <c r="Y905" s="1" t="str">
        <f t="shared" si="193"/>
        <v>No</v>
      </c>
      <c r="Z905" s="14">
        <v>4</v>
      </c>
      <c r="AA905" s="18">
        <f t="shared" si="194"/>
        <v>4</v>
      </c>
      <c r="AB905" s="18" t="str">
        <f t="shared" si="195"/>
        <v>No</v>
      </c>
      <c r="AC905" s="9" t="s">
        <v>3553</v>
      </c>
      <c r="AD905">
        <f>IF(AC905="",0,LEN(AC905)-LEN(SUBSTITUTE(AC905,",",""))+1)</f>
        <v>3</v>
      </c>
    </row>
    <row r="906" spans="1:30" ht="12.5" x14ac:dyDescent="0.25">
      <c r="A906" s="1" t="s">
        <v>3554</v>
      </c>
      <c r="B906" s="1" t="s">
        <v>3555</v>
      </c>
      <c r="C906" s="1" t="str">
        <v>Amanda Smith</v>
      </c>
      <c r="D906" s="1" t="s">
        <v>3556</v>
      </c>
      <c r="E906" s="1" t="str">
        <v>cmoody@campbell.com</v>
      </c>
      <c r="F906" t="str">
        <f t="shared" si="184"/>
        <v>Valid</v>
      </c>
      <c r="G906" s="1" t="s">
        <v>17</v>
      </c>
      <c r="H906" s="1" t="str">
        <f t="shared" si="185"/>
        <v>Female</v>
      </c>
      <c r="I906" s="1" t="s">
        <v>136</v>
      </c>
      <c r="J906" t="str">
        <f t="shared" si="186"/>
        <v>UK</v>
      </c>
      <c r="K906" s="14">
        <v>0</v>
      </c>
      <c r="L906" s="1">
        <f t="shared" si="187"/>
        <v>19</v>
      </c>
      <c r="M906" s="1" t="str">
        <f t="shared" si="188"/>
        <v>Student</v>
      </c>
      <c r="N906" s="2">
        <v>45536</v>
      </c>
      <c r="O906" s="1" t="s">
        <v>158</v>
      </c>
      <c r="P906" s="1" t="s">
        <v>59</v>
      </c>
      <c r="Q906" s="4">
        <v>0.99</v>
      </c>
      <c r="R906" s="13">
        <f t="shared" si="189"/>
        <v>99</v>
      </c>
      <c r="S906" s="6">
        <f t="shared" si="183"/>
        <v>0.99</v>
      </c>
      <c r="T906" s="1" t="s">
        <v>21</v>
      </c>
      <c r="U906" s="1">
        <f t="shared" si="190"/>
        <v>1.5</v>
      </c>
      <c r="V906" s="1">
        <f t="shared" si="191"/>
        <v>69.75</v>
      </c>
      <c r="W906" s="10" t="str">
        <f t="shared" si="192"/>
        <v>Medium</v>
      </c>
      <c r="X906" s="1" t="s">
        <v>22</v>
      </c>
      <c r="Y906" s="1" t="str">
        <f t="shared" si="193"/>
        <v>No</v>
      </c>
      <c r="Z906" s="14">
        <v>3</v>
      </c>
      <c r="AA906" s="18">
        <f t="shared" si="194"/>
        <v>3</v>
      </c>
      <c r="AB906" s="18" t="str">
        <f t="shared" si="195"/>
        <v>No</v>
      </c>
      <c r="AC906" s="9" t="s">
        <v>3557</v>
      </c>
      <c r="AD906">
        <f>IF(AC906="",0,LEN(AC906)-LEN(SUBSTITUTE(AC906,",",""))+1)</f>
        <v>4</v>
      </c>
    </row>
    <row r="907" spans="1:30" ht="12.5" x14ac:dyDescent="0.25">
      <c r="A907" s="1" t="s">
        <v>3558</v>
      </c>
      <c r="B907" s="1" t="s">
        <v>3559</v>
      </c>
      <c r="C907" s="1" t="str">
        <v>Caleb Bowers</v>
      </c>
      <c r="D907" s="1" t="s">
        <v>3560</v>
      </c>
      <c r="E907" s="1" t="str">
        <v>lorettamcdowell@gmail.com</v>
      </c>
      <c r="F907" t="str">
        <f t="shared" si="184"/>
        <v>Valid</v>
      </c>
      <c r="G907" s="1" t="s">
        <v>109</v>
      </c>
      <c r="H907" s="1" t="str">
        <f t="shared" si="185"/>
        <v>Male</v>
      </c>
      <c r="I907" s="1" t="s">
        <v>18</v>
      </c>
      <c r="J907" t="str">
        <f t="shared" si="186"/>
        <v>US</v>
      </c>
      <c r="L907" s="1">
        <f t="shared" si="187"/>
        <v>19</v>
      </c>
      <c r="M907" s="1" t="str">
        <f t="shared" si="188"/>
        <v>Student</v>
      </c>
      <c r="N907" s="9">
        <v>45639</v>
      </c>
      <c r="O907" s="1" t="s">
        <v>114</v>
      </c>
      <c r="P907" s="1" t="s">
        <v>59</v>
      </c>
      <c r="Q907" s="4">
        <v>97</v>
      </c>
      <c r="R907" s="13">
        <f t="shared" si="189"/>
        <v>97</v>
      </c>
      <c r="S907" s="6">
        <f t="shared" si="183"/>
        <v>0.97</v>
      </c>
      <c r="T907" s="1" t="s">
        <v>64</v>
      </c>
      <c r="U907" s="1">
        <f t="shared" si="190"/>
        <v>2</v>
      </c>
      <c r="V907" s="1">
        <f t="shared" si="191"/>
        <v>68.499999999999986</v>
      </c>
      <c r="W907" s="10" t="str">
        <f t="shared" si="192"/>
        <v>Medium</v>
      </c>
      <c r="X907" s="1">
        <v>0</v>
      </c>
      <c r="Y907" s="1" t="str">
        <f t="shared" si="193"/>
        <v>No</v>
      </c>
      <c r="Z907" s="14">
        <v>1</v>
      </c>
      <c r="AA907" s="18">
        <f t="shared" si="194"/>
        <v>1</v>
      </c>
      <c r="AB907" s="18" t="str">
        <f t="shared" si="195"/>
        <v>No</v>
      </c>
      <c r="AC907" s="9" t="s">
        <v>3561</v>
      </c>
      <c r="AD907">
        <f>IF(AC907="",0,LEN(AC907)-LEN(SUBSTITUTE(AC907,",",""))+1)</f>
        <v>7</v>
      </c>
    </row>
    <row r="908" spans="1:30" ht="12.5" x14ac:dyDescent="0.25">
      <c r="A908" s="1" t="s">
        <v>3562</v>
      </c>
      <c r="B908" s="1" t="s">
        <v>3563</v>
      </c>
      <c r="C908" s="1" t="str">
        <v>Jennifer Smith</v>
      </c>
      <c r="D908" s="1" t="s">
        <v>3564</v>
      </c>
      <c r="E908" s="1" t="str">
        <v>fitzgeraldlaura@decker.com</v>
      </c>
      <c r="F908" t="str">
        <f t="shared" si="184"/>
        <v>Valid</v>
      </c>
      <c r="G908" s="1" t="s">
        <v>43</v>
      </c>
      <c r="H908" s="1" t="str">
        <f t="shared" si="185"/>
        <v>Female</v>
      </c>
      <c r="I908" s="1" t="s">
        <v>51</v>
      </c>
      <c r="J908" t="str">
        <f t="shared" si="186"/>
        <v>UK</v>
      </c>
      <c r="K908" s="14">
        <v>42</v>
      </c>
      <c r="L908" s="1">
        <f t="shared" si="187"/>
        <v>42</v>
      </c>
      <c r="M908" s="1" t="str">
        <f t="shared" si="188"/>
        <v>Senior</v>
      </c>
      <c r="N908" s="2">
        <v>44628</v>
      </c>
      <c r="O908" s="1" t="s">
        <v>114</v>
      </c>
      <c r="P908" s="1" t="s">
        <v>59</v>
      </c>
      <c r="Q908" s="4">
        <v>0.62</v>
      </c>
      <c r="R908" s="13">
        <f t="shared" si="189"/>
        <v>62</v>
      </c>
      <c r="S908" s="6">
        <f t="shared" si="183"/>
        <v>0.62</v>
      </c>
      <c r="T908" s="1">
        <v>45</v>
      </c>
      <c r="U908" s="1">
        <f t="shared" si="190"/>
        <v>45</v>
      </c>
      <c r="V908" s="1">
        <f t="shared" si="191"/>
        <v>56.9</v>
      </c>
      <c r="W908" s="10" t="str">
        <f t="shared" si="192"/>
        <v>Medium</v>
      </c>
      <c r="X908" s="1" t="s">
        <v>32</v>
      </c>
      <c r="Y908" s="1" t="str">
        <f t="shared" si="193"/>
        <v>Yes</v>
      </c>
      <c r="AA908" s="18" t="str">
        <f t="shared" si="194"/>
        <v>Invalid</v>
      </c>
      <c r="AB908" s="18" t="str">
        <f t="shared" si="195"/>
        <v>High Performer</v>
      </c>
      <c r="AC908" s="9" t="s">
        <v>3565</v>
      </c>
      <c r="AD908">
        <f>IF(AC908="",0,LEN(AC908)-LEN(SUBSTITUTE(AC908,",",""))+1)</f>
        <v>7</v>
      </c>
    </row>
    <row r="909" spans="1:30" ht="12.5" x14ac:dyDescent="0.25">
      <c r="A909" s="1" t="s">
        <v>3566</v>
      </c>
      <c r="B909" s="1" t="s">
        <v>3567</v>
      </c>
      <c r="C909" s="1" t="str">
        <v>Dale Baker</v>
      </c>
      <c r="D909" s="1" t="s">
        <v>3568</v>
      </c>
      <c r="E909" s="1" t="str">
        <v>fcarter@gmail.com</v>
      </c>
      <c r="F909" t="str">
        <f t="shared" si="184"/>
        <v>Valid</v>
      </c>
      <c r="G909" s="1" t="s">
        <v>88</v>
      </c>
      <c r="H909" s="1" t="str">
        <f t="shared" si="185"/>
        <v>Male</v>
      </c>
      <c r="I909" s="1" t="s">
        <v>74</v>
      </c>
      <c r="J909" t="str">
        <f t="shared" si="186"/>
        <v>USA</v>
      </c>
      <c r="L909" s="1">
        <f t="shared" si="187"/>
        <v>19</v>
      </c>
      <c r="M909" s="1" t="str">
        <f t="shared" si="188"/>
        <v>Student</v>
      </c>
      <c r="N909" s="9">
        <v>45318</v>
      </c>
      <c r="O909" s="1" t="s">
        <v>90</v>
      </c>
      <c r="P909" s="1" t="s">
        <v>31</v>
      </c>
      <c r="Q909" s="4">
        <v>0.17</v>
      </c>
      <c r="R909" s="13">
        <f t="shared" si="189"/>
        <v>17</v>
      </c>
      <c r="S909" s="6">
        <f t="shared" si="183"/>
        <v>0.17</v>
      </c>
      <c r="T909" s="1">
        <v>1.5</v>
      </c>
      <c r="U909" s="1">
        <f t="shared" si="190"/>
        <v>1.5</v>
      </c>
      <c r="V909" s="1">
        <f t="shared" si="191"/>
        <v>12.349999999999998</v>
      </c>
      <c r="W909" s="10" t="str">
        <f t="shared" si="192"/>
        <v>Low</v>
      </c>
      <c r="X909" s="1" t="s">
        <v>38</v>
      </c>
      <c r="Y909" s="1" t="str">
        <f t="shared" si="193"/>
        <v>No</v>
      </c>
      <c r="Z909" s="14">
        <v>4</v>
      </c>
      <c r="AA909" s="18">
        <f t="shared" si="194"/>
        <v>4</v>
      </c>
      <c r="AB909" s="18" t="str">
        <f t="shared" si="195"/>
        <v>No</v>
      </c>
      <c r="AC909" s="9" t="s">
        <v>3569</v>
      </c>
      <c r="AD909">
        <f>IF(AC909="",0,LEN(AC909)-LEN(SUBSTITUTE(AC909,",",""))+1)</f>
        <v>7</v>
      </c>
    </row>
    <row r="910" spans="1:30" ht="12.5" x14ac:dyDescent="0.25">
      <c r="A910" s="1" t="s">
        <v>3570</v>
      </c>
      <c r="B910" s="1" t="s">
        <v>3571</v>
      </c>
      <c r="C910" s="1" t="str">
        <v>Kim Sanchez</v>
      </c>
      <c r="D910" s="1" t="s">
        <v>3572</v>
      </c>
      <c r="E910" s="1" t="str">
        <v>xluna@klein.com</v>
      </c>
      <c r="F910" t="str">
        <f t="shared" si="184"/>
        <v>Valid</v>
      </c>
      <c r="G910" s="1" t="s">
        <v>109</v>
      </c>
      <c r="H910" s="1" t="str">
        <f t="shared" si="185"/>
        <v>Male</v>
      </c>
      <c r="I910" s="1" t="s">
        <v>51</v>
      </c>
      <c r="J910" t="str">
        <f t="shared" si="186"/>
        <v>UK</v>
      </c>
      <c r="K910" s="14">
        <v>0</v>
      </c>
      <c r="L910" s="1">
        <f t="shared" si="187"/>
        <v>19</v>
      </c>
      <c r="M910" s="1" t="str">
        <f t="shared" si="188"/>
        <v>Student</v>
      </c>
      <c r="N910" s="9">
        <v>45289</v>
      </c>
      <c r="O910" s="1" t="s">
        <v>170</v>
      </c>
      <c r="P910" s="1" t="s">
        <v>147</v>
      </c>
      <c r="Q910" s="4">
        <v>0.61</v>
      </c>
      <c r="R910" s="13">
        <f t="shared" si="189"/>
        <v>61</v>
      </c>
      <c r="S910" s="6">
        <f t="shared" si="183"/>
        <v>0.61</v>
      </c>
      <c r="T910" s="1" t="s">
        <v>64</v>
      </c>
      <c r="U910" s="1">
        <f t="shared" si="190"/>
        <v>2</v>
      </c>
      <c r="V910" s="1">
        <f t="shared" si="191"/>
        <v>43.3</v>
      </c>
      <c r="W910" s="10" t="str">
        <f t="shared" si="192"/>
        <v>Medium</v>
      </c>
      <c r="X910" s="1" t="s">
        <v>76</v>
      </c>
      <c r="Y910" s="1" t="str">
        <f t="shared" si="193"/>
        <v>Yes</v>
      </c>
      <c r="Z910" s="14">
        <v>1</v>
      </c>
      <c r="AA910" s="18">
        <f t="shared" si="194"/>
        <v>1</v>
      </c>
      <c r="AB910" s="18" t="str">
        <f t="shared" si="195"/>
        <v>No</v>
      </c>
      <c r="AC910" s="9" t="s">
        <v>3573</v>
      </c>
      <c r="AD910">
        <f>IF(AC910="",0,LEN(AC910)-LEN(SUBSTITUTE(AC910,",",""))+1)</f>
        <v>5</v>
      </c>
    </row>
    <row r="911" spans="1:30" ht="12.5" x14ac:dyDescent="0.25">
      <c r="A911" s="1" t="s">
        <v>3574</v>
      </c>
      <c r="B911" s="1" t="s">
        <v>3575</v>
      </c>
      <c r="C911" s="1" t="str">
        <v>Brian Collins</v>
      </c>
      <c r="D911" s="1" t="s">
        <v>3576</v>
      </c>
      <c r="E911" s="1" t="str">
        <v>davisgary@watkins-miller.biz</v>
      </c>
      <c r="F911" t="str">
        <f t="shared" si="184"/>
        <v>Valid</v>
      </c>
      <c r="G911" s="1" t="s">
        <v>109</v>
      </c>
      <c r="H911" s="1" t="str">
        <f t="shared" si="185"/>
        <v>Male</v>
      </c>
      <c r="I911" s="1" t="s">
        <v>156</v>
      </c>
      <c r="J911" t="str">
        <f t="shared" si="186"/>
        <v>IN</v>
      </c>
      <c r="K911" s="14">
        <v>0</v>
      </c>
      <c r="L911" s="1">
        <f t="shared" si="187"/>
        <v>19</v>
      </c>
      <c r="M911" s="1" t="str">
        <f t="shared" si="188"/>
        <v>Student</v>
      </c>
      <c r="N911" s="9">
        <v>45275</v>
      </c>
      <c r="O911" s="1" t="s">
        <v>158</v>
      </c>
      <c r="P911" s="1" t="s">
        <v>59</v>
      </c>
      <c r="Q911" s="4">
        <v>83</v>
      </c>
      <c r="R911" s="13">
        <f t="shared" si="189"/>
        <v>83</v>
      </c>
      <c r="S911" s="6">
        <f t="shared" si="183"/>
        <v>0.83</v>
      </c>
      <c r="T911" s="1" t="s">
        <v>46</v>
      </c>
      <c r="U911" s="1">
        <f t="shared" si="190"/>
        <v>1</v>
      </c>
      <c r="V911" s="1">
        <f t="shared" si="191"/>
        <v>58.399999999999991</v>
      </c>
      <c r="W911" s="10" t="str">
        <f t="shared" si="192"/>
        <v>Medium</v>
      </c>
      <c r="X911" s="1">
        <v>0</v>
      </c>
      <c r="Y911" s="1" t="str">
        <f t="shared" si="193"/>
        <v>No</v>
      </c>
      <c r="Z911" s="14">
        <v>6</v>
      </c>
      <c r="AA911" s="18">
        <f t="shared" si="194"/>
        <v>6</v>
      </c>
      <c r="AB911" s="18" t="str">
        <f t="shared" si="195"/>
        <v>No</v>
      </c>
      <c r="AC911" s="9" t="s">
        <v>3577</v>
      </c>
      <c r="AD911">
        <f>IF(AC911="",0,LEN(AC911)-LEN(SUBSTITUTE(AC911,",",""))+1)</f>
        <v>6</v>
      </c>
    </row>
    <row r="912" spans="1:30" ht="12.5" x14ac:dyDescent="0.25">
      <c r="A912" s="1" t="s">
        <v>3578</v>
      </c>
      <c r="B912" s="1" t="s">
        <v>3579</v>
      </c>
      <c r="C912" s="1" t="str">
        <v>Paige Brown</v>
      </c>
      <c r="D912" s="1" t="s">
        <v>3580</v>
      </c>
      <c r="E912" s="1" t="str">
        <v>robert52@gmail.com</v>
      </c>
      <c r="F912" t="str">
        <f t="shared" si="184"/>
        <v>Valid</v>
      </c>
      <c r="G912" s="1" t="s">
        <v>27</v>
      </c>
      <c r="H912" s="1" t="str">
        <f t="shared" si="185"/>
        <v>Male</v>
      </c>
      <c r="I912" s="1" t="s">
        <v>74</v>
      </c>
      <c r="J912" t="str">
        <f t="shared" si="186"/>
        <v>USA</v>
      </c>
      <c r="L912" s="1">
        <f t="shared" si="187"/>
        <v>19</v>
      </c>
      <c r="M912" s="1" t="str">
        <f t="shared" si="188"/>
        <v>Student</v>
      </c>
      <c r="N912" s="9">
        <v>45615</v>
      </c>
      <c r="O912" s="1" t="s">
        <v>158</v>
      </c>
      <c r="P912" s="1" t="s">
        <v>59</v>
      </c>
      <c r="Q912" s="4">
        <v>51</v>
      </c>
      <c r="R912" s="13">
        <f t="shared" si="189"/>
        <v>51</v>
      </c>
      <c r="S912" s="6">
        <f t="shared" si="183"/>
        <v>0.51</v>
      </c>
      <c r="T912" s="1" t="s">
        <v>46</v>
      </c>
      <c r="U912" s="1">
        <f t="shared" si="190"/>
        <v>1</v>
      </c>
      <c r="V912" s="1">
        <f t="shared" si="191"/>
        <v>35.999999999999993</v>
      </c>
      <c r="W912" s="10" t="str">
        <f t="shared" si="192"/>
        <v>Low</v>
      </c>
      <c r="X912" s="1" t="s">
        <v>38</v>
      </c>
      <c r="Y912" s="1" t="str">
        <f t="shared" si="193"/>
        <v>No</v>
      </c>
      <c r="Z912" s="14">
        <v>4</v>
      </c>
      <c r="AA912" s="18">
        <f t="shared" si="194"/>
        <v>4</v>
      </c>
      <c r="AB912" s="18" t="str">
        <f t="shared" si="195"/>
        <v>No</v>
      </c>
      <c r="AC912" s="9" t="s">
        <v>3581</v>
      </c>
      <c r="AD912">
        <f>IF(AC912="",0,LEN(AC912)-LEN(SUBSTITUTE(AC912,",",""))+1)</f>
        <v>8</v>
      </c>
    </row>
    <row r="913" spans="1:30" ht="12.5" x14ac:dyDescent="0.25">
      <c r="A913" s="1" t="s">
        <v>3582</v>
      </c>
      <c r="B913" s="1" t="s">
        <v>3583</v>
      </c>
      <c r="C913" s="1" t="str">
        <v>Debra Clark</v>
      </c>
      <c r="D913" s="1" t="s">
        <v>3584</v>
      </c>
      <c r="E913" s="1" t="str">
        <v>pedwards@gmail.com</v>
      </c>
      <c r="F913" t="str">
        <f t="shared" si="184"/>
        <v>Valid</v>
      </c>
      <c r="G913" s="1" t="s">
        <v>17</v>
      </c>
      <c r="H913" s="1" t="str">
        <f t="shared" si="185"/>
        <v>Female</v>
      </c>
      <c r="I913" s="1" t="s">
        <v>51</v>
      </c>
      <c r="J913" t="str">
        <f t="shared" si="186"/>
        <v>UK</v>
      </c>
      <c r="L913" s="1">
        <f t="shared" si="187"/>
        <v>19</v>
      </c>
      <c r="M913" s="1" t="str">
        <f t="shared" si="188"/>
        <v>Student</v>
      </c>
      <c r="N913" s="9">
        <v>45157</v>
      </c>
      <c r="O913" s="1" t="s">
        <v>75</v>
      </c>
      <c r="P913" s="1" t="s">
        <v>37</v>
      </c>
      <c r="Q913" s="4">
        <v>54</v>
      </c>
      <c r="R913" s="13">
        <f t="shared" si="189"/>
        <v>54</v>
      </c>
      <c r="S913" s="6">
        <f t="shared" si="183"/>
        <v>0.54</v>
      </c>
      <c r="T913" s="1">
        <v>1.5</v>
      </c>
      <c r="U913" s="1">
        <f t="shared" si="190"/>
        <v>1.5</v>
      </c>
      <c r="V913" s="1">
        <f t="shared" si="191"/>
        <v>38.25</v>
      </c>
      <c r="W913" s="10" t="str">
        <f t="shared" si="192"/>
        <v>Low</v>
      </c>
      <c r="X913" s="1">
        <v>0</v>
      </c>
      <c r="Y913" s="1" t="str">
        <f t="shared" si="193"/>
        <v>No</v>
      </c>
      <c r="Z913" s="14">
        <v>5</v>
      </c>
      <c r="AA913" s="18">
        <f t="shared" si="194"/>
        <v>5</v>
      </c>
      <c r="AB913" s="18" t="str">
        <f t="shared" si="195"/>
        <v>No</v>
      </c>
      <c r="AC913" s="9" t="s">
        <v>3585</v>
      </c>
      <c r="AD913">
        <f>IF(AC913="",0,LEN(AC913)-LEN(SUBSTITUTE(AC913,",",""))+1)</f>
        <v>6</v>
      </c>
    </row>
    <row r="914" spans="1:30" ht="12.5" x14ac:dyDescent="0.25">
      <c r="A914" s="1" t="s">
        <v>3586</v>
      </c>
      <c r="B914" s="1" t="s">
        <v>3587</v>
      </c>
      <c r="C914" s="1" t="str">
        <v>Nancy Quinn</v>
      </c>
      <c r="D914" s="1" t="s">
        <v>127</v>
      </c>
      <c r="E914" s="1" t="str">
        <v>invalid-email</v>
      </c>
      <c r="F914" t="str">
        <f t="shared" si="184"/>
        <v>Invalid</v>
      </c>
      <c r="G914" s="1" t="s">
        <v>27</v>
      </c>
      <c r="H914" s="1" t="str">
        <f t="shared" si="185"/>
        <v>Male</v>
      </c>
      <c r="I914" s="1" t="s">
        <v>28</v>
      </c>
      <c r="J914" t="str">
        <f t="shared" si="186"/>
        <v>INDIA</v>
      </c>
      <c r="L914" s="1">
        <f t="shared" si="187"/>
        <v>19</v>
      </c>
      <c r="M914" s="1" t="str">
        <f t="shared" si="188"/>
        <v>Student</v>
      </c>
      <c r="N914" s="9">
        <v>45157</v>
      </c>
      <c r="O914" s="1" t="s">
        <v>69</v>
      </c>
      <c r="P914" s="1" t="s">
        <v>31</v>
      </c>
      <c r="Q914" s="4">
        <v>93</v>
      </c>
      <c r="R914" s="13">
        <f t="shared" si="189"/>
        <v>93</v>
      </c>
      <c r="S914" s="6">
        <f t="shared" si="183"/>
        <v>0.93</v>
      </c>
      <c r="T914" s="1">
        <v>45</v>
      </c>
      <c r="U914" s="1">
        <f t="shared" si="190"/>
        <v>45</v>
      </c>
      <c r="V914" s="1">
        <f t="shared" si="191"/>
        <v>78.599999999999994</v>
      </c>
      <c r="W914" s="10" t="str">
        <f t="shared" si="192"/>
        <v>High</v>
      </c>
      <c r="X914" s="1" t="s">
        <v>76</v>
      </c>
      <c r="Y914" s="1" t="str">
        <f t="shared" si="193"/>
        <v>Yes</v>
      </c>
      <c r="Z914" s="14">
        <v>6</v>
      </c>
      <c r="AA914" s="18">
        <f t="shared" si="194"/>
        <v>6</v>
      </c>
      <c r="AB914" s="18" t="str">
        <f t="shared" si="195"/>
        <v>High Performer</v>
      </c>
      <c r="AC914" s="9" t="s">
        <v>3588</v>
      </c>
      <c r="AD914">
        <f>IF(AC914="",0,LEN(AC914)-LEN(SUBSTITUTE(AC914,",",""))+1)</f>
        <v>4</v>
      </c>
    </row>
    <row r="915" spans="1:30" ht="12.5" x14ac:dyDescent="0.25">
      <c r="A915" s="1" t="s">
        <v>3589</v>
      </c>
      <c r="B915" s="1" t="s">
        <v>3590</v>
      </c>
      <c r="C915" s="1" t="str">
        <v>Adam Meyer</v>
      </c>
      <c r="D915" s="1" t="s">
        <v>127</v>
      </c>
      <c r="E915" s="1" t="str">
        <v>invalid-email</v>
      </c>
      <c r="F915" t="str">
        <f t="shared" si="184"/>
        <v>Invalid</v>
      </c>
      <c r="G915" s="1" t="s">
        <v>27</v>
      </c>
      <c r="H915" s="1" t="str">
        <f t="shared" si="185"/>
        <v>Male</v>
      </c>
      <c r="I915" s="1" t="s">
        <v>51</v>
      </c>
      <c r="J915" t="str">
        <f t="shared" si="186"/>
        <v>UK</v>
      </c>
      <c r="L915" s="1">
        <f t="shared" si="187"/>
        <v>19</v>
      </c>
      <c r="M915" s="1" t="str">
        <f t="shared" si="188"/>
        <v>Student</v>
      </c>
      <c r="N915" s="9">
        <v>44821</v>
      </c>
      <c r="O915" s="1" t="s">
        <v>30</v>
      </c>
      <c r="P915" s="1" t="s">
        <v>31</v>
      </c>
      <c r="Q915" s="4">
        <v>0.86</v>
      </c>
      <c r="R915" s="13">
        <f t="shared" si="189"/>
        <v>86</v>
      </c>
      <c r="S915" s="6">
        <f t="shared" si="183"/>
        <v>0.86</v>
      </c>
      <c r="T915" s="1">
        <v>2</v>
      </c>
      <c r="U915" s="1">
        <f t="shared" si="190"/>
        <v>2</v>
      </c>
      <c r="V915" s="1">
        <f t="shared" si="191"/>
        <v>60.8</v>
      </c>
      <c r="W915" s="10" t="str">
        <f t="shared" si="192"/>
        <v>Medium</v>
      </c>
      <c r="X915" s="1" t="s">
        <v>38</v>
      </c>
      <c r="Y915" s="1" t="str">
        <f t="shared" si="193"/>
        <v>No</v>
      </c>
      <c r="Z915" s="14">
        <v>3</v>
      </c>
      <c r="AA915" s="18">
        <f t="shared" si="194"/>
        <v>3</v>
      </c>
      <c r="AB915" s="18" t="str">
        <f t="shared" si="195"/>
        <v>No</v>
      </c>
      <c r="AC915" s="9" t="s">
        <v>3591</v>
      </c>
      <c r="AD915">
        <f>IF(AC915="",0,LEN(AC915)-LEN(SUBSTITUTE(AC915,",",""))+1)</f>
        <v>6</v>
      </c>
    </row>
    <row r="916" spans="1:30" ht="12.5" x14ac:dyDescent="0.25">
      <c r="A916" s="1" t="s">
        <v>3592</v>
      </c>
      <c r="B916" s="1" t="s">
        <v>3593</v>
      </c>
      <c r="C916" s="1" t="str">
        <v>Amanda Coleman</v>
      </c>
      <c r="D916" s="1" t="s">
        <v>3594</v>
      </c>
      <c r="E916" s="1" t="str">
        <v>jtaylor@ross-phillips.biz</v>
      </c>
      <c r="F916" t="str">
        <f t="shared" si="184"/>
        <v>Valid</v>
      </c>
      <c r="G916" s="1" t="s">
        <v>109</v>
      </c>
      <c r="H916" s="1" t="str">
        <f t="shared" si="185"/>
        <v>Male</v>
      </c>
      <c r="I916" s="1" t="s">
        <v>74</v>
      </c>
      <c r="J916" t="str">
        <f t="shared" si="186"/>
        <v>USA</v>
      </c>
      <c r="K916" s="14">
        <v>35</v>
      </c>
      <c r="L916" s="1">
        <f t="shared" si="187"/>
        <v>35</v>
      </c>
      <c r="M916" s="1" t="str">
        <f t="shared" si="188"/>
        <v>Mid Career</v>
      </c>
      <c r="N916" s="3">
        <v>44905</v>
      </c>
      <c r="O916" s="1" t="s">
        <v>52</v>
      </c>
      <c r="P916" s="1" t="s">
        <v>37</v>
      </c>
      <c r="Q916" s="4">
        <v>0.93</v>
      </c>
      <c r="R916" s="13">
        <f t="shared" si="189"/>
        <v>93</v>
      </c>
      <c r="S916" s="6">
        <f t="shared" si="183"/>
        <v>0.93</v>
      </c>
      <c r="T916" s="1">
        <v>45</v>
      </c>
      <c r="U916" s="1">
        <f t="shared" si="190"/>
        <v>45</v>
      </c>
      <c r="V916" s="1">
        <f t="shared" si="191"/>
        <v>78.599999999999994</v>
      </c>
      <c r="W916" s="10" t="str">
        <f t="shared" si="192"/>
        <v>High</v>
      </c>
      <c r="X916" s="1" t="s">
        <v>22</v>
      </c>
      <c r="Y916" s="1" t="str">
        <f t="shared" si="193"/>
        <v>No</v>
      </c>
      <c r="Z916" s="14">
        <v>1</v>
      </c>
      <c r="AA916" s="18">
        <f t="shared" si="194"/>
        <v>1</v>
      </c>
      <c r="AB916" s="18" t="str">
        <f t="shared" si="195"/>
        <v>No</v>
      </c>
      <c r="AC916" s="9">
        <v>44905</v>
      </c>
      <c r="AD916">
        <f>IF(AC916="",0,LEN(AC916)-LEN(SUBSTITUTE(AC916,",",""))+1)</f>
        <v>1</v>
      </c>
    </row>
    <row r="917" spans="1:30" ht="12.5" x14ac:dyDescent="0.25">
      <c r="A917" s="1" t="s">
        <v>3595</v>
      </c>
      <c r="B917" s="1" t="s">
        <v>3596</v>
      </c>
      <c r="C917" s="1" t="str">
        <v>Frank Preston</v>
      </c>
      <c r="D917" s="1" t="s">
        <v>3597</v>
      </c>
      <c r="E917" s="1" t="str">
        <v>kellycohen@crane.info</v>
      </c>
      <c r="F917" t="str">
        <f t="shared" si="184"/>
        <v>Valid</v>
      </c>
      <c r="G917" s="1" t="s">
        <v>119</v>
      </c>
      <c r="H917" s="1" t="str">
        <f t="shared" si="185"/>
        <v>Female</v>
      </c>
      <c r="I917" s="1" t="s">
        <v>28</v>
      </c>
      <c r="J917" t="str">
        <f t="shared" si="186"/>
        <v>INDIA</v>
      </c>
      <c r="L917" s="1">
        <f t="shared" si="187"/>
        <v>19</v>
      </c>
      <c r="M917" s="1" t="str">
        <f t="shared" si="188"/>
        <v>Student</v>
      </c>
      <c r="N917" s="2">
        <v>45145</v>
      </c>
      <c r="O917" s="1" t="s">
        <v>58</v>
      </c>
      <c r="P917" s="1" t="s">
        <v>59</v>
      </c>
      <c r="Q917" s="4">
        <v>88</v>
      </c>
      <c r="R917" s="13">
        <f t="shared" si="189"/>
        <v>88</v>
      </c>
      <c r="S917" s="6">
        <f t="shared" si="183"/>
        <v>0.88</v>
      </c>
      <c r="T917" s="1">
        <v>2</v>
      </c>
      <c r="U917" s="1">
        <f t="shared" si="190"/>
        <v>2</v>
      </c>
      <c r="V917" s="1">
        <f t="shared" si="191"/>
        <v>62.199999999999996</v>
      </c>
      <c r="W917" s="10" t="str">
        <f t="shared" si="192"/>
        <v>Medium</v>
      </c>
      <c r="X917" s="1" t="s">
        <v>22</v>
      </c>
      <c r="Y917" s="1" t="str">
        <f t="shared" si="193"/>
        <v>No</v>
      </c>
      <c r="Z917" s="14">
        <v>5</v>
      </c>
      <c r="AA917" s="18">
        <f t="shared" si="194"/>
        <v>5</v>
      </c>
      <c r="AB917" s="18" t="str">
        <f t="shared" si="195"/>
        <v>No</v>
      </c>
      <c r="AC917" s="9" t="s">
        <v>3598</v>
      </c>
      <c r="AD917">
        <f>IF(AC917="",0,LEN(AC917)-LEN(SUBSTITUTE(AC917,",",""))+1)</f>
        <v>5</v>
      </c>
    </row>
    <row r="918" spans="1:30" ht="12.5" x14ac:dyDescent="0.25">
      <c r="A918" s="1" t="s">
        <v>3599</v>
      </c>
      <c r="B918" s="1" t="s">
        <v>3600</v>
      </c>
      <c r="C918" s="1" t="str">
        <v>Whitney Reilly</v>
      </c>
      <c r="D918" s="1" t="s">
        <v>3601</v>
      </c>
      <c r="E918" s="1" t="str">
        <v>asmith@hernandez.com</v>
      </c>
      <c r="F918" t="str">
        <f t="shared" si="184"/>
        <v>Valid</v>
      </c>
      <c r="G918" s="1" t="s">
        <v>27</v>
      </c>
      <c r="H918" s="1" t="str">
        <f t="shared" si="185"/>
        <v>Male</v>
      </c>
      <c r="I918" s="1" t="s">
        <v>18</v>
      </c>
      <c r="J918" t="str">
        <f t="shared" si="186"/>
        <v>US</v>
      </c>
      <c r="K918" s="14">
        <v>30</v>
      </c>
      <c r="L918" s="1">
        <f t="shared" si="187"/>
        <v>30</v>
      </c>
      <c r="M918" s="1" t="str">
        <f t="shared" si="188"/>
        <v>Early Career</v>
      </c>
      <c r="N918" s="9">
        <v>45377</v>
      </c>
      <c r="O918" s="1" t="s">
        <v>30</v>
      </c>
      <c r="P918" s="1" t="s">
        <v>31</v>
      </c>
      <c r="Q918" s="4">
        <v>0.92</v>
      </c>
      <c r="R918" s="13">
        <f t="shared" si="189"/>
        <v>92</v>
      </c>
      <c r="S918" s="6">
        <f t="shared" si="183"/>
        <v>0.92</v>
      </c>
      <c r="T918" s="1" t="s">
        <v>64</v>
      </c>
      <c r="U918" s="1">
        <f t="shared" si="190"/>
        <v>2</v>
      </c>
      <c r="V918" s="1">
        <f t="shared" si="191"/>
        <v>64.999999999999986</v>
      </c>
      <c r="W918" s="10" t="str">
        <f t="shared" si="192"/>
        <v>Medium</v>
      </c>
      <c r="X918" s="1">
        <v>0</v>
      </c>
      <c r="Y918" s="1" t="str">
        <f t="shared" si="193"/>
        <v>No</v>
      </c>
      <c r="Z918" s="14">
        <v>1</v>
      </c>
      <c r="AA918" s="18">
        <f t="shared" si="194"/>
        <v>1</v>
      </c>
      <c r="AB918" s="18" t="str">
        <f t="shared" si="195"/>
        <v>No</v>
      </c>
      <c r="AC918" s="9" t="s">
        <v>3602</v>
      </c>
      <c r="AD918">
        <f>IF(AC918="",0,LEN(AC918)-LEN(SUBSTITUTE(AC918,",",""))+1)</f>
        <v>2</v>
      </c>
    </row>
    <row r="919" spans="1:30" ht="12.5" x14ac:dyDescent="0.25">
      <c r="A919" s="1" t="s">
        <v>3603</v>
      </c>
      <c r="B919" s="1" t="s">
        <v>3604</v>
      </c>
      <c r="C919" s="1" t="str">
        <v>Jimmy Davis</v>
      </c>
      <c r="D919" s="1" t="s">
        <v>3605</v>
      </c>
      <c r="E919" s="1" t="str">
        <v>carlfields@gmail.com</v>
      </c>
      <c r="F919" t="str">
        <f t="shared" si="184"/>
        <v>Valid</v>
      </c>
      <c r="G919" s="1" t="s">
        <v>43</v>
      </c>
      <c r="H919" s="1" t="str">
        <f t="shared" si="185"/>
        <v>Female</v>
      </c>
      <c r="I919" s="1" t="s">
        <v>28</v>
      </c>
      <c r="J919" t="str">
        <f t="shared" si="186"/>
        <v>INDIA</v>
      </c>
      <c r="K919" s="14">
        <v>0</v>
      </c>
      <c r="L919" s="1">
        <f t="shared" si="187"/>
        <v>19</v>
      </c>
      <c r="M919" s="1" t="str">
        <f t="shared" si="188"/>
        <v>Student</v>
      </c>
      <c r="N919" s="2">
        <v>45024</v>
      </c>
      <c r="O919" s="1" t="s">
        <v>75</v>
      </c>
      <c r="P919" s="1" t="s">
        <v>37</v>
      </c>
      <c r="Q919" s="4">
        <v>24</v>
      </c>
      <c r="R919" s="13">
        <f t="shared" si="189"/>
        <v>24</v>
      </c>
      <c r="S919" s="6">
        <f t="shared" si="183"/>
        <v>0.24</v>
      </c>
      <c r="T919" s="1" t="s">
        <v>64</v>
      </c>
      <c r="U919" s="1">
        <f t="shared" si="190"/>
        <v>2</v>
      </c>
      <c r="V919" s="1">
        <f t="shared" si="191"/>
        <v>17.399999999999999</v>
      </c>
      <c r="W919" s="10" t="str">
        <f t="shared" si="192"/>
        <v>Low</v>
      </c>
      <c r="X919" s="1" t="s">
        <v>38</v>
      </c>
      <c r="Y919" s="1" t="str">
        <f t="shared" si="193"/>
        <v>No</v>
      </c>
      <c r="Z919" s="14">
        <v>5</v>
      </c>
      <c r="AA919" s="18">
        <f t="shared" si="194"/>
        <v>5</v>
      </c>
      <c r="AB919" s="18" t="str">
        <f t="shared" si="195"/>
        <v>No</v>
      </c>
      <c r="AC919" s="9" t="s">
        <v>3606</v>
      </c>
      <c r="AD919">
        <f>IF(AC919="",0,LEN(AC919)-LEN(SUBSTITUTE(AC919,",",""))+1)</f>
        <v>2</v>
      </c>
    </row>
    <row r="920" spans="1:30" ht="12.5" x14ac:dyDescent="0.25">
      <c r="A920" s="1" t="s">
        <v>3607</v>
      </c>
      <c r="B920" s="1" t="s">
        <v>3608</v>
      </c>
      <c r="C920" s="1" t="str">
        <v>Robert Parrish</v>
      </c>
      <c r="D920" s="1" t="s">
        <v>3609</v>
      </c>
      <c r="E920" s="1" t="str">
        <v>claudia64@hotmail.com</v>
      </c>
      <c r="F920" t="str">
        <f t="shared" si="184"/>
        <v>Valid</v>
      </c>
      <c r="G920" s="1" t="s">
        <v>27</v>
      </c>
      <c r="H920" s="1" t="str">
        <f t="shared" si="185"/>
        <v>Male</v>
      </c>
      <c r="I920" s="1" t="s">
        <v>44</v>
      </c>
      <c r="J920" t="str">
        <f t="shared" si="186"/>
        <v>CANADA</v>
      </c>
      <c r="L920" s="1">
        <f t="shared" si="187"/>
        <v>19</v>
      </c>
      <c r="M920" s="1" t="str">
        <f t="shared" si="188"/>
        <v>Student</v>
      </c>
      <c r="N920" s="9">
        <v>45193</v>
      </c>
      <c r="O920" s="1" t="s">
        <v>75</v>
      </c>
      <c r="P920" s="1" t="s">
        <v>37</v>
      </c>
      <c r="Q920" s="4">
        <v>0.05</v>
      </c>
      <c r="R920" s="13">
        <f t="shared" si="189"/>
        <v>5</v>
      </c>
      <c r="S920" s="6">
        <f t="shared" si="183"/>
        <v>0.05</v>
      </c>
      <c r="T920" s="1">
        <v>2</v>
      </c>
      <c r="U920" s="1">
        <f t="shared" si="190"/>
        <v>2</v>
      </c>
      <c r="V920" s="1">
        <f t="shared" si="191"/>
        <v>4.0999999999999996</v>
      </c>
      <c r="W920" s="10" t="str">
        <f t="shared" si="192"/>
        <v>Low</v>
      </c>
      <c r="X920" s="1" t="s">
        <v>38</v>
      </c>
      <c r="Y920" s="1" t="str">
        <f t="shared" si="193"/>
        <v>No</v>
      </c>
      <c r="Z920" s="14">
        <v>5</v>
      </c>
      <c r="AA920" s="18">
        <f t="shared" si="194"/>
        <v>5</v>
      </c>
      <c r="AB920" s="18" t="str">
        <f t="shared" si="195"/>
        <v>No</v>
      </c>
      <c r="AC920" s="9" t="s">
        <v>3610</v>
      </c>
      <c r="AD920">
        <f>IF(AC920="",0,LEN(AC920)-LEN(SUBSTITUTE(AC920,",",""))+1)</f>
        <v>3</v>
      </c>
    </row>
    <row r="921" spans="1:30" ht="12.5" x14ac:dyDescent="0.25">
      <c r="A921" s="1" t="s">
        <v>3611</v>
      </c>
      <c r="B921" s="1" t="s">
        <v>3612</v>
      </c>
      <c r="C921" s="1" t="str">
        <v>Ashley Robinson</v>
      </c>
      <c r="D921" s="1" t="s">
        <v>3613</v>
      </c>
      <c r="E921" s="1" t="str">
        <v>anne28@newman.org</v>
      </c>
      <c r="F921" t="str">
        <f t="shared" si="184"/>
        <v>Valid</v>
      </c>
      <c r="G921" s="1" t="s">
        <v>57</v>
      </c>
      <c r="H921" s="1" t="str">
        <f t="shared" si="185"/>
        <v>Female</v>
      </c>
      <c r="I921" s="1" t="s">
        <v>89</v>
      </c>
      <c r="J921" t="str">
        <f t="shared" si="186"/>
        <v>GERMANY</v>
      </c>
      <c r="K921" s="14">
        <v>0</v>
      </c>
      <c r="L921" s="1">
        <f t="shared" si="187"/>
        <v>19</v>
      </c>
      <c r="M921" s="1" t="str">
        <f t="shared" si="188"/>
        <v>Student</v>
      </c>
      <c r="N921" s="9">
        <v>45498</v>
      </c>
      <c r="O921" s="1" t="s">
        <v>170</v>
      </c>
      <c r="P921" s="1" t="s">
        <v>147</v>
      </c>
      <c r="Q921" s="4">
        <v>0.81</v>
      </c>
      <c r="R921" s="13">
        <f t="shared" si="189"/>
        <v>81</v>
      </c>
      <c r="S921" s="6">
        <f t="shared" si="183"/>
        <v>0.81</v>
      </c>
      <c r="T921" s="1" t="s">
        <v>64</v>
      </c>
      <c r="U921" s="1">
        <f t="shared" si="190"/>
        <v>2</v>
      </c>
      <c r="V921" s="1">
        <f t="shared" si="191"/>
        <v>57.3</v>
      </c>
      <c r="W921" s="10" t="str">
        <f t="shared" si="192"/>
        <v>Medium</v>
      </c>
      <c r="X921" s="1">
        <v>0</v>
      </c>
      <c r="Y921" s="1" t="str">
        <f t="shared" si="193"/>
        <v>No</v>
      </c>
      <c r="Z921" s="14">
        <v>3</v>
      </c>
      <c r="AA921" s="18">
        <f t="shared" si="194"/>
        <v>3</v>
      </c>
      <c r="AB921" s="18" t="str">
        <f t="shared" si="195"/>
        <v>No</v>
      </c>
      <c r="AC921" s="9" t="s">
        <v>3614</v>
      </c>
      <c r="AD921">
        <f>IF(AC921="",0,LEN(AC921)-LEN(SUBSTITUTE(AC921,",",""))+1)</f>
        <v>5</v>
      </c>
    </row>
    <row r="922" spans="1:30" ht="12.5" x14ac:dyDescent="0.25">
      <c r="A922" s="1" t="s">
        <v>3615</v>
      </c>
      <c r="B922" s="1" t="s">
        <v>3616</v>
      </c>
      <c r="C922" s="1" t="str">
        <v>Mary Kennedy</v>
      </c>
      <c r="D922" s="1" t="s">
        <v>3617</v>
      </c>
      <c r="E922" s="1" t="str">
        <v>loganveronica@noble.com</v>
      </c>
      <c r="F922" t="str">
        <f t="shared" si="184"/>
        <v>Valid</v>
      </c>
      <c r="G922" s="1" t="s">
        <v>57</v>
      </c>
      <c r="H922" s="1" t="str">
        <f t="shared" si="185"/>
        <v>Female</v>
      </c>
      <c r="I922" s="1" t="s">
        <v>156</v>
      </c>
      <c r="J922" t="str">
        <f t="shared" si="186"/>
        <v>IN</v>
      </c>
      <c r="L922" s="1">
        <f t="shared" si="187"/>
        <v>19</v>
      </c>
      <c r="M922" s="1" t="str">
        <f t="shared" si="188"/>
        <v>Student</v>
      </c>
      <c r="N922" s="2">
        <v>45302</v>
      </c>
      <c r="O922" s="1" t="s">
        <v>69</v>
      </c>
      <c r="P922" s="1" t="s">
        <v>31</v>
      </c>
      <c r="Q922" s="4">
        <v>0.69</v>
      </c>
      <c r="R922" s="13">
        <f t="shared" si="189"/>
        <v>69</v>
      </c>
      <c r="S922" s="6">
        <f t="shared" si="183"/>
        <v>0.69</v>
      </c>
      <c r="T922" s="1" t="s">
        <v>46</v>
      </c>
      <c r="U922" s="1">
        <f t="shared" si="190"/>
        <v>1</v>
      </c>
      <c r="V922" s="1">
        <f t="shared" si="191"/>
        <v>48.599999999999994</v>
      </c>
      <c r="W922" s="10" t="str">
        <f t="shared" si="192"/>
        <v>Medium</v>
      </c>
      <c r="X922" s="1" t="s">
        <v>22</v>
      </c>
      <c r="Y922" s="1" t="str">
        <f t="shared" si="193"/>
        <v>No</v>
      </c>
      <c r="Z922" s="14">
        <v>4</v>
      </c>
      <c r="AA922" s="18">
        <f t="shared" si="194"/>
        <v>4</v>
      </c>
      <c r="AB922" s="18" t="str">
        <f t="shared" si="195"/>
        <v>No</v>
      </c>
      <c r="AC922" s="9" t="s">
        <v>1131</v>
      </c>
      <c r="AD922">
        <f>IF(AC922="",0,LEN(AC922)-LEN(SUBSTITUTE(AC922,",",""))+1)</f>
        <v>7</v>
      </c>
    </row>
    <row r="923" spans="1:30" ht="12.5" x14ac:dyDescent="0.25">
      <c r="A923" s="1" t="s">
        <v>3618</v>
      </c>
      <c r="B923" s="1" t="s">
        <v>3619</v>
      </c>
      <c r="C923" s="1" t="str">
        <v>Steven Williams</v>
      </c>
      <c r="D923" s="1" t="s">
        <v>3620</v>
      </c>
      <c r="E923" s="1" t="str">
        <v>uortega@yahoo.com</v>
      </c>
      <c r="F923" t="str">
        <f t="shared" si="184"/>
        <v>Valid</v>
      </c>
      <c r="G923" s="1" t="s">
        <v>17</v>
      </c>
      <c r="H923" s="1" t="str">
        <f t="shared" si="185"/>
        <v>Female</v>
      </c>
      <c r="I923" s="1" t="s">
        <v>136</v>
      </c>
      <c r="J923" t="str">
        <f t="shared" si="186"/>
        <v>UK</v>
      </c>
      <c r="L923" s="1">
        <f t="shared" si="187"/>
        <v>19</v>
      </c>
      <c r="M923" s="1" t="str">
        <f t="shared" si="188"/>
        <v>Student</v>
      </c>
      <c r="N923" s="9">
        <v>44880</v>
      </c>
      <c r="O923" s="1" t="s">
        <v>114</v>
      </c>
      <c r="P923" s="1" t="s">
        <v>59</v>
      </c>
      <c r="Q923" s="4">
        <v>0.21</v>
      </c>
      <c r="R923" s="13">
        <f t="shared" si="189"/>
        <v>21</v>
      </c>
      <c r="S923" s="6">
        <f t="shared" si="183"/>
        <v>0.21</v>
      </c>
      <c r="T923" s="1" t="s">
        <v>21</v>
      </c>
      <c r="U923" s="1">
        <f t="shared" si="190"/>
        <v>1.5</v>
      </c>
      <c r="V923" s="1">
        <f t="shared" si="191"/>
        <v>15.149999999999999</v>
      </c>
      <c r="W923" s="10" t="str">
        <f t="shared" si="192"/>
        <v>Low</v>
      </c>
      <c r="X923" s="1">
        <v>0</v>
      </c>
      <c r="Y923" s="1" t="str">
        <f t="shared" si="193"/>
        <v>No</v>
      </c>
      <c r="AA923" s="18" t="str">
        <f t="shared" si="194"/>
        <v>Invalid</v>
      </c>
      <c r="AB923" s="18" t="str">
        <f t="shared" si="195"/>
        <v>No</v>
      </c>
      <c r="AC923" s="9" t="s">
        <v>3621</v>
      </c>
      <c r="AD923">
        <f>IF(AC923="",0,LEN(AC923)-LEN(SUBSTITUTE(AC923,",",""))+1)</f>
        <v>8</v>
      </c>
    </row>
    <row r="924" spans="1:30" ht="12.5" x14ac:dyDescent="0.25">
      <c r="A924" s="1" t="s">
        <v>3622</v>
      </c>
      <c r="B924" s="1" t="s">
        <v>3623</v>
      </c>
      <c r="C924" s="1" t="str">
        <v>Raymond Mccarthy</v>
      </c>
      <c r="D924" s="1" t="s">
        <v>3624</v>
      </c>
      <c r="E924" s="1" t="str">
        <v>mary58@gmail.com</v>
      </c>
      <c r="F924" t="str">
        <f t="shared" si="184"/>
        <v>Valid</v>
      </c>
      <c r="G924" s="1" t="s">
        <v>109</v>
      </c>
      <c r="H924" s="1" t="str">
        <f t="shared" si="185"/>
        <v>Male</v>
      </c>
      <c r="I924" s="1" t="s">
        <v>156</v>
      </c>
      <c r="J924" t="str">
        <f t="shared" si="186"/>
        <v>IN</v>
      </c>
      <c r="L924" s="1">
        <f t="shared" si="187"/>
        <v>19</v>
      </c>
      <c r="M924" s="1" t="str">
        <f t="shared" si="188"/>
        <v>Student</v>
      </c>
      <c r="N924" s="9">
        <v>45435</v>
      </c>
      <c r="O924" s="1" t="s">
        <v>69</v>
      </c>
      <c r="P924" s="1" t="s">
        <v>31</v>
      </c>
      <c r="Q924" s="4">
        <v>57</v>
      </c>
      <c r="R924" s="13">
        <f t="shared" si="189"/>
        <v>57</v>
      </c>
      <c r="S924" s="6">
        <f t="shared" si="183"/>
        <v>0.56999999999999995</v>
      </c>
      <c r="T924" s="1">
        <v>2</v>
      </c>
      <c r="U924" s="1">
        <f t="shared" si="190"/>
        <v>2</v>
      </c>
      <c r="V924" s="1">
        <f t="shared" si="191"/>
        <v>40.5</v>
      </c>
      <c r="W924" s="10" t="str">
        <f t="shared" si="192"/>
        <v>Low</v>
      </c>
      <c r="X924" s="1" t="s">
        <v>76</v>
      </c>
      <c r="Y924" s="1" t="str">
        <f t="shared" si="193"/>
        <v>Yes</v>
      </c>
      <c r="AA924" s="18" t="str">
        <f t="shared" si="194"/>
        <v>Invalid</v>
      </c>
      <c r="AB924" s="18" t="str">
        <f t="shared" si="195"/>
        <v>High Performer</v>
      </c>
      <c r="AC924" s="9" t="s">
        <v>3625</v>
      </c>
      <c r="AD924">
        <f>IF(AC924="",0,LEN(AC924)-LEN(SUBSTITUTE(AC924,",",""))+1)</f>
        <v>5</v>
      </c>
    </row>
    <row r="925" spans="1:30" ht="12.5" x14ac:dyDescent="0.25">
      <c r="A925" s="1" t="s">
        <v>3626</v>
      </c>
      <c r="B925" s="1" t="s">
        <v>3627</v>
      </c>
      <c r="C925" s="1" t="str">
        <v>Sandra Dawson</v>
      </c>
      <c r="D925" s="1" t="s">
        <v>3628</v>
      </c>
      <c r="E925" s="1" t="str">
        <v>yhenry@yahoo.com</v>
      </c>
      <c r="F925" t="str">
        <f t="shared" si="184"/>
        <v>Valid</v>
      </c>
      <c r="G925" s="1" t="s">
        <v>17</v>
      </c>
      <c r="H925" s="1" t="str">
        <f t="shared" si="185"/>
        <v>Female</v>
      </c>
      <c r="I925" s="1" t="s">
        <v>74</v>
      </c>
      <c r="J925" t="str">
        <f t="shared" si="186"/>
        <v>USA</v>
      </c>
      <c r="K925" s="14">
        <v>30</v>
      </c>
      <c r="L925" s="1">
        <f t="shared" si="187"/>
        <v>30</v>
      </c>
      <c r="M925" s="1" t="str">
        <f t="shared" si="188"/>
        <v>Early Career</v>
      </c>
      <c r="N925" s="2">
        <v>45333</v>
      </c>
      <c r="O925" s="1" t="s">
        <v>75</v>
      </c>
      <c r="P925" s="1" t="s">
        <v>37</v>
      </c>
      <c r="Q925" s="4">
        <v>0.68</v>
      </c>
      <c r="R925" s="13">
        <f t="shared" si="189"/>
        <v>68</v>
      </c>
      <c r="S925" s="6">
        <f t="shared" si="183"/>
        <v>0.68</v>
      </c>
      <c r="T925" s="1" t="s">
        <v>21</v>
      </c>
      <c r="U925" s="1">
        <f t="shared" si="190"/>
        <v>1.5</v>
      </c>
      <c r="V925" s="1">
        <f t="shared" si="191"/>
        <v>48.05</v>
      </c>
      <c r="W925" s="10" t="str">
        <f t="shared" si="192"/>
        <v>Medium</v>
      </c>
      <c r="X925" s="1" t="s">
        <v>76</v>
      </c>
      <c r="Y925" s="1" t="str">
        <f t="shared" si="193"/>
        <v>Yes</v>
      </c>
      <c r="Z925" s="14">
        <v>2</v>
      </c>
      <c r="AA925" s="18">
        <f t="shared" si="194"/>
        <v>2</v>
      </c>
      <c r="AB925" s="18" t="str">
        <f t="shared" si="195"/>
        <v>No</v>
      </c>
      <c r="AC925" s="9" t="s">
        <v>3629</v>
      </c>
      <c r="AD925">
        <f>IF(AC925="",0,LEN(AC925)-LEN(SUBSTITUTE(AC925,",",""))+1)</f>
        <v>8</v>
      </c>
    </row>
    <row r="926" spans="1:30" ht="12.5" x14ac:dyDescent="0.25">
      <c r="A926" s="1" t="s">
        <v>3630</v>
      </c>
      <c r="B926" s="1" t="s">
        <v>3631</v>
      </c>
      <c r="C926" s="1" t="str">
        <v>Cassandra Cline</v>
      </c>
      <c r="D926" s="1" t="s">
        <v>3632</v>
      </c>
      <c r="E926" s="1" t="str">
        <v>jessica39@hotmail.com</v>
      </c>
      <c r="F926" t="str">
        <f t="shared" si="184"/>
        <v>Valid</v>
      </c>
      <c r="G926" s="1" t="s">
        <v>43</v>
      </c>
      <c r="H926" s="1" t="str">
        <f t="shared" si="185"/>
        <v>Female</v>
      </c>
      <c r="I926" s="1" t="s">
        <v>18</v>
      </c>
      <c r="J926" t="str">
        <f t="shared" si="186"/>
        <v>US</v>
      </c>
      <c r="L926" s="1">
        <f t="shared" si="187"/>
        <v>19</v>
      </c>
      <c r="M926" s="1" t="str">
        <f t="shared" si="188"/>
        <v>Student</v>
      </c>
      <c r="N926" s="2">
        <v>45811</v>
      </c>
      <c r="O926" s="1" t="s">
        <v>69</v>
      </c>
      <c r="P926" s="1" t="s">
        <v>31</v>
      </c>
      <c r="Q926" s="4">
        <v>94</v>
      </c>
      <c r="R926" s="13">
        <f t="shared" si="189"/>
        <v>94</v>
      </c>
      <c r="S926" s="6">
        <f t="shared" si="183"/>
        <v>0.94</v>
      </c>
      <c r="T926" s="1" t="s">
        <v>21</v>
      </c>
      <c r="U926" s="1">
        <f t="shared" si="190"/>
        <v>1.5</v>
      </c>
      <c r="V926" s="1">
        <f t="shared" si="191"/>
        <v>66.25</v>
      </c>
      <c r="W926" s="10" t="str">
        <f t="shared" si="192"/>
        <v>Medium</v>
      </c>
      <c r="X926" s="1" t="s">
        <v>32</v>
      </c>
      <c r="Y926" s="1" t="str">
        <f t="shared" si="193"/>
        <v>Yes</v>
      </c>
      <c r="Z926" s="14">
        <v>4</v>
      </c>
      <c r="AA926" s="18">
        <f t="shared" si="194"/>
        <v>4</v>
      </c>
      <c r="AB926" s="18" t="str">
        <f t="shared" si="195"/>
        <v>High Performer</v>
      </c>
      <c r="AC926" s="9" t="s">
        <v>3633</v>
      </c>
      <c r="AD926">
        <f>IF(AC926="",0,LEN(AC926)-LEN(SUBSTITUTE(AC926,",",""))+1)</f>
        <v>3</v>
      </c>
    </row>
    <row r="927" spans="1:30" ht="12.5" x14ac:dyDescent="0.25">
      <c r="A927" s="1" t="s">
        <v>3634</v>
      </c>
      <c r="B927" s="1" t="s">
        <v>3635</v>
      </c>
      <c r="C927" s="1" t="str">
        <v>Alexandra Ramos</v>
      </c>
      <c r="D927" s="1" t="s">
        <v>3636</v>
      </c>
      <c r="E927" s="1" t="str">
        <v>willismark@moon-shaw.com</v>
      </c>
      <c r="F927" t="str">
        <f t="shared" si="184"/>
        <v>Valid</v>
      </c>
      <c r="G927" s="1" t="s">
        <v>119</v>
      </c>
      <c r="H927" s="1" t="str">
        <f t="shared" si="185"/>
        <v>Female</v>
      </c>
      <c r="I927" s="1" t="s">
        <v>44</v>
      </c>
      <c r="J927" t="str">
        <f t="shared" si="186"/>
        <v>CANADA</v>
      </c>
      <c r="L927" s="1">
        <f t="shared" si="187"/>
        <v>19</v>
      </c>
      <c r="M927" s="1" t="str">
        <f t="shared" si="188"/>
        <v>Student</v>
      </c>
      <c r="N927" s="9">
        <v>44954</v>
      </c>
      <c r="O927" s="1" t="s">
        <v>45</v>
      </c>
      <c r="P927" s="1" t="s">
        <v>20</v>
      </c>
      <c r="Q927" s="4">
        <v>0.5</v>
      </c>
      <c r="R927" s="13">
        <f t="shared" si="189"/>
        <v>50</v>
      </c>
      <c r="S927" s="6">
        <f t="shared" si="183"/>
        <v>0.5</v>
      </c>
      <c r="T927" s="1">
        <v>45</v>
      </c>
      <c r="U927" s="1">
        <f t="shared" si="190"/>
        <v>45</v>
      </c>
      <c r="V927" s="1">
        <f t="shared" si="191"/>
        <v>48.5</v>
      </c>
      <c r="W927" s="10" t="str">
        <f t="shared" si="192"/>
        <v>Medium</v>
      </c>
      <c r="X927" s="1" t="s">
        <v>22</v>
      </c>
      <c r="Y927" s="1" t="str">
        <f t="shared" si="193"/>
        <v>No</v>
      </c>
      <c r="Z927" s="14">
        <v>2</v>
      </c>
      <c r="AA927" s="18">
        <f t="shared" si="194"/>
        <v>2</v>
      </c>
      <c r="AB927" s="18" t="str">
        <f t="shared" si="195"/>
        <v>No</v>
      </c>
      <c r="AC927" s="9" t="s">
        <v>3637</v>
      </c>
      <c r="AD927">
        <f>IF(AC927="",0,LEN(AC927)-LEN(SUBSTITUTE(AC927,",",""))+1)</f>
        <v>6</v>
      </c>
    </row>
    <row r="928" spans="1:30" ht="12.5" x14ac:dyDescent="0.25">
      <c r="A928" s="1" t="s">
        <v>3638</v>
      </c>
      <c r="B928" s="1" t="s">
        <v>3639</v>
      </c>
      <c r="C928" s="1" t="str">
        <v>Jennifer Forbes</v>
      </c>
      <c r="D928" s="1" t="s">
        <v>3640</v>
      </c>
      <c r="E928" s="1" t="str">
        <v>colleen90@hotmail.com</v>
      </c>
      <c r="F928" t="str">
        <f t="shared" si="184"/>
        <v>Valid</v>
      </c>
      <c r="G928" s="1" t="s">
        <v>17</v>
      </c>
      <c r="H928" s="1" t="str">
        <f t="shared" si="185"/>
        <v>Female</v>
      </c>
      <c r="I928" s="1" t="s">
        <v>18</v>
      </c>
      <c r="J928" t="str">
        <f t="shared" si="186"/>
        <v>US</v>
      </c>
      <c r="K928" s="14">
        <v>0</v>
      </c>
      <c r="L928" s="1">
        <f t="shared" si="187"/>
        <v>19</v>
      </c>
      <c r="M928" s="1" t="str">
        <f t="shared" si="188"/>
        <v>Student</v>
      </c>
      <c r="N928" s="2">
        <v>45393</v>
      </c>
      <c r="O928" s="1" t="s">
        <v>58</v>
      </c>
      <c r="P928" s="1" t="s">
        <v>59</v>
      </c>
      <c r="Q928" s="4">
        <v>97</v>
      </c>
      <c r="R928" s="13">
        <f t="shared" si="189"/>
        <v>97</v>
      </c>
      <c r="S928" s="6">
        <f t="shared" si="183"/>
        <v>0.97</v>
      </c>
      <c r="T928" s="1">
        <v>45</v>
      </c>
      <c r="U928" s="1">
        <f t="shared" si="190"/>
        <v>45</v>
      </c>
      <c r="V928" s="1">
        <f t="shared" si="191"/>
        <v>81.399999999999991</v>
      </c>
      <c r="W928" s="10" t="str">
        <f t="shared" si="192"/>
        <v>High</v>
      </c>
      <c r="X928" s="1" t="s">
        <v>38</v>
      </c>
      <c r="Y928" s="1" t="str">
        <f t="shared" si="193"/>
        <v>No</v>
      </c>
      <c r="Z928" s="14">
        <v>4</v>
      </c>
      <c r="AA928" s="18">
        <f t="shared" si="194"/>
        <v>4</v>
      </c>
      <c r="AB928" s="18" t="str">
        <f t="shared" si="195"/>
        <v>No</v>
      </c>
      <c r="AC928" s="9">
        <v>45393</v>
      </c>
      <c r="AD928">
        <f>IF(AC928="",0,LEN(AC928)-LEN(SUBSTITUTE(AC928,",",""))+1)</f>
        <v>1</v>
      </c>
    </row>
    <row r="929" spans="1:30" ht="12.5" x14ac:dyDescent="0.25">
      <c r="A929" s="1" t="s">
        <v>3641</v>
      </c>
      <c r="B929" s="1" t="s">
        <v>3642</v>
      </c>
      <c r="C929" s="1" t="str">
        <v>John Golden Dds</v>
      </c>
      <c r="D929" s="1" t="s">
        <v>3643</v>
      </c>
      <c r="E929" s="1" t="str">
        <v>woodchloe@hernandez.com</v>
      </c>
      <c r="F929" t="str">
        <f t="shared" si="184"/>
        <v>Valid</v>
      </c>
      <c r="G929" s="1" t="s">
        <v>88</v>
      </c>
      <c r="H929" s="1" t="str">
        <f t="shared" si="185"/>
        <v>Male</v>
      </c>
      <c r="I929" s="1" t="s">
        <v>28</v>
      </c>
      <c r="J929" t="str">
        <f t="shared" si="186"/>
        <v>INDIA</v>
      </c>
      <c r="K929" s="14">
        <v>0</v>
      </c>
      <c r="L929" s="1">
        <f t="shared" si="187"/>
        <v>19</v>
      </c>
      <c r="M929" s="1" t="str">
        <f t="shared" si="188"/>
        <v>Student</v>
      </c>
      <c r="N929" s="2">
        <v>45477</v>
      </c>
      <c r="O929" s="1" t="s">
        <v>158</v>
      </c>
      <c r="P929" s="1" t="s">
        <v>59</v>
      </c>
      <c r="Q929" s="4">
        <v>0.78</v>
      </c>
      <c r="R929" s="13">
        <f t="shared" si="189"/>
        <v>78</v>
      </c>
      <c r="S929" s="6">
        <f t="shared" si="183"/>
        <v>0.78</v>
      </c>
      <c r="T929" s="1">
        <v>45</v>
      </c>
      <c r="U929" s="1">
        <f t="shared" si="190"/>
        <v>45</v>
      </c>
      <c r="V929" s="1">
        <f t="shared" si="191"/>
        <v>68.099999999999994</v>
      </c>
      <c r="W929" s="10" t="str">
        <f t="shared" si="192"/>
        <v>Medium</v>
      </c>
      <c r="X929" s="1">
        <v>1</v>
      </c>
      <c r="Y929" s="1" t="str">
        <f t="shared" si="193"/>
        <v>Yes</v>
      </c>
      <c r="Z929" s="14">
        <v>5</v>
      </c>
      <c r="AA929" s="18">
        <f t="shared" si="194"/>
        <v>5</v>
      </c>
      <c r="AB929" s="18" t="str">
        <f t="shared" si="195"/>
        <v>High Performer</v>
      </c>
      <c r="AC929" s="9">
        <v>45477</v>
      </c>
      <c r="AD929">
        <f>IF(AC929="",0,LEN(AC929)-LEN(SUBSTITUTE(AC929,",",""))+1)</f>
        <v>1</v>
      </c>
    </row>
    <row r="930" spans="1:30" ht="12.5" x14ac:dyDescent="0.25">
      <c r="A930" s="1" t="s">
        <v>3644</v>
      </c>
      <c r="B930" s="1" t="s">
        <v>3645</v>
      </c>
      <c r="C930" s="1" t="str">
        <v>Mark Brown</v>
      </c>
      <c r="D930" s="1" t="s">
        <v>3646</v>
      </c>
      <c r="E930" s="1" t="str">
        <v>tonya39@smith.com</v>
      </c>
      <c r="F930" t="str">
        <f t="shared" si="184"/>
        <v>Valid</v>
      </c>
      <c r="G930" s="1" t="s">
        <v>43</v>
      </c>
      <c r="H930" s="1" t="str">
        <f t="shared" si="185"/>
        <v>Female</v>
      </c>
      <c r="I930" s="1" t="s">
        <v>51</v>
      </c>
      <c r="J930" t="str">
        <f t="shared" si="186"/>
        <v>UK</v>
      </c>
      <c r="L930" s="1">
        <f t="shared" si="187"/>
        <v>19</v>
      </c>
      <c r="M930" s="1" t="str">
        <f t="shared" si="188"/>
        <v>Student</v>
      </c>
      <c r="N930" s="9">
        <v>44786</v>
      </c>
      <c r="O930" s="1" t="s">
        <v>114</v>
      </c>
      <c r="P930" s="1" t="s">
        <v>59</v>
      </c>
      <c r="Q930" s="4">
        <v>0.76</v>
      </c>
      <c r="R930" s="13">
        <f t="shared" si="189"/>
        <v>76</v>
      </c>
      <c r="S930" s="6">
        <f t="shared" si="183"/>
        <v>0.76</v>
      </c>
      <c r="T930" s="1">
        <v>2</v>
      </c>
      <c r="U930" s="1">
        <f t="shared" si="190"/>
        <v>2</v>
      </c>
      <c r="V930" s="1">
        <f t="shared" si="191"/>
        <v>53.8</v>
      </c>
      <c r="W930" s="10" t="str">
        <f t="shared" si="192"/>
        <v>Medium</v>
      </c>
      <c r="X930" s="1" t="s">
        <v>22</v>
      </c>
      <c r="Y930" s="1" t="str">
        <f t="shared" si="193"/>
        <v>No</v>
      </c>
      <c r="Z930" s="14">
        <v>6</v>
      </c>
      <c r="AA930" s="18">
        <f t="shared" si="194"/>
        <v>6</v>
      </c>
      <c r="AB930" s="18" t="str">
        <f t="shared" si="195"/>
        <v>No</v>
      </c>
      <c r="AC930" s="9" t="s">
        <v>3647</v>
      </c>
      <c r="AD930">
        <f>IF(AC930="",0,LEN(AC930)-LEN(SUBSTITUTE(AC930,",",""))+1)</f>
        <v>2</v>
      </c>
    </row>
    <row r="931" spans="1:30" ht="12.5" x14ac:dyDescent="0.25">
      <c r="A931" s="1" t="s">
        <v>3648</v>
      </c>
      <c r="B931" s="1" t="s">
        <v>3649</v>
      </c>
      <c r="C931" s="1" t="str">
        <v>Kelli Shepard</v>
      </c>
      <c r="D931" s="1" t="s">
        <v>3650</v>
      </c>
      <c r="E931" s="1" t="str">
        <v>qmonroe@gmail.com</v>
      </c>
      <c r="F931" t="str">
        <f t="shared" si="184"/>
        <v>Valid</v>
      </c>
      <c r="G931" s="1" t="s">
        <v>43</v>
      </c>
      <c r="H931" s="1" t="str">
        <f t="shared" si="185"/>
        <v>Female</v>
      </c>
      <c r="I931" s="1" t="s">
        <v>136</v>
      </c>
      <c r="J931" t="str">
        <f t="shared" si="186"/>
        <v>UK</v>
      </c>
      <c r="K931" s="14">
        <v>25</v>
      </c>
      <c r="L931" s="1">
        <f t="shared" si="187"/>
        <v>25</v>
      </c>
      <c r="M931" s="1" t="str">
        <f t="shared" si="188"/>
        <v>Early Career</v>
      </c>
      <c r="N931" s="9">
        <v>44920</v>
      </c>
      <c r="O931" s="1" t="s">
        <v>170</v>
      </c>
      <c r="P931" s="1" t="s">
        <v>147</v>
      </c>
      <c r="Q931" s="4">
        <v>0.08</v>
      </c>
      <c r="R931" s="13">
        <f t="shared" si="189"/>
        <v>8</v>
      </c>
      <c r="S931" s="6">
        <f t="shared" si="183"/>
        <v>0.08</v>
      </c>
      <c r="T931" s="1">
        <v>2</v>
      </c>
      <c r="U931" s="1">
        <f t="shared" si="190"/>
        <v>2</v>
      </c>
      <c r="V931" s="1">
        <f t="shared" si="191"/>
        <v>6.1999999999999993</v>
      </c>
      <c r="W931" s="10" t="str">
        <f t="shared" si="192"/>
        <v>Low</v>
      </c>
      <c r="X931" s="1">
        <v>1</v>
      </c>
      <c r="Y931" s="1" t="str">
        <f t="shared" si="193"/>
        <v>Yes</v>
      </c>
      <c r="Z931" s="14">
        <v>1</v>
      </c>
      <c r="AA931" s="18">
        <f t="shared" si="194"/>
        <v>1</v>
      </c>
      <c r="AB931" s="18" t="str">
        <f t="shared" si="195"/>
        <v>No</v>
      </c>
      <c r="AC931" s="9" t="s">
        <v>3651</v>
      </c>
      <c r="AD931">
        <f>IF(AC931="",0,LEN(AC931)-LEN(SUBSTITUTE(AC931,",",""))+1)</f>
        <v>4</v>
      </c>
    </row>
    <row r="932" spans="1:30" ht="12.5" x14ac:dyDescent="0.25">
      <c r="A932" s="1" t="s">
        <v>3652</v>
      </c>
      <c r="B932" s="1" t="s">
        <v>3653</v>
      </c>
      <c r="C932" s="1" t="str">
        <v>Derek Thompson</v>
      </c>
      <c r="D932" s="1" t="s">
        <v>127</v>
      </c>
      <c r="E932" s="1" t="str">
        <v>invalid-email</v>
      </c>
      <c r="F932" t="str">
        <f t="shared" si="184"/>
        <v>Invalid</v>
      </c>
      <c r="G932" s="1" t="s">
        <v>88</v>
      </c>
      <c r="H932" s="1" t="str">
        <f t="shared" si="185"/>
        <v>Male</v>
      </c>
      <c r="I932" s="1" t="s">
        <v>96</v>
      </c>
      <c r="J932" t="str">
        <f t="shared" si="186"/>
        <v>INDIA</v>
      </c>
      <c r="L932" s="1">
        <f t="shared" si="187"/>
        <v>19</v>
      </c>
      <c r="M932" s="1" t="str">
        <f t="shared" si="188"/>
        <v>Student</v>
      </c>
      <c r="N932" s="9">
        <v>44758</v>
      </c>
      <c r="O932" s="1" t="s">
        <v>45</v>
      </c>
      <c r="P932" s="1" t="s">
        <v>20</v>
      </c>
      <c r="Q932" s="4">
        <v>0.92</v>
      </c>
      <c r="R932" s="13">
        <f t="shared" si="189"/>
        <v>92</v>
      </c>
      <c r="S932" s="6">
        <f t="shared" si="183"/>
        <v>0.92</v>
      </c>
      <c r="T932" s="1" t="s">
        <v>21</v>
      </c>
      <c r="U932" s="1">
        <f t="shared" si="190"/>
        <v>1.5</v>
      </c>
      <c r="V932" s="1">
        <f t="shared" si="191"/>
        <v>64.849999999999994</v>
      </c>
      <c r="W932" s="10" t="str">
        <f t="shared" si="192"/>
        <v>Medium</v>
      </c>
      <c r="X932" s="1" t="s">
        <v>38</v>
      </c>
      <c r="Y932" s="1" t="str">
        <f t="shared" si="193"/>
        <v>No</v>
      </c>
      <c r="Z932" s="14">
        <v>1</v>
      </c>
      <c r="AA932" s="18">
        <f t="shared" si="194"/>
        <v>1</v>
      </c>
      <c r="AB932" s="18" t="str">
        <f t="shared" si="195"/>
        <v>No</v>
      </c>
      <c r="AC932" s="9" t="s">
        <v>3654</v>
      </c>
      <c r="AD932">
        <f>IF(AC932="",0,LEN(AC932)-LEN(SUBSTITUTE(AC932,",",""))+1)</f>
        <v>6</v>
      </c>
    </row>
    <row r="933" spans="1:30" ht="12.5" x14ac:dyDescent="0.25">
      <c r="A933" s="1" t="s">
        <v>3655</v>
      </c>
      <c r="B933" s="1" t="s">
        <v>3656</v>
      </c>
      <c r="C933" s="1" t="str">
        <v>Carrie Francis</v>
      </c>
      <c r="D933" s="1" t="s">
        <v>3657</v>
      </c>
      <c r="E933" s="1" t="str">
        <v>joshua51@owens-huff.com</v>
      </c>
      <c r="F933" t="str">
        <f t="shared" si="184"/>
        <v>Valid</v>
      </c>
      <c r="G933" s="1" t="s">
        <v>95</v>
      </c>
      <c r="H933" s="1" t="str">
        <f t="shared" si="185"/>
        <v>Male</v>
      </c>
      <c r="I933" s="1" t="s">
        <v>44</v>
      </c>
      <c r="J933" t="str">
        <f t="shared" si="186"/>
        <v>CANADA</v>
      </c>
      <c r="L933" s="1">
        <f t="shared" si="187"/>
        <v>19</v>
      </c>
      <c r="M933" s="1" t="str">
        <f t="shared" si="188"/>
        <v>Student</v>
      </c>
      <c r="N933" s="9">
        <v>44727</v>
      </c>
      <c r="O933" s="1" t="s">
        <v>75</v>
      </c>
      <c r="P933" s="1" t="s">
        <v>37</v>
      </c>
      <c r="Q933" s="4">
        <v>82</v>
      </c>
      <c r="R933" s="13">
        <f t="shared" si="189"/>
        <v>82</v>
      </c>
      <c r="S933" s="6">
        <f t="shared" si="183"/>
        <v>0.82</v>
      </c>
      <c r="T933" s="1" t="s">
        <v>46</v>
      </c>
      <c r="U933" s="1">
        <f t="shared" si="190"/>
        <v>1</v>
      </c>
      <c r="V933" s="1">
        <f t="shared" si="191"/>
        <v>57.699999999999996</v>
      </c>
      <c r="W933" s="10" t="str">
        <f t="shared" si="192"/>
        <v>Medium</v>
      </c>
      <c r="X933" s="1">
        <v>0</v>
      </c>
      <c r="Y933" s="1" t="str">
        <f t="shared" si="193"/>
        <v>No</v>
      </c>
      <c r="Z933" s="14">
        <v>5</v>
      </c>
      <c r="AA933" s="18">
        <f t="shared" si="194"/>
        <v>5</v>
      </c>
      <c r="AB933" s="18" t="str">
        <f t="shared" si="195"/>
        <v>No</v>
      </c>
      <c r="AC933" s="9" t="s">
        <v>3658</v>
      </c>
      <c r="AD933">
        <f>IF(AC933="",0,LEN(AC933)-LEN(SUBSTITUTE(AC933,",",""))+1)</f>
        <v>2</v>
      </c>
    </row>
    <row r="934" spans="1:30" ht="12.5" x14ac:dyDescent="0.25">
      <c r="A934" s="1" t="s">
        <v>3659</v>
      </c>
      <c r="B934" s="1" t="s">
        <v>3660</v>
      </c>
      <c r="C934" s="1" t="str">
        <v>Catherine Miller</v>
      </c>
      <c r="D934" s="1" t="s">
        <v>3661</v>
      </c>
      <c r="E934" s="1" t="str">
        <v>wangkristina@gmail.com</v>
      </c>
      <c r="F934" t="str">
        <f t="shared" si="184"/>
        <v>Valid</v>
      </c>
      <c r="G934" s="1" t="s">
        <v>17</v>
      </c>
      <c r="H934" s="1" t="str">
        <f t="shared" si="185"/>
        <v>Female</v>
      </c>
      <c r="I934" s="1" t="s">
        <v>51</v>
      </c>
      <c r="J934" t="str">
        <f t="shared" si="186"/>
        <v>UK</v>
      </c>
      <c r="L934" s="1">
        <f t="shared" si="187"/>
        <v>19</v>
      </c>
      <c r="M934" s="1" t="str">
        <f t="shared" si="188"/>
        <v>Student</v>
      </c>
      <c r="N934" s="2">
        <v>45331</v>
      </c>
      <c r="O934" s="1" t="s">
        <v>301</v>
      </c>
      <c r="P934" s="1" t="s">
        <v>20</v>
      </c>
      <c r="Q934" s="4">
        <v>80</v>
      </c>
      <c r="R934" s="13">
        <f t="shared" si="189"/>
        <v>80</v>
      </c>
      <c r="S934" s="6">
        <f t="shared" si="183"/>
        <v>0.8</v>
      </c>
      <c r="T934" s="1" t="s">
        <v>46</v>
      </c>
      <c r="U934" s="1">
        <f t="shared" si="190"/>
        <v>1</v>
      </c>
      <c r="V934" s="1">
        <f t="shared" si="191"/>
        <v>56.3</v>
      </c>
      <c r="W934" s="10" t="str">
        <f t="shared" si="192"/>
        <v>Medium</v>
      </c>
      <c r="X934" s="1">
        <v>1</v>
      </c>
      <c r="Y934" s="1" t="str">
        <f t="shared" si="193"/>
        <v>Yes</v>
      </c>
      <c r="AA934" s="18" t="str">
        <f t="shared" si="194"/>
        <v>Invalid</v>
      </c>
      <c r="AB934" s="18" t="str">
        <f t="shared" si="195"/>
        <v>High Performer</v>
      </c>
      <c r="AC934" s="9" t="s">
        <v>3662</v>
      </c>
      <c r="AD934">
        <f>IF(AC934="",0,LEN(AC934)-LEN(SUBSTITUTE(AC934,",",""))+1)</f>
        <v>7</v>
      </c>
    </row>
    <row r="935" spans="1:30" ht="12.5" x14ac:dyDescent="0.25">
      <c r="A935" s="1" t="s">
        <v>3663</v>
      </c>
      <c r="B935" s="1" t="s">
        <v>3664</v>
      </c>
      <c r="C935" s="1" t="str">
        <v>Danielle Hood</v>
      </c>
      <c r="D935" s="1" t="s">
        <v>3665</v>
      </c>
      <c r="E935" s="1" t="str">
        <v>lancegray@thompson-taylor.com</v>
      </c>
      <c r="F935" t="str">
        <f t="shared" si="184"/>
        <v>Valid</v>
      </c>
      <c r="G935" s="1" t="s">
        <v>43</v>
      </c>
      <c r="H935" s="1" t="str">
        <f t="shared" si="185"/>
        <v>Female</v>
      </c>
      <c r="I935" s="1" t="s">
        <v>44</v>
      </c>
      <c r="J935" t="str">
        <f t="shared" si="186"/>
        <v>CANADA</v>
      </c>
      <c r="L935" s="1">
        <f t="shared" si="187"/>
        <v>19</v>
      </c>
      <c r="M935" s="1" t="str">
        <f t="shared" si="188"/>
        <v>Student</v>
      </c>
      <c r="N935" s="9">
        <v>45649</v>
      </c>
      <c r="O935" s="1" t="s">
        <v>45</v>
      </c>
      <c r="P935" s="1" t="s">
        <v>20</v>
      </c>
      <c r="Q935" s="4">
        <v>0.43</v>
      </c>
      <c r="R935" s="13">
        <f t="shared" si="189"/>
        <v>43</v>
      </c>
      <c r="S935" s="6">
        <f t="shared" si="183"/>
        <v>0.43</v>
      </c>
      <c r="T935" s="1">
        <v>2</v>
      </c>
      <c r="U935" s="1">
        <f t="shared" si="190"/>
        <v>2</v>
      </c>
      <c r="V935" s="1">
        <f t="shared" si="191"/>
        <v>30.7</v>
      </c>
      <c r="W935" s="10" t="str">
        <f t="shared" si="192"/>
        <v>Low</v>
      </c>
      <c r="X935" s="1" t="s">
        <v>76</v>
      </c>
      <c r="Y935" s="1" t="str">
        <f t="shared" si="193"/>
        <v>Yes</v>
      </c>
      <c r="Z935" s="14">
        <v>2</v>
      </c>
      <c r="AA935" s="18">
        <f t="shared" si="194"/>
        <v>2</v>
      </c>
      <c r="AB935" s="18" t="str">
        <f t="shared" si="195"/>
        <v>No</v>
      </c>
      <c r="AC935" s="9" t="s">
        <v>3666</v>
      </c>
      <c r="AD935">
        <f>IF(AC935="",0,LEN(AC935)-LEN(SUBSTITUTE(AC935,",",""))+1)</f>
        <v>3</v>
      </c>
    </row>
    <row r="936" spans="1:30" ht="12.5" x14ac:dyDescent="0.25">
      <c r="A936" s="1" t="s">
        <v>3667</v>
      </c>
      <c r="B936" s="1" t="s">
        <v>3668</v>
      </c>
      <c r="C936" s="1" t="str">
        <v>Cassandra Phillips</v>
      </c>
      <c r="D936" s="1" t="s">
        <v>3669</v>
      </c>
      <c r="E936" s="1" t="str">
        <v>christopher59@yahoo.com</v>
      </c>
      <c r="F936" t="str">
        <f t="shared" si="184"/>
        <v>Valid</v>
      </c>
      <c r="G936" s="1" t="s">
        <v>119</v>
      </c>
      <c r="H936" s="1" t="str">
        <f t="shared" si="185"/>
        <v>Female</v>
      </c>
      <c r="I936" s="1" t="s">
        <v>44</v>
      </c>
      <c r="J936" t="str">
        <f t="shared" si="186"/>
        <v>CANADA</v>
      </c>
      <c r="L936" s="1">
        <f t="shared" si="187"/>
        <v>19</v>
      </c>
      <c r="M936" s="1" t="str">
        <f t="shared" si="188"/>
        <v>Student</v>
      </c>
      <c r="N936" s="2">
        <v>45566</v>
      </c>
      <c r="O936" s="1" t="s">
        <v>114</v>
      </c>
      <c r="P936" s="1" t="s">
        <v>59</v>
      </c>
      <c r="Q936" s="4">
        <v>43</v>
      </c>
      <c r="R936" s="13">
        <f t="shared" si="189"/>
        <v>43</v>
      </c>
      <c r="S936" s="6">
        <f t="shared" si="183"/>
        <v>0.43</v>
      </c>
      <c r="T936" s="1" t="s">
        <v>21</v>
      </c>
      <c r="U936" s="1">
        <f t="shared" si="190"/>
        <v>1.5</v>
      </c>
      <c r="V936" s="1">
        <f t="shared" si="191"/>
        <v>30.549999999999997</v>
      </c>
      <c r="W936" s="10" t="str">
        <f t="shared" si="192"/>
        <v>Low</v>
      </c>
      <c r="X936" s="1" t="s">
        <v>22</v>
      </c>
      <c r="Y936" s="1" t="str">
        <f t="shared" si="193"/>
        <v>No</v>
      </c>
      <c r="Z936" s="14">
        <v>3</v>
      </c>
      <c r="AA936" s="18">
        <f t="shared" si="194"/>
        <v>3</v>
      </c>
      <c r="AB936" s="18" t="str">
        <f t="shared" si="195"/>
        <v>No</v>
      </c>
      <c r="AC936" s="9" t="s">
        <v>3670</v>
      </c>
      <c r="AD936">
        <f>IF(AC936="",0,LEN(AC936)-LEN(SUBSTITUTE(AC936,",",""))+1)</f>
        <v>8</v>
      </c>
    </row>
    <row r="937" spans="1:30" ht="12.5" x14ac:dyDescent="0.25">
      <c r="A937" s="1" t="s">
        <v>3671</v>
      </c>
      <c r="B937" s="1" t="s">
        <v>3672</v>
      </c>
      <c r="C937" s="1" t="str">
        <v>Melissa Jackson</v>
      </c>
      <c r="D937" s="1" t="s">
        <v>3673</v>
      </c>
      <c r="E937" s="1" t="str">
        <v>amandaclark@hotmail.com</v>
      </c>
      <c r="F937" t="str">
        <f t="shared" si="184"/>
        <v>Valid</v>
      </c>
      <c r="G937" s="1" t="s">
        <v>109</v>
      </c>
      <c r="H937" s="1" t="str">
        <f t="shared" si="185"/>
        <v>Male</v>
      </c>
      <c r="I937" s="1" t="s">
        <v>44</v>
      </c>
      <c r="J937" t="str">
        <f t="shared" si="186"/>
        <v>CANADA</v>
      </c>
      <c r="K937" s="14">
        <v>0</v>
      </c>
      <c r="L937" s="1">
        <f t="shared" si="187"/>
        <v>19</v>
      </c>
      <c r="M937" s="1" t="str">
        <f t="shared" si="188"/>
        <v>Student</v>
      </c>
      <c r="N937" s="9">
        <v>45199</v>
      </c>
      <c r="O937" s="1" t="s">
        <v>146</v>
      </c>
      <c r="P937" s="1" t="s">
        <v>147</v>
      </c>
      <c r="Q937" s="4">
        <v>0.47</v>
      </c>
      <c r="R937" s="13">
        <f t="shared" si="189"/>
        <v>47</v>
      </c>
      <c r="S937" s="6">
        <f t="shared" si="183"/>
        <v>0.47</v>
      </c>
      <c r="T937" s="1">
        <v>1.5</v>
      </c>
      <c r="U937" s="1">
        <f t="shared" si="190"/>
        <v>1.5</v>
      </c>
      <c r="V937" s="1">
        <f t="shared" si="191"/>
        <v>33.35</v>
      </c>
      <c r="W937" s="10" t="str">
        <f t="shared" si="192"/>
        <v>Low</v>
      </c>
      <c r="X937" s="1" t="s">
        <v>32</v>
      </c>
      <c r="Y937" s="1" t="str">
        <f t="shared" si="193"/>
        <v>Yes</v>
      </c>
      <c r="Z937" s="14">
        <v>5</v>
      </c>
      <c r="AA937" s="18">
        <f t="shared" si="194"/>
        <v>5</v>
      </c>
      <c r="AB937" s="18" t="str">
        <f t="shared" si="195"/>
        <v>High Performer</v>
      </c>
      <c r="AC937" s="9" t="s">
        <v>3674</v>
      </c>
      <c r="AD937">
        <f>IF(AC937="",0,LEN(AC937)-LEN(SUBSTITUTE(AC937,",",""))+1)</f>
        <v>5</v>
      </c>
    </row>
    <row r="938" spans="1:30" ht="12.5" x14ac:dyDescent="0.25">
      <c r="A938" s="1" t="s">
        <v>3675</v>
      </c>
      <c r="B938" s="1" t="s">
        <v>3676</v>
      </c>
      <c r="C938" s="1" t="str">
        <v>Christine Lyons</v>
      </c>
      <c r="D938" s="1" t="s">
        <v>127</v>
      </c>
      <c r="E938" s="1" t="str">
        <v>invalid-email</v>
      </c>
      <c r="F938" t="str">
        <f t="shared" si="184"/>
        <v>Invalid</v>
      </c>
      <c r="G938" s="1" t="s">
        <v>43</v>
      </c>
      <c r="H938" s="1" t="str">
        <f t="shared" si="185"/>
        <v>Female</v>
      </c>
      <c r="I938" s="1" t="s">
        <v>44</v>
      </c>
      <c r="J938" t="str">
        <f t="shared" si="186"/>
        <v>CANADA</v>
      </c>
      <c r="K938" s="14">
        <v>0</v>
      </c>
      <c r="L938" s="1">
        <f t="shared" si="187"/>
        <v>19</v>
      </c>
      <c r="M938" s="1" t="str">
        <f t="shared" si="188"/>
        <v>Student</v>
      </c>
      <c r="N938" s="2">
        <v>45537</v>
      </c>
      <c r="O938" s="1" t="s">
        <v>146</v>
      </c>
      <c r="P938" s="1" t="s">
        <v>147</v>
      </c>
      <c r="Q938" s="4">
        <v>0.49</v>
      </c>
      <c r="R938" s="13">
        <f t="shared" si="189"/>
        <v>49</v>
      </c>
      <c r="S938" s="6">
        <f t="shared" si="183"/>
        <v>0.49</v>
      </c>
      <c r="T938" s="1" t="s">
        <v>21</v>
      </c>
      <c r="U938" s="1">
        <f t="shared" si="190"/>
        <v>1.5</v>
      </c>
      <c r="V938" s="1">
        <f t="shared" si="191"/>
        <v>34.75</v>
      </c>
      <c r="W938" s="10" t="str">
        <f t="shared" si="192"/>
        <v>Low</v>
      </c>
      <c r="X938" s="1" t="s">
        <v>32</v>
      </c>
      <c r="Y938" s="1" t="str">
        <f t="shared" si="193"/>
        <v>Yes</v>
      </c>
      <c r="Z938" s="14">
        <v>3</v>
      </c>
      <c r="AA938" s="18">
        <f t="shared" si="194"/>
        <v>3</v>
      </c>
      <c r="AB938" s="18" t="str">
        <f t="shared" si="195"/>
        <v>No</v>
      </c>
      <c r="AC938" s="9" t="s">
        <v>3677</v>
      </c>
      <c r="AD938">
        <f>IF(AC938="",0,LEN(AC938)-LEN(SUBSTITUTE(AC938,",",""))+1)</f>
        <v>3</v>
      </c>
    </row>
    <row r="939" spans="1:30" ht="12.5" x14ac:dyDescent="0.25">
      <c r="A939" s="1" t="s">
        <v>3678</v>
      </c>
      <c r="B939" s="1" t="s">
        <v>3679</v>
      </c>
      <c r="C939" s="1" t="str">
        <v>Jose Clark</v>
      </c>
      <c r="D939" s="1" t="s">
        <v>3680</v>
      </c>
      <c r="E939" s="1" t="str">
        <v>hgreen@barrett.org</v>
      </c>
      <c r="F939" t="str">
        <f t="shared" si="184"/>
        <v>Valid</v>
      </c>
      <c r="G939" s="1" t="s">
        <v>57</v>
      </c>
      <c r="H939" s="1" t="str">
        <f t="shared" si="185"/>
        <v>Female</v>
      </c>
      <c r="I939" s="1" t="s">
        <v>96</v>
      </c>
      <c r="J939" t="str">
        <f t="shared" si="186"/>
        <v>INDIA</v>
      </c>
      <c r="L939" s="1">
        <f t="shared" si="187"/>
        <v>19</v>
      </c>
      <c r="M939" s="1" t="str">
        <f t="shared" si="188"/>
        <v>Student</v>
      </c>
      <c r="N939" s="9">
        <v>45440</v>
      </c>
      <c r="O939" s="1" t="s">
        <v>30</v>
      </c>
      <c r="P939" s="1" t="s">
        <v>31</v>
      </c>
      <c r="Q939" s="4">
        <v>0.21</v>
      </c>
      <c r="R939" s="13">
        <f t="shared" si="189"/>
        <v>21</v>
      </c>
      <c r="S939" s="6">
        <f t="shared" si="183"/>
        <v>0.21</v>
      </c>
      <c r="T939" s="1" t="s">
        <v>64</v>
      </c>
      <c r="U939" s="1">
        <f t="shared" si="190"/>
        <v>2</v>
      </c>
      <c r="V939" s="1">
        <f t="shared" si="191"/>
        <v>15.299999999999999</v>
      </c>
      <c r="W939" s="10" t="str">
        <f t="shared" si="192"/>
        <v>Low</v>
      </c>
      <c r="X939" s="1" t="s">
        <v>38</v>
      </c>
      <c r="Y939" s="1" t="str">
        <f t="shared" si="193"/>
        <v>No</v>
      </c>
      <c r="Z939" s="14">
        <v>3</v>
      </c>
      <c r="AA939" s="18">
        <f t="shared" si="194"/>
        <v>3</v>
      </c>
      <c r="AB939" s="18" t="str">
        <f t="shared" si="195"/>
        <v>No</v>
      </c>
      <c r="AC939" s="9" t="s">
        <v>3681</v>
      </c>
      <c r="AD939">
        <f>IF(AC939="",0,LEN(AC939)-LEN(SUBSTITUTE(AC939,",",""))+1)</f>
        <v>7</v>
      </c>
    </row>
    <row r="940" spans="1:30" ht="12.5" x14ac:dyDescent="0.25">
      <c r="A940" s="1" t="s">
        <v>3682</v>
      </c>
      <c r="B940" s="1" t="s">
        <v>3683</v>
      </c>
      <c r="C940" s="1" t="str">
        <v>Amanda Haynes</v>
      </c>
      <c r="D940" s="1" t="s">
        <v>3684</v>
      </c>
      <c r="E940" s="1" t="str">
        <v>moorethomas@yahoo.com</v>
      </c>
      <c r="F940" t="str">
        <f t="shared" si="184"/>
        <v>Valid</v>
      </c>
      <c r="G940" s="1" t="s">
        <v>43</v>
      </c>
      <c r="H940" s="1" t="str">
        <f t="shared" si="185"/>
        <v>Female</v>
      </c>
      <c r="I940" s="1" t="s">
        <v>44</v>
      </c>
      <c r="J940" t="str">
        <f t="shared" si="186"/>
        <v>CANADA</v>
      </c>
      <c r="K940" s="14">
        <v>24</v>
      </c>
      <c r="L940" s="1">
        <f t="shared" si="187"/>
        <v>24</v>
      </c>
      <c r="M940" s="1" t="str">
        <f t="shared" si="188"/>
        <v>Early Career</v>
      </c>
      <c r="N940" s="9">
        <v>45159</v>
      </c>
      <c r="O940" s="1" t="s">
        <v>146</v>
      </c>
      <c r="P940" s="1" t="s">
        <v>147</v>
      </c>
      <c r="Q940" s="4">
        <v>0.48</v>
      </c>
      <c r="R940" s="13">
        <f t="shared" si="189"/>
        <v>48</v>
      </c>
      <c r="S940" s="6">
        <f t="shared" si="183"/>
        <v>0.48</v>
      </c>
      <c r="T940" s="1" t="s">
        <v>21</v>
      </c>
      <c r="U940" s="1">
        <f t="shared" si="190"/>
        <v>1.5</v>
      </c>
      <c r="V940" s="1">
        <f t="shared" si="191"/>
        <v>34.049999999999997</v>
      </c>
      <c r="W940" s="10" t="str">
        <f t="shared" si="192"/>
        <v>Low</v>
      </c>
      <c r="X940" s="1">
        <v>1</v>
      </c>
      <c r="Y940" s="1" t="str">
        <f t="shared" si="193"/>
        <v>Yes</v>
      </c>
      <c r="Z940" s="14">
        <v>1</v>
      </c>
      <c r="AA940" s="18">
        <f t="shared" si="194"/>
        <v>1</v>
      </c>
      <c r="AB940" s="18" t="str">
        <f t="shared" si="195"/>
        <v>No</v>
      </c>
      <c r="AC940" s="9" t="s">
        <v>3685</v>
      </c>
      <c r="AD940">
        <f>IF(AC940="",0,LEN(AC940)-LEN(SUBSTITUTE(AC940,",",""))+1)</f>
        <v>8</v>
      </c>
    </row>
    <row r="941" spans="1:30" ht="12.5" x14ac:dyDescent="0.25">
      <c r="A941" s="1" t="s">
        <v>3686</v>
      </c>
      <c r="B941" s="1" t="s">
        <v>3687</v>
      </c>
      <c r="C941" s="1" t="str">
        <v>Christopher Payne</v>
      </c>
      <c r="D941" s="1" t="s">
        <v>3688</v>
      </c>
      <c r="E941" s="1" t="str">
        <v>dlamb@johnston.com</v>
      </c>
      <c r="F941" t="str">
        <f t="shared" si="184"/>
        <v>Valid</v>
      </c>
      <c r="G941" s="1" t="s">
        <v>43</v>
      </c>
      <c r="H941" s="1" t="str">
        <f t="shared" si="185"/>
        <v>Female</v>
      </c>
      <c r="I941" s="1" t="s">
        <v>89</v>
      </c>
      <c r="J941" t="str">
        <f t="shared" si="186"/>
        <v>GERMANY</v>
      </c>
      <c r="K941" s="14">
        <v>0</v>
      </c>
      <c r="L941" s="1">
        <f t="shared" si="187"/>
        <v>19</v>
      </c>
      <c r="M941" s="1" t="str">
        <f t="shared" si="188"/>
        <v>Student</v>
      </c>
      <c r="N941" s="2">
        <v>45839</v>
      </c>
      <c r="O941" s="1" t="s">
        <v>45</v>
      </c>
      <c r="P941" s="1" t="s">
        <v>20</v>
      </c>
      <c r="Q941" s="4">
        <v>0.72</v>
      </c>
      <c r="R941" s="13">
        <f t="shared" si="189"/>
        <v>72</v>
      </c>
      <c r="S941" s="6">
        <f t="shared" si="183"/>
        <v>0.72</v>
      </c>
      <c r="T941" s="1">
        <v>2</v>
      </c>
      <c r="U941" s="1">
        <f t="shared" si="190"/>
        <v>2</v>
      </c>
      <c r="V941" s="1">
        <f t="shared" si="191"/>
        <v>51</v>
      </c>
      <c r="W941" s="10" t="str">
        <f t="shared" si="192"/>
        <v>Medium</v>
      </c>
      <c r="X941" s="1">
        <v>0</v>
      </c>
      <c r="Y941" s="1" t="str">
        <f t="shared" si="193"/>
        <v>No</v>
      </c>
      <c r="AA941" s="18" t="str">
        <f t="shared" si="194"/>
        <v>Invalid</v>
      </c>
      <c r="AB941" s="18" t="str">
        <f t="shared" si="195"/>
        <v>No</v>
      </c>
      <c r="AC941" s="9" t="s">
        <v>3689</v>
      </c>
      <c r="AD941">
        <f>IF(AC941="",0,LEN(AC941)-LEN(SUBSTITUTE(AC941,",",""))+1)</f>
        <v>4</v>
      </c>
    </row>
    <row r="942" spans="1:30" ht="12.5" x14ac:dyDescent="0.25">
      <c r="A942" s="1" t="s">
        <v>3690</v>
      </c>
      <c r="B942" s="1" t="s">
        <v>3691</v>
      </c>
      <c r="C942" s="1" t="str">
        <v>Mr. Andrew Hickman</v>
      </c>
      <c r="D942" s="1" t="s">
        <v>3692</v>
      </c>
      <c r="E942" s="1" t="str">
        <v>fisherkim@morales.com</v>
      </c>
      <c r="F942" t="str">
        <f t="shared" si="184"/>
        <v>Valid</v>
      </c>
      <c r="G942" s="1" t="s">
        <v>95</v>
      </c>
      <c r="H942" s="1" t="str">
        <f t="shared" si="185"/>
        <v>Male</v>
      </c>
      <c r="I942" s="1" t="s">
        <v>136</v>
      </c>
      <c r="J942" t="str">
        <f t="shared" si="186"/>
        <v>UK</v>
      </c>
      <c r="K942" s="14">
        <v>0</v>
      </c>
      <c r="L942" s="1">
        <f t="shared" si="187"/>
        <v>19</v>
      </c>
      <c r="M942" s="1" t="str">
        <f t="shared" si="188"/>
        <v>Student</v>
      </c>
      <c r="N942" s="2">
        <v>45021</v>
      </c>
      <c r="O942" s="1" t="s">
        <v>301</v>
      </c>
      <c r="P942" s="1" t="s">
        <v>20</v>
      </c>
      <c r="Q942" s="4">
        <v>0.68</v>
      </c>
      <c r="R942" s="13">
        <f t="shared" si="189"/>
        <v>68</v>
      </c>
      <c r="S942" s="6">
        <f t="shared" si="183"/>
        <v>0.68</v>
      </c>
      <c r="T942" s="1">
        <v>2</v>
      </c>
      <c r="U942" s="1">
        <f t="shared" si="190"/>
        <v>2</v>
      </c>
      <c r="V942" s="1">
        <f t="shared" si="191"/>
        <v>48.199999999999996</v>
      </c>
      <c r="W942" s="10" t="str">
        <f t="shared" si="192"/>
        <v>Medium</v>
      </c>
      <c r="X942" s="1" t="s">
        <v>32</v>
      </c>
      <c r="Y942" s="1" t="str">
        <f t="shared" si="193"/>
        <v>Yes</v>
      </c>
      <c r="Z942" s="14">
        <v>6</v>
      </c>
      <c r="AA942" s="18">
        <f t="shared" si="194"/>
        <v>6</v>
      </c>
      <c r="AB942" s="18" t="str">
        <f t="shared" si="195"/>
        <v>High Performer</v>
      </c>
      <c r="AC942" s="9" t="s">
        <v>3693</v>
      </c>
      <c r="AD942">
        <f>IF(AC942="",0,LEN(AC942)-LEN(SUBSTITUTE(AC942,",",""))+1)</f>
        <v>2</v>
      </c>
    </row>
    <row r="943" spans="1:30" ht="12.5" x14ac:dyDescent="0.25">
      <c r="A943" s="1" t="s">
        <v>3694</v>
      </c>
      <c r="B943" s="1" t="s">
        <v>3695</v>
      </c>
      <c r="C943" s="1" t="str">
        <v>William Walton</v>
      </c>
      <c r="D943" s="1" t="s">
        <v>3696</v>
      </c>
      <c r="E943" s="1" t="str">
        <v>kristina01@mcguire-thomas.com</v>
      </c>
      <c r="F943" t="str">
        <f t="shared" si="184"/>
        <v>Valid</v>
      </c>
      <c r="G943" s="1" t="s">
        <v>27</v>
      </c>
      <c r="H943" s="1" t="str">
        <f t="shared" si="185"/>
        <v>Male</v>
      </c>
      <c r="I943" s="1" t="s">
        <v>74</v>
      </c>
      <c r="J943" t="str">
        <f t="shared" si="186"/>
        <v>USA</v>
      </c>
      <c r="K943" s="14">
        <v>41</v>
      </c>
      <c r="L943" s="1">
        <f t="shared" si="187"/>
        <v>41</v>
      </c>
      <c r="M943" s="1" t="str">
        <f t="shared" si="188"/>
        <v>Senior</v>
      </c>
      <c r="N943" s="9">
        <v>45585</v>
      </c>
      <c r="O943" s="1" t="s">
        <v>146</v>
      </c>
      <c r="P943" s="1" t="s">
        <v>147</v>
      </c>
      <c r="Q943" s="4">
        <v>0.57999999999999996</v>
      </c>
      <c r="R943" s="13">
        <f t="shared" si="189"/>
        <v>57.999999999999993</v>
      </c>
      <c r="S943" s="6">
        <f t="shared" si="183"/>
        <v>0.57999999999999996</v>
      </c>
      <c r="T943" s="1" t="s">
        <v>21</v>
      </c>
      <c r="U943" s="1">
        <f t="shared" si="190"/>
        <v>1.5</v>
      </c>
      <c r="V943" s="1">
        <f t="shared" si="191"/>
        <v>41.05</v>
      </c>
      <c r="W943" s="10" t="str">
        <f t="shared" si="192"/>
        <v>Medium</v>
      </c>
      <c r="X943" s="1" t="s">
        <v>76</v>
      </c>
      <c r="Y943" s="1" t="str">
        <f t="shared" si="193"/>
        <v>Yes</v>
      </c>
      <c r="Z943" s="14">
        <v>2</v>
      </c>
      <c r="AA943" s="18">
        <f t="shared" si="194"/>
        <v>2</v>
      </c>
      <c r="AB943" s="18" t="str">
        <f t="shared" si="195"/>
        <v>No</v>
      </c>
      <c r="AC943" s="9" t="s">
        <v>659</v>
      </c>
      <c r="AD943">
        <f>IF(AC943="",0,LEN(AC943)-LEN(SUBSTITUTE(AC943,",",""))+1)</f>
        <v>4</v>
      </c>
    </row>
    <row r="944" spans="1:30" ht="12.5" x14ac:dyDescent="0.25">
      <c r="A944" s="1" t="s">
        <v>3697</v>
      </c>
      <c r="B944" s="1" t="s">
        <v>3698</v>
      </c>
      <c r="C944" s="1" t="str">
        <v>Christina Jackson</v>
      </c>
      <c r="D944" s="1" t="s">
        <v>3699</v>
      </c>
      <c r="E944" s="1" t="str">
        <v>lopezmichaela@yahoo.com</v>
      </c>
      <c r="F944" t="str">
        <f t="shared" si="184"/>
        <v>Valid</v>
      </c>
      <c r="G944" s="1" t="s">
        <v>17</v>
      </c>
      <c r="H944" s="1" t="str">
        <f t="shared" si="185"/>
        <v>Female</v>
      </c>
      <c r="I944" s="1" t="s">
        <v>96</v>
      </c>
      <c r="J944" t="str">
        <f t="shared" si="186"/>
        <v>INDIA</v>
      </c>
      <c r="K944" s="14">
        <v>43</v>
      </c>
      <c r="L944" s="1">
        <f t="shared" si="187"/>
        <v>43</v>
      </c>
      <c r="M944" s="1" t="str">
        <f t="shared" si="188"/>
        <v>Senior</v>
      </c>
      <c r="N944" s="9">
        <v>45370</v>
      </c>
      <c r="O944" s="1" t="s">
        <v>146</v>
      </c>
      <c r="P944" s="1" t="s">
        <v>147</v>
      </c>
      <c r="Q944" s="4">
        <v>0.31</v>
      </c>
      <c r="R944" s="13">
        <f t="shared" si="189"/>
        <v>31</v>
      </c>
      <c r="S944" s="6">
        <f t="shared" si="183"/>
        <v>0.31</v>
      </c>
      <c r="T944" s="1">
        <v>1.5</v>
      </c>
      <c r="U944" s="1">
        <f t="shared" si="190"/>
        <v>1.5</v>
      </c>
      <c r="V944" s="1">
        <f t="shared" si="191"/>
        <v>22.15</v>
      </c>
      <c r="W944" s="10" t="str">
        <f t="shared" si="192"/>
        <v>Low</v>
      </c>
      <c r="X944" s="1">
        <v>0</v>
      </c>
      <c r="Y944" s="1" t="str">
        <f t="shared" si="193"/>
        <v>No</v>
      </c>
      <c r="Z944" s="14">
        <v>5</v>
      </c>
      <c r="AA944" s="18">
        <f t="shared" si="194"/>
        <v>5</v>
      </c>
      <c r="AB944" s="18" t="str">
        <f t="shared" si="195"/>
        <v>No</v>
      </c>
      <c r="AC944" s="9" t="s">
        <v>3700</v>
      </c>
      <c r="AD944">
        <f>IF(AC944="",0,LEN(AC944)-LEN(SUBSTITUTE(AC944,",",""))+1)</f>
        <v>5</v>
      </c>
    </row>
    <row r="945" spans="1:30" ht="12.5" x14ac:dyDescent="0.25">
      <c r="A945" s="1" t="s">
        <v>3701</v>
      </c>
      <c r="B945" s="1" t="s">
        <v>3702</v>
      </c>
      <c r="C945" s="1" t="str">
        <v>Patricia Smith</v>
      </c>
      <c r="D945" s="1" t="s">
        <v>3703</v>
      </c>
      <c r="E945" s="1" t="str">
        <v>cory86@lewis.info</v>
      </c>
      <c r="F945" t="str">
        <f t="shared" si="184"/>
        <v>Valid</v>
      </c>
      <c r="G945" s="1" t="s">
        <v>119</v>
      </c>
      <c r="H945" s="1" t="str">
        <f t="shared" si="185"/>
        <v>Female</v>
      </c>
      <c r="I945" s="1" t="s">
        <v>44</v>
      </c>
      <c r="J945" t="str">
        <f t="shared" si="186"/>
        <v>CANADA</v>
      </c>
      <c r="K945" s="14">
        <v>36</v>
      </c>
      <c r="L945" s="1">
        <f t="shared" si="187"/>
        <v>36</v>
      </c>
      <c r="M945" s="1" t="str">
        <f t="shared" si="188"/>
        <v>Mid Career</v>
      </c>
      <c r="N945" s="9">
        <v>44798</v>
      </c>
      <c r="O945" s="1" t="s">
        <v>19</v>
      </c>
      <c r="P945" s="1" t="s">
        <v>20</v>
      </c>
      <c r="Q945" s="4">
        <v>0.6</v>
      </c>
      <c r="R945" s="13">
        <f t="shared" si="189"/>
        <v>60</v>
      </c>
      <c r="S945" s="6">
        <f t="shared" si="183"/>
        <v>0.6</v>
      </c>
      <c r="T945" s="1">
        <v>1.5</v>
      </c>
      <c r="U945" s="1">
        <f t="shared" si="190"/>
        <v>1.5</v>
      </c>
      <c r="V945" s="1">
        <f t="shared" si="191"/>
        <v>42.45</v>
      </c>
      <c r="W945" s="10" t="str">
        <f t="shared" si="192"/>
        <v>Medium</v>
      </c>
      <c r="X945" s="1" t="s">
        <v>76</v>
      </c>
      <c r="Y945" s="1" t="str">
        <f t="shared" si="193"/>
        <v>Yes</v>
      </c>
      <c r="Z945" s="14">
        <v>2</v>
      </c>
      <c r="AA945" s="18">
        <f t="shared" si="194"/>
        <v>2</v>
      </c>
      <c r="AB945" s="18" t="str">
        <f t="shared" si="195"/>
        <v>No</v>
      </c>
      <c r="AC945" s="9" t="s">
        <v>3704</v>
      </c>
      <c r="AD945">
        <f>IF(AC945="",0,LEN(AC945)-LEN(SUBSTITUTE(AC945,",",""))+1)</f>
        <v>8</v>
      </c>
    </row>
    <row r="946" spans="1:30" ht="12.5" x14ac:dyDescent="0.25">
      <c r="A946" s="1" t="s">
        <v>3705</v>
      </c>
      <c r="B946" s="1" t="s">
        <v>3706</v>
      </c>
      <c r="C946" s="1" t="str">
        <v>Phillip Anderson</v>
      </c>
      <c r="D946" s="1" t="s">
        <v>127</v>
      </c>
      <c r="E946" s="1" t="str">
        <v>invalid-email</v>
      </c>
      <c r="F946" t="str">
        <f t="shared" si="184"/>
        <v>Invalid</v>
      </c>
      <c r="G946" s="1" t="s">
        <v>88</v>
      </c>
      <c r="H946" s="1" t="str">
        <f t="shared" si="185"/>
        <v>Male</v>
      </c>
      <c r="I946" s="1" t="s">
        <v>44</v>
      </c>
      <c r="J946" t="str">
        <f t="shared" si="186"/>
        <v>CANADA</v>
      </c>
      <c r="K946" s="14">
        <v>0</v>
      </c>
      <c r="L946" s="1">
        <f t="shared" si="187"/>
        <v>19</v>
      </c>
      <c r="M946" s="1" t="str">
        <f t="shared" si="188"/>
        <v>Student</v>
      </c>
      <c r="N946" s="9">
        <v>45035</v>
      </c>
      <c r="O946" s="1" t="s">
        <v>114</v>
      </c>
      <c r="P946" s="1" t="s">
        <v>59</v>
      </c>
      <c r="Q946" s="4">
        <v>78</v>
      </c>
      <c r="R946" s="13">
        <f t="shared" si="189"/>
        <v>78</v>
      </c>
      <c r="S946" s="6">
        <f t="shared" si="183"/>
        <v>0.78</v>
      </c>
      <c r="T946" s="1">
        <v>45</v>
      </c>
      <c r="U946" s="1">
        <f t="shared" si="190"/>
        <v>45</v>
      </c>
      <c r="V946" s="1">
        <f t="shared" si="191"/>
        <v>68.099999999999994</v>
      </c>
      <c r="W946" s="10" t="str">
        <f t="shared" si="192"/>
        <v>Medium</v>
      </c>
      <c r="X946" s="1">
        <v>1</v>
      </c>
      <c r="Y946" s="1" t="str">
        <f t="shared" si="193"/>
        <v>Yes</v>
      </c>
      <c r="Z946" s="14">
        <v>6</v>
      </c>
      <c r="AA946" s="18">
        <f t="shared" si="194"/>
        <v>6</v>
      </c>
      <c r="AB946" s="18" t="str">
        <f t="shared" si="195"/>
        <v>High Performer</v>
      </c>
      <c r="AC946" s="9" t="s">
        <v>3707</v>
      </c>
      <c r="AD946">
        <f>IF(AC946="",0,LEN(AC946)-LEN(SUBSTITUTE(AC946,",",""))+1)</f>
        <v>4</v>
      </c>
    </row>
    <row r="947" spans="1:30" ht="12.5" x14ac:dyDescent="0.25">
      <c r="A947" s="1" t="s">
        <v>3708</v>
      </c>
      <c r="B947" s="1" t="s">
        <v>3709</v>
      </c>
      <c r="C947" s="1" t="str">
        <v>Jessica Long</v>
      </c>
      <c r="D947" s="1" t="s">
        <v>3710</v>
      </c>
      <c r="E947" s="1" t="str">
        <v>tracy90@blackwell.com</v>
      </c>
      <c r="F947" t="str">
        <f t="shared" si="184"/>
        <v>Valid</v>
      </c>
      <c r="G947" s="1" t="s">
        <v>27</v>
      </c>
      <c r="H947" s="1" t="str">
        <f t="shared" si="185"/>
        <v>Male</v>
      </c>
      <c r="I947" s="1" t="s">
        <v>136</v>
      </c>
      <c r="J947" t="str">
        <f t="shared" si="186"/>
        <v>UK</v>
      </c>
      <c r="K947" s="14">
        <v>21</v>
      </c>
      <c r="L947" s="1">
        <f t="shared" si="187"/>
        <v>21</v>
      </c>
      <c r="M947" s="1" t="str">
        <f t="shared" si="188"/>
        <v>Student</v>
      </c>
      <c r="N947" s="9">
        <v>45166</v>
      </c>
      <c r="O947" s="1" t="s">
        <v>114</v>
      </c>
      <c r="P947" s="1" t="s">
        <v>59</v>
      </c>
      <c r="Q947" s="4">
        <v>0.68</v>
      </c>
      <c r="R947" s="13">
        <f t="shared" si="189"/>
        <v>68</v>
      </c>
      <c r="S947" s="6">
        <f t="shared" si="183"/>
        <v>0.68</v>
      </c>
      <c r="T947" s="1" t="s">
        <v>46</v>
      </c>
      <c r="U947" s="1">
        <f t="shared" si="190"/>
        <v>1</v>
      </c>
      <c r="V947" s="1">
        <f t="shared" si="191"/>
        <v>47.899999999999991</v>
      </c>
      <c r="W947" s="10" t="str">
        <f t="shared" si="192"/>
        <v>Medium</v>
      </c>
      <c r="X947" s="1" t="s">
        <v>32</v>
      </c>
      <c r="Y947" s="1" t="str">
        <f t="shared" si="193"/>
        <v>Yes</v>
      </c>
      <c r="Z947" s="14">
        <v>2</v>
      </c>
      <c r="AA947" s="18">
        <f t="shared" si="194"/>
        <v>2</v>
      </c>
      <c r="AB947" s="18" t="str">
        <f t="shared" si="195"/>
        <v>No</v>
      </c>
      <c r="AC947" s="9" t="s">
        <v>3711</v>
      </c>
      <c r="AD947">
        <f>IF(AC947="",0,LEN(AC947)-LEN(SUBSTITUTE(AC947,",",""))+1)</f>
        <v>5</v>
      </c>
    </row>
    <row r="948" spans="1:30" ht="12.5" x14ac:dyDescent="0.25">
      <c r="A948" s="1" t="s">
        <v>3712</v>
      </c>
      <c r="B948" s="1" t="s">
        <v>3713</v>
      </c>
      <c r="C948" s="1" t="str">
        <v>Kyle Sanders</v>
      </c>
      <c r="D948" s="1" t="s">
        <v>3714</v>
      </c>
      <c r="E948" s="1" t="str">
        <v>devinlopez@turner.com</v>
      </c>
      <c r="F948" t="str">
        <f t="shared" si="184"/>
        <v>Valid</v>
      </c>
      <c r="G948" s="1" t="s">
        <v>119</v>
      </c>
      <c r="H948" s="1" t="str">
        <f t="shared" si="185"/>
        <v>Female</v>
      </c>
      <c r="I948" s="1" t="s">
        <v>156</v>
      </c>
      <c r="J948" t="str">
        <f t="shared" si="186"/>
        <v>IN</v>
      </c>
      <c r="K948" s="14">
        <v>0</v>
      </c>
      <c r="L948" s="1">
        <f t="shared" si="187"/>
        <v>19</v>
      </c>
      <c r="M948" s="1" t="str">
        <f t="shared" si="188"/>
        <v>Student</v>
      </c>
      <c r="N948" s="2">
        <v>44937</v>
      </c>
      <c r="O948" s="1" t="s">
        <v>69</v>
      </c>
      <c r="P948" s="1" t="s">
        <v>31</v>
      </c>
      <c r="Q948" s="4">
        <v>0.97</v>
      </c>
      <c r="R948" s="13">
        <f t="shared" si="189"/>
        <v>97</v>
      </c>
      <c r="S948" s="6">
        <f t="shared" si="183"/>
        <v>0.97</v>
      </c>
      <c r="T948" s="1" t="s">
        <v>21</v>
      </c>
      <c r="U948" s="1">
        <f t="shared" si="190"/>
        <v>1.5</v>
      </c>
      <c r="V948" s="1">
        <f t="shared" si="191"/>
        <v>68.349999999999994</v>
      </c>
      <c r="W948" s="10" t="str">
        <f t="shared" si="192"/>
        <v>Medium</v>
      </c>
      <c r="X948" s="1" t="s">
        <v>22</v>
      </c>
      <c r="Y948" s="1" t="str">
        <f t="shared" si="193"/>
        <v>No</v>
      </c>
      <c r="Z948" s="14">
        <v>4</v>
      </c>
      <c r="AA948" s="18">
        <f t="shared" si="194"/>
        <v>4</v>
      </c>
      <c r="AB948" s="18" t="str">
        <f t="shared" si="195"/>
        <v>No</v>
      </c>
      <c r="AC948" s="9" t="s">
        <v>3715</v>
      </c>
      <c r="AD948">
        <f>IF(AC948="",0,LEN(AC948)-LEN(SUBSTITUTE(AC948,",",""))+1)</f>
        <v>8</v>
      </c>
    </row>
    <row r="949" spans="1:30" ht="12.5" x14ac:dyDescent="0.25">
      <c r="A949" s="1" t="s">
        <v>3716</v>
      </c>
      <c r="B949" s="1" t="s">
        <v>3717</v>
      </c>
      <c r="C949" s="1" t="str">
        <v>James Nicholson</v>
      </c>
      <c r="D949" s="1" t="s">
        <v>3718</v>
      </c>
      <c r="E949" s="1" t="str">
        <v>susan62@sanders.com</v>
      </c>
      <c r="F949" t="str">
        <f t="shared" si="184"/>
        <v>Valid</v>
      </c>
      <c r="G949" s="1" t="s">
        <v>27</v>
      </c>
      <c r="H949" s="1" t="str">
        <f t="shared" si="185"/>
        <v>Male</v>
      </c>
      <c r="I949" s="1" t="s">
        <v>89</v>
      </c>
      <c r="J949" t="str">
        <f t="shared" si="186"/>
        <v>GERMANY</v>
      </c>
      <c r="K949" s="14">
        <v>0</v>
      </c>
      <c r="L949" s="1">
        <f t="shared" si="187"/>
        <v>19</v>
      </c>
      <c r="M949" s="1" t="str">
        <f t="shared" si="188"/>
        <v>Student</v>
      </c>
      <c r="N949" s="9">
        <v>45254</v>
      </c>
      <c r="O949" s="1" t="s">
        <v>235</v>
      </c>
      <c r="P949" s="1" t="s">
        <v>147</v>
      </c>
      <c r="Q949" s="4">
        <v>0.39</v>
      </c>
      <c r="R949" s="13">
        <f t="shared" si="189"/>
        <v>39</v>
      </c>
      <c r="S949" s="6">
        <f t="shared" si="183"/>
        <v>0.39</v>
      </c>
      <c r="T949" s="1" t="s">
        <v>21</v>
      </c>
      <c r="U949" s="1">
        <f t="shared" si="190"/>
        <v>1.5</v>
      </c>
      <c r="V949" s="1">
        <f t="shared" si="191"/>
        <v>27.749999999999996</v>
      </c>
      <c r="W949" s="10" t="str">
        <f t="shared" si="192"/>
        <v>Low</v>
      </c>
      <c r="X949" s="1" t="s">
        <v>22</v>
      </c>
      <c r="Y949" s="1" t="str">
        <f t="shared" si="193"/>
        <v>No</v>
      </c>
      <c r="Z949" s="14">
        <v>3</v>
      </c>
      <c r="AA949" s="18">
        <f t="shared" si="194"/>
        <v>3</v>
      </c>
      <c r="AB949" s="18" t="str">
        <f t="shared" si="195"/>
        <v>No</v>
      </c>
      <c r="AC949" s="9" t="s">
        <v>3719</v>
      </c>
      <c r="AD949">
        <f>IF(AC949="",0,LEN(AC949)-LEN(SUBSTITUTE(AC949,",",""))+1)</f>
        <v>4</v>
      </c>
    </row>
    <row r="950" spans="1:30" ht="12.5" x14ac:dyDescent="0.25">
      <c r="A950" s="1" t="s">
        <v>3720</v>
      </c>
      <c r="B950" s="1" t="s">
        <v>3721</v>
      </c>
      <c r="C950" s="1" t="str">
        <v>Mary Sullivan</v>
      </c>
      <c r="D950" s="1" t="s">
        <v>3722</v>
      </c>
      <c r="E950" s="1" t="str">
        <v>luisandrews@parks-smith.biz</v>
      </c>
      <c r="F950" t="str">
        <f t="shared" si="184"/>
        <v>Valid</v>
      </c>
      <c r="G950" s="1" t="s">
        <v>88</v>
      </c>
      <c r="H950" s="1" t="str">
        <f t="shared" si="185"/>
        <v>Male</v>
      </c>
      <c r="I950" s="1" t="s">
        <v>44</v>
      </c>
      <c r="J950" t="str">
        <f t="shared" si="186"/>
        <v>CANADA</v>
      </c>
      <c r="L950" s="1">
        <f t="shared" si="187"/>
        <v>19</v>
      </c>
      <c r="M950" s="1" t="str">
        <f t="shared" si="188"/>
        <v>Student</v>
      </c>
      <c r="N950" s="9">
        <v>45380</v>
      </c>
      <c r="O950" s="1" t="s">
        <v>170</v>
      </c>
      <c r="P950" s="1" t="s">
        <v>147</v>
      </c>
      <c r="Q950" s="4">
        <v>0.2</v>
      </c>
      <c r="R950" s="13">
        <f t="shared" si="189"/>
        <v>20</v>
      </c>
      <c r="S950" s="6">
        <f t="shared" si="183"/>
        <v>0.2</v>
      </c>
      <c r="T950" s="1" t="s">
        <v>21</v>
      </c>
      <c r="U950" s="1">
        <f t="shared" si="190"/>
        <v>1.5</v>
      </c>
      <c r="V950" s="1">
        <f t="shared" si="191"/>
        <v>14.45</v>
      </c>
      <c r="W950" s="10" t="str">
        <f t="shared" si="192"/>
        <v>Low</v>
      </c>
      <c r="X950" s="1" t="s">
        <v>32</v>
      </c>
      <c r="Y950" s="1" t="str">
        <f t="shared" si="193"/>
        <v>Yes</v>
      </c>
      <c r="Z950" s="14">
        <v>3</v>
      </c>
      <c r="AA950" s="18">
        <f t="shared" si="194"/>
        <v>3</v>
      </c>
      <c r="AB950" s="18" t="str">
        <f t="shared" si="195"/>
        <v>No</v>
      </c>
      <c r="AC950" s="9" t="s">
        <v>3723</v>
      </c>
      <c r="AD950">
        <f>IF(AC950="",0,LEN(AC950)-LEN(SUBSTITUTE(AC950,",",""))+1)</f>
        <v>3</v>
      </c>
    </row>
    <row r="951" spans="1:30" ht="12.5" x14ac:dyDescent="0.25">
      <c r="A951" s="1" t="s">
        <v>3724</v>
      </c>
      <c r="B951" s="1" t="s">
        <v>3725</v>
      </c>
      <c r="C951" s="1" t="str">
        <v>Mark Munoz</v>
      </c>
      <c r="D951" s="1" t="s">
        <v>3726</v>
      </c>
      <c r="E951" s="1" t="str">
        <v>kimberly58@yahoo.com</v>
      </c>
      <c r="F951" t="str">
        <f t="shared" si="184"/>
        <v>Valid</v>
      </c>
      <c r="G951" s="1" t="s">
        <v>88</v>
      </c>
      <c r="H951" s="1" t="str">
        <f t="shared" si="185"/>
        <v>Male</v>
      </c>
      <c r="I951" s="1" t="s">
        <v>18</v>
      </c>
      <c r="J951" t="str">
        <f t="shared" si="186"/>
        <v>US</v>
      </c>
      <c r="L951" s="1">
        <f t="shared" si="187"/>
        <v>19</v>
      </c>
      <c r="M951" s="1" t="str">
        <f t="shared" si="188"/>
        <v>Student</v>
      </c>
      <c r="N951" s="9">
        <v>45314</v>
      </c>
      <c r="O951" s="1" t="s">
        <v>36</v>
      </c>
      <c r="P951" s="1" t="s">
        <v>37</v>
      </c>
      <c r="Q951" s="4">
        <v>95</v>
      </c>
      <c r="R951" s="13">
        <f t="shared" si="189"/>
        <v>95</v>
      </c>
      <c r="S951" s="6">
        <f t="shared" si="183"/>
        <v>0.95</v>
      </c>
      <c r="T951" s="1">
        <v>2</v>
      </c>
      <c r="U951" s="1">
        <f t="shared" si="190"/>
        <v>2</v>
      </c>
      <c r="V951" s="1">
        <f t="shared" si="191"/>
        <v>67.099999999999994</v>
      </c>
      <c r="W951" s="10" t="str">
        <f t="shared" si="192"/>
        <v>Medium</v>
      </c>
      <c r="X951" s="1" t="s">
        <v>38</v>
      </c>
      <c r="Y951" s="1" t="str">
        <f t="shared" si="193"/>
        <v>No</v>
      </c>
      <c r="Z951" s="14">
        <v>3</v>
      </c>
      <c r="AA951" s="18">
        <f t="shared" si="194"/>
        <v>3</v>
      </c>
      <c r="AB951" s="18" t="str">
        <f t="shared" si="195"/>
        <v>No</v>
      </c>
      <c r="AC951" s="9" t="s">
        <v>3727</v>
      </c>
      <c r="AD951">
        <f>IF(AC951="",0,LEN(AC951)-LEN(SUBSTITUTE(AC951,",",""))+1)</f>
        <v>5</v>
      </c>
    </row>
    <row r="952" spans="1:30" ht="12.5" x14ac:dyDescent="0.25">
      <c r="A952" s="1" t="s">
        <v>3728</v>
      </c>
      <c r="B952" s="1" t="s">
        <v>3729</v>
      </c>
      <c r="C952" s="1" t="str">
        <v>Janet Leonard</v>
      </c>
      <c r="D952" s="1" t="s">
        <v>3730</v>
      </c>
      <c r="E952" s="1" t="str">
        <v>rogerssarah@scott.info</v>
      </c>
      <c r="F952" t="str">
        <f t="shared" si="184"/>
        <v>Valid</v>
      </c>
      <c r="G952" s="1" t="s">
        <v>27</v>
      </c>
      <c r="H952" s="1" t="str">
        <f t="shared" si="185"/>
        <v>Male</v>
      </c>
      <c r="I952" s="1" t="s">
        <v>44</v>
      </c>
      <c r="J952" t="str">
        <f t="shared" si="186"/>
        <v>CANADA</v>
      </c>
      <c r="L952" s="1">
        <f t="shared" si="187"/>
        <v>19</v>
      </c>
      <c r="M952" s="1" t="str">
        <f t="shared" si="188"/>
        <v>Student</v>
      </c>
      <c r="N952" s="9">
        <v>44831</v>
      </c>
      <c r="O952" s="1" t="s">
        <v>75</v>
      </c>
      <c r="P952" s="1" t="s">
        <v>37</v>
      </c>
      <c r="Q952" s="4">
        <v>2</v>
      </c>
      <c r="R952" s="13">
        <f t="shared" si="189"/>
        <v>2</v>
      </c>
      <c r="S952" s="6">
        <f t="shared" si="183"/>
        <v>0.02</v>
      </c>
      <c r="T952" s="1" t="s">
        <v>64</v>
      </c>
      <c r="U952" s="1">
        <f t="shared" si="190"/>
        <v>2</v>
      </c>
      <c r="V952" s="1">
        <f t="shared" si="191"/>
        <v>2</v>
      </c>
      <c r="W952" s="10" t="str">
        <f t="shared" si="192"/>
        <v>Low</v>
      </c>
      <c r="X952" s="1" t="s">
        <v>38</v>
      </c>
      <c r="Y952" s="1" t="str">
        <f t="shared" si="193"/>
        <v>No</v>
      </c>
      <c r="Z952" s="14">
        <v>6</v>
      </c>
      <c r="AA952" s="18">
        <f t="shared" si="194"/>
        <v>6</v>
      </c>
      <c r="AB952" s="18" t="str">
        <f t="shared" si="195"/>
        <v>No</v>
      </c>
      <c r="AC952" s="9" t="s">
        <v>3731</v>
      </c>
      <c r="AD952">
        <f>IF(AC952="",0,LEN(AC952)-LEN(SUBSTITUTE(AC952,",",""))+1)</f>
        <v>3</v>
      </c>
    </row>
    <row r="953" spans="1:30" ht="12.5" x14ac:dyDescent="0.25">
      <c r="A953" s="1" t="s">
        <v>3732</v>
      </c>
      <c r="B953" s="1" t="s">
        <v>3733</v>
      </c>
      <c r="C953" s="1" t="str">
        <v>John Richardson</v>
      </c>
      <c r="D953" s="1" t="s">
        <v>3734</v>
      </c>
      <c r="E953" s="1" t="str">
        <v>ronald40@hotmail.com</v>
      </c>
      <c r="F953" t="str">
        <f t="shared" si="184"/>
        <v>Valid</v>
      </c>
      <c r="G953" s="1" t="s">
        <v>109</v>
      </c>
      <c r="H953" s="1" t="str">
        <f t="shared" si="185"/>
        <v>Male</v>
      </c>
      <c r="I953" s="1" t="s">
        <v>156</v>
      </c>
      <c r="J953" t="str">
        <f t="shared" si="186"/>
        <v>IN</v>
      </c>
      <c r="L953" s="1">
        <f t="shared" si="187"/>
        <v>19</v>
      </c>
      <c r="M953" s="1" t="str">
        <f t="shared" si="188"/>
        <v>Student</v>
      </c>
      <c r="N953" s="2">
        <v>45598</v>
      </c>
      <c r="O953" s="1" t="s">
        <v>58</v>
      </c>
      <c r="P953" s="1" t="s">
        <v>59</v>
      </c>
      <c r="Q953" s="4">
        <v>0.56000000000000005</v>
      </c>
      <c r="R953" s="13">
        <f t="shared" si="189"/>
        <v>56.000000000000007</v>
      </c>
      <c r="S953" s="6">
        <f t="shared" si="183"/>
        <v>0.56000000000000005</v>
      </c>
      <c r="T953" s="1" t="s">
        <v>21</v>
      </c>
      <c r="U953" s="1">
        <f t="shared" si="190"/>
        <v>1.5</v>
      </c>
      <c r="V953" s="1">
        <f t="shared" si="191"/>
        <v>39.650000000000006</v>
      </c>
      <c r="W953" s="10" t="str">
        <f t="shared" si="192"/>
        <v>Low</v>
      </c>
      <c r="X953" s="1">
        <v>1</v>
      </c>
      <c r="Y953" s="1" t="str">
        <f t="shared" si="193"/>
        <v>Yes</v>
      </c>
      <c r="Z953" s="14">
        <v>6</v>
      </c>
      <c r="AA953" s="18">
        <f t="shared" si="194"/>
        <v>6</v>
      </c>
      <c r="AB953" s="18" t="str">
        <f t="shared" si="195"/>
        <v>High Performer</v>
      </c>
      <c r="AC953" s="9" t="s">
        <v>3735</v>
      </c>
      <c r="AD953">
        <f>IF(AC953="",0,LEN(AC953)-LEN(SUBSTITUTE(AC953,",",""))+1)</f>
        <v>4</v>
      </c>
    </row>
    <row r="954" spans="1:30" ht="12.5" x14ac:dyDescent="0.25">
      <c r="A954" s="1" t="s">
        <v>3736</v>
      </c>
      <c r="B954" s="1" t="s">
        <v>3737</v>
      </c>
      <c r="C954" s="1" t="str">
        <v>Frederick Fields</v>
      </c>
      <c r="D954" s="1" t="s">
        <v>3738</v>
      </c>
      <c r="E954" s="1" t="str">
        <v>jessica86@thompson.com</v>
      </c>
      <c r="F954" t="str">
        <f t="shared" si="184"/>
        <v>Valid</v>
      </c>
      <c r="G954" s="1" t="s">
        <v>88</v>
      </c>
      <c r="H954" s="1" t="str">
        <f t="shared" si="185"/>
        <v>Male</v>
      </c>
      <c r="I954" s="1" t="s">
        <v>28</v>
      </c>
      <c r="J954" t="str">
        <f t="shared" si="186"/>
        <v>INDIA</v>
      </c>
      <c r="K954" s="14">
        <v>21</v>
      </c>
      <c r="L954" s="1">
        <f t="shared" si="187"/>
        <v>21</v>
      </c>
      <c r="M954" s="1" t="str">
        <f t="shared" si="188"/>
        <v>Student</v>
      </c>
      <c r="N954" s="9">
        <v>45073</v>
      </c>
      <c r="O954" s="1" t="s">
        <v>158</v>
      </c>
      <c r="P954" s="1" t="s">
        <v>59</v>
      </c>
      <c r="Q954" s="4">
        <v>90</v>
      </c>
      <c r="R954" s="13">
        <f t="shared" si="189"/>
        <v>90</v>
      </c>
      <c r="S954" s="6">
        <f t="shared" si="183"/>
        <v>0.9</v>
      </c>
      <c r="T954" s="1" t="s">
        <v>46</v>
      </c>
      <c r="U954" s="1">
        <f t="shared" si="190"/>
        <v>1</v>
      </c>
      <c r="V954" s="1">
        <f t="shared" si="191"/>
        <v>63.29999999999999</v>
      </c>
      <c r="W954" s="10" t="str">
        <f t="shared" si="192"/>
        <v>Medium</v>
      </c>
      <c r="X954" s="1" t="s">
        <v>32</v>
      </c>
      <c r="Y954" s="1" t="str">
        <f t="shared" si="193"/>
        <v>Yes</v>
      </c>
      <c r="Z954" s="14">
        <v>4</v>
      </c>
      <c r="AA954" s="18">
        <f t="shared" si="194"/>
        <v>4</v>
      </c>
      <c r="AB954" s="18" t="str">
        <f t="shared" si="195"/>
        <v>High Performer</v>
      </c>
      <c r="AC954" s="9" t="s">
        <v>2999</v>
      </c>
      <c r="AD954">
        <f>IF(AC954="",0,LEN(AC954)-LEN(SUBSTITUTE(AC954,",",""))+1)</f>
        <v>7</v>
      </c>
    </row>
    <row r="955" spans="1:30" ht="12.5" x14ac:dyDescent="0.25">
      <c r="A955" s="1" t="s">
        <v>3739</v>
      </c>
      <c r="B955" s="1" t="s">
        <v>3740</v>
      </c>
      <c r="C955" s="1" t="str">
        <v>Donald Bonilla</v>
      </c>
      <c r="D955" s="1" t="s">
        <v>3741</v>
      </c>
      <c r="E955" s="1" t="str">
        <v>uwilliams@johnson-lynch.com</v>
      </c>
      <c r="F955" t="str">
        <f t="shared" si="184"/>
        <v>Valid</v>
      </c>
      <c r="G955" s="1" t="s">
        <v>88</v>
      </c>
      <c r="H955" s="1" t="str">
        <f t="shared" si="185"/>
        <v>Male</v>
      </c>
      <c r="I955" s="1" t="s">
        <v>51</v>
      </c>
      <c r="J955" t="str">
        <f t="shared" si="186"/>
        <v>UK</v>
      </c>
      <c r="K955" s="14">
        <v>45</v>
      </c>
      <c r="L955" s="1">
        <f t="shared" si="187"/>
        <v>45</v>
      </c>
      <c r="M955" s="1" t="str">
        <f t="shared" si="188"/>
        <v>Senior</v>
      </c>
      <c r="N955" s="9">
        <v>44853</v>
      </c>
      <c r="O955" s="1" t="s">
        <v>69</v>
      </c>
      <c r="P955" s="1" t="s">
        <v>31</v>
      </c>
      <c r="Q955" s="4">
        <v>0.17</v>
      </c>
      <c r="R955" s="13">
        <f t="shared" si="189"/>
        <v>17</v>
      </c>
      <c r="S955" s="6">
        <f t="shared" si="183"/>
        <v>0.17</v>
      </c>
      <c r="T955" s="1">
        <v>2</v>
      </c>
      <c r="U955" s="1">
        <f t="shared" si="190"/>
        <v>2</v>
      </c>
      <c r="V955" s="1">
        <f t="shared" si="191"/>
        <v>12.499999999999998</v>
      </c>
      <c r="W955" s="10" t="str">
        <f t="shared" si="192"/>
        <v>Low</v>
      </c>
      <c r="X955" s="1">
        <v>1</v>
      </c>
      <c r="Y955" s="1" t="str">
        <f t="shared" si="193"/>
        <v>Yes</v>
      </c>
      <c r="AA955" s="18" t="str">
        <f t="shared" si="194"/>
        <v>Invalid</v>
      </c>
      <c r="AB955" s="18" t="str">
        <f t="shared" si="195"/>
        <v>High Performer</v>
      </c>
      <c r="AC955" s="9" t="s">
        <v>3742</v>
      </c>
      <c r="AD955">
        <f>IF(AC955="",0,LEN(AC955)-LEN(SUBSTITUTE(AC955,",",""))+1)</f>
        <v>8</v>
      </c>
    </row>
    <row r="956" spans="1:30" ht="12.5" x14ac:dyDescent="0.25">
      <c r="A956" s="1" t="s">
        <v>3743</v>
      </c>
      <c r="B956" s="1" t="s">
        <v>3744</v>
      </c>
      <c r="C956" s="1" t="str">
        <v>Mark Turner</v>
      </c>
      <c r="D956" s="1" t="s">
        <v>3745</v>
      </c>
      <c r="E956" s="1" t="str">
        <v>whitejulie@hotmail.com</v>
      </c>
      <c r="F956" t="str">
        <f t="shared" si="184"/>
        <v>Valid</v>
      </c>
      <c r="G956" s="1" t="s">
        <v>27</v>
      </c>
      <c r="H956" s="1" t="str">
        <f t="shared" si="185"/>
        <v>Male</v>
      </c>
      <c r="I956" s="1" t="s">
        <v>28</v>
      </c>
      <c r="J956" t="str">
        <f t="shared" si="186"/>
        <v>INDIA</v>
      </c>
      <c r="K956" s="14">
        <v>22</v>
      </c>
      <c r="L956" s="1">
        <f t="shared" si="187"/>
        <v>22</v>
      </c>
      <c r="M956" s="1" t="str">
        <f t="shared" si="188"/>
        <v>Early Career</v>
      </c>
      <c r="N956" s="9">
        <v>45251</v>
      </c>
      <c r="O956" s="1" t="s">
        <v>146</v>
      </c>
      <c r="P956" s="1" t="s">
        <v>147</v>
      </c>
      <c r="Q956" s="4">
        <v>0.73</v>
      </c>
      <c r="R956" s="13">
        <f t="shared" si="189"/>
        <v>73</v>
      </c>
      <c r="S956" s="6">
        <f t="shared" si="183"/>
        <v>0.73</v>
      </c>
      <c r="T956" s="1" t="s">
        <v>64</v>
      </c>
      <c r="U956" s="1">
        <f t="shared" si="190"/>
        <v>2</v>
      </c>
      <c r="V956" s="1">
        <f t="shared" si="191"/>
        <v>51.699999999999996</v>
      </c>
      <c r="W956" s="10" t="str">
        <f t="shared" si="192"/>
        <v>Medium</v>
      </c>
      <c r="X956" s="1">
        <v>0</v>
      </c>
      <c r="Y956" s="1" t="str">
        <f t="shared" si="193"/>
        <v>No</v>
      </c>
      <c r="Z956" s="14">
        <v>5</v>
      </c>
      <c r="AA956" s="18">
        <f t="shared" si="194"/>
        <v>5</v>
      </c>
      <c r="AB956" s="18" t="str">
        <f t="shared" si="195"/>
        <v>No</v>
      </c>
      <c r="AC956" s="9" t="s">
        <v>3746</v>
      </c>
      <c r="AD956">
        <f>IF(AC956="",0,LEN(AC956)-LEN(SUBSTITUTE(AC956,",",""))+1)</f>
        <v>2</v>
      </c>
    </row>
    <row r="957" spans="1:30" ht="12.5" x14ac:dyDescent="0.25">
      <c r="A957" s="1" t="s">
        <v>3747</v>
      </c>
      <c r="B957" s="1" t="s">
        <v>3748</v>
      </c>
      <c r="C957" s="1" t="str">
        <v>Traci Leon</v>
      </c>
      <c r="D957" s="1" t="s">
        <v>3749</v>
      </c>
      <c r="E957" s="1" t="str">
        <v>christina83@hotmail.com</v>
      </c>
      <c r="F957" t="str">
        <f t="shared" si="184"/>
        <v>Valid</v>
      </c>
      <c r="G957" s="1" t="s">
        <v>57</v>
      </c>
      <c r="H957" s="1" t="str">
        <f t="shared" si="185"/>
        <v>Female</v>
      </c>
      <c r="I957" s="1" t="s">
        <v>89</v>
      </c>
      <c r="J957" t="str">
        <f t="shared" si="186"/>
        <v>GERMANY</v>
      </c>
      <c r="K957" s="14">
        <v>0</v>
      </c>
      <c r="L957" s="1">
        <f t="shared" si="187"/>
        <v>19</v>
      </c>
      <c r="M957" s="1" t="str">
        <f t="shared" si="188"/>
        <v>Student</v>
      </c>
      <c r="N957" s="9">
        <v>45672</v>
      </c>
      <c r="O957" s="1" t="s">
        <v>52</v>
      </c>
      <c r="P957" s="1" t="s">
        <v>37</v>
      </c>
      <c r="Q957" s="4">
        <v>23</v>
      </c>
      <c r="R957" s="13">
        <f t="shared" si="189"/>
        <v>23</v>
      </c>
      <c r="S957" s="6">
        <f t="shared" si="183"/>
        <v>0.23</v>
      </c>
      <c r="T957" s="1" t="s">
        <v>46</v>
      </c>
      <c r="U957" s="1">
        <f t="shared" si="190"/>
        <v>1</v>
      </c>
      <c r="V957" s="1">
        <f t="shared" si="191"/>
        <v>16.399999999999999</v>
      </c>
      <c r="W957" s="10" t="str">
        <f t="shared" si="192"/>
        <v>Low</v>
      </c>
      <c r="X957" s="1">
        <v>1</v>
      </c>
      <c r="Y957" s="1" t="str">
        <f t="shared" si="193"/>
        <v>Yes</v>
      </c>
      <c r="Z957" s="14">
        <v>3</v>
      </c>
      <c r="AA957" s="18">
        <f t="shared" si="194"/>
        <v>3</v>
      </c>
      <c r="AB957" s="18" t="str">
        <f t="shared" si="195"/>
        <v>No</v>
      </c>
      <c r="AC957" s="9" t="s">
        <v>3750</v>
      </c>
      <c r="AD957">
        <f>IF(AC957="",0,LEN(AC957)-LEN(SUBSTITUTE(AC957,",",""))+1)</f>
        <v>8</v>
      </c>
    </row>
    <row r="958" spans="1:30" ht="12.5" x14ac:dyDescent="0.25">
      <c r="A958" s="1" t="s">
        <v>3751</v>
      </c>
      <c r="B958" s="1" t="s">
        <v>3752</v>
      </c>
      <c r="C958" s="1" t="str">
        <v>Jessica Burgess</v>
      </c>
      <c r="D958" s="1" t="s">
        <v>127</v>
      </c>
      <c r="E958" s="1" t="str">
        <v>invalid-email</v>
      </c>
      <c r="F958" t="str">
        <f t="shared" si="184"/>
        <v>Invalid</v>
      </c>
      <c r="G958" s="1" t="s">
        <v>95</v>
      </c>
      <c r="H958" s="1" t="str">
        <f t="shared" si="185"/>
        <v>Male</v>
      </c>
      <c r="I958" s="1" t="s">
        <v>96</v>
      </c>
      <c r="J958" t="str">
        <f t="shared" si="186"/>
        <v>INDIA</v>
      </c>
      <c r="K958" s="14">
        <v>29</v>
      </c>
      <c r="L958" s="1">
        <f t="shared" si="187"/>
        <v>29</v>
      </c>
      <c r="M958" s="1" t="str">
        <f t="shared" si="188"/>
        <v>Early Career</v>
      </c>
      <c r="N958" s="9">
        <v>44733</v>
      </c>
      <c r="O958" s="1" t="s">
        <v>19</v>
      </c>
      <c r="P958" s="1" t="s">
        <v>20</v>
      </c>
      <c r="Q958" s="4">
        <v>0.5</v>
      </c>
      <c r="R958" s="13">
        <f t="shared" si="189"/>
        <v>50</v>
      </c>
      <c r="S958" s="6">
        <f t="shared" si="183"/>
        <v>0.5</v>
      </c>
      <c r="T958" s="1" t="s">
        <v>46</v>
      </c>
      <c r="U958" s="1">
        <f t="shared" si="190"/>
        <v>1</v>
      </c>
      <c r="V958" s="1">
        <f t="shared" si="191"/>
        <v>35.299999999999997</v>
      </c>
      <c r="W958" s="10" t="str">
        <f t="shared" si="192"/>
        <v>Low</v>
      </c>
      <c r="X958" s="1" t="s">
        <v>76</v>
      </c>
      <c r="Y958" s="1" t="str">
        <f t="shared" si="193"/>
        <v>Yes</v>
      </c>
      <c r="Z958" s="14">
        <v>6</v>
      </c>
      <c r="AA958" s="18">
        <f t="shared" si="194"/>
        <v>6</v>
      </c>
      <c r="AB958" s="18" t="str">
        <f t="shared" si="195"/>
        <v>High Performer</v>
      </c>
      <c r="AC958" s="9" t="s">
        <v>3753</v>
      </c>
      <c r="AD958">
        <f>IF(AC958="",0,LEN(AC958)-LEN(SUBSTITUTE(AC958,",",""))+1)</f>
        <v>2</v>
      </c>
    </row>
    <row r="959" spans="1:30" ht="12.5" x14ac:dyDescent="0.25">
      <c r="A959" s="1" t="s">
        <v>3754</v>
      </c>
      <c r="B959" s="1" t="s">
        <v>3755</v>
      </c>
      <c r="C959" s="1" t="str">
        <v>Susan Gregory</v>
      </c>
      <c r="D959" s="1" t="s">
        <v>3756</v>
      </c>
      <c r="E959" s="1" t="str">
        <v>russellandrew@yahoo.com</v>
      </c>
      <c r="F959" t="str">
        <f t="shared" si="184"/>
        <v>Valid</v>
      </c>
      <c r="G959" s="1" t="s">
        <v>17</v>
      </c>
      <c r="H959" s="1" t="str">
        <f t="shared" si="185"/>
        <v>Female</v>
      </c>
      <c r="I959" s="1" t="s">
        <v>96</v>
      </c>
      <c r="J959" t="str">
        <f t="shared" si="186"/>
        <v>INDIA</v>
      </c>
      <c r="K959" s="14">
        <v>0</v>
      </c>
      <c r="L959" s="1">
        <f t="shared" si="187"/>
        <v>19</v>
      </c>
      <c r="M959" s="1" t="str">
        <f t="shared" si="188"/>
        <v>Student</v>
      </c>
      <c r="N959" s="9">
        <v>44946</v>
      </c>
      <c r="O959" s="1" t="s">
        <v>69</v>
      </c>
      <c r="P959" s="1" t="s">
        <v>31</v>
      </c>
      <c r="Q959" s="4">
        <v>0.81</v>
      </c>
      <c r="R959" s="13">
        <f t="shared" si="189"/>
        <v>81</v>
      </c>
      <c r="S959" s="6">
        <f t="shared" si="183"/>
        <v>0.81</v>
      </c>
      <c r="T959" s="1">
        <v>2</v>
      </c>
      <c r="U959" s="1">
        <f t="shared" si="190"/>
        <v>2</v>
      </c>
      <c r="V959" s="1">
        <f t="shared" si="191"/>
        <v>57.3</v>
      </c>
      <c r="W959" s="10" t="str">
        <f t="shared" si="192"/>
        <v>Medium</v>
      </c>
      <c r="X959" s="1" t="s">
        <v>76</v>
      </c>
      <c r="Y959" s="1" t="str">
        <f t="shared" si="193"/>
        <v>Yes</v>
      </c>
      <c r="Z959" s="14">
        <v>1</v>
      </c>
      <c r="AA959" s="18">
        <f t="shared" si="194"/>
        <v>1</v>
      </c>
      <c r="AB959" s="18" t="str">
        <f t="shared" si="195"/>
        <v>No</v>
      </c>
      <c r="AC959" s="9" t="s">
        <v>3757</v>
      </c>
      <c r="AD959">
        <f>IF(AC959="",0,LEN(AC959)-LEN(SUBSTITUTE(AC959,",",""))+1)</f>
        <v>8</v>
      </c>
    </row>
    <row r="960" spans="1:30" ht="12.5" x14ac:dyDescent="0.25">
      <c r="A960" s="1" t="s">
        <v>3758</v>
      </c>
      <c r="B960" s="1" t="s">
        <v>3759</v>
      </c>
      <c r="C960" s="1" t="str">
        <v>Vanessa Flores</v>
      </c>
      <c r="D960" s="1" t="s">
        <v>3760</v>
      </c>
      <c r="E960" s="1" t="str">
        <v>andrewnguyen@carr.org</v>
      </c>
      <c r="F960" t="str">
        <f t="shared" si="184"/>
        <v>Valid</v>
      </c>
      <c r="G960" s="1" t="s">
        <v>109</v>
      </c>
      <c r="H960" s="1" t="str">
        <f t="shared" si="185"/>
        <v>Male</v>
      </c>
      <c r="I960" s="1" t="s">
        <v>156</v>
      </c>
      <c r="J960" t="str">
        <f t="shared" si="186"/>
        <v>IN</v>
      </c>
      <c r="K960" s="14">
        <v>20</v>
      </c>
      <c r="L960" s="1">
        <f t="shared" si="187"/>
        <v>20</v>
      </c>
      <c r="M960" s="1" t="str">
        <f t="shared" si="188"/>
        <v>Student</v>
      </c>
      <c r="N960" s="9">
        <v>45678</v>
      </c>
      <c r="O960" s="1" t="s">
        <v>69</v>
      </c>
      <c r="P960" s="1" t="s">
        <v>31</v>
      </c>
      <c r="Q960" s="4">
        <v>55</v>
      </c>
      <c r="R960" s="13">
        <f t="shared" si="189"/>
        <v>55</v>
      </c>
      <c r="S960" s="6">
        <f t="shared" si="183"/>
        <v>0.55000000000000004</v>
      </c>
      <c r="T960" s="1">
        <v>1.5</v>
      </c>
      <c r="U960" s="1">
        <f t="shared" si="190"/>
        <v>1.5</v>
      </c>
      <c r="V960" s="1">
        <f t="shared" si="191"/>
        <v>38.950000000000003</v>
      </c>
      <c r="W960" s="10" t="str">
        <f t="shared" si="192"/>
        <v>Low</v>
      </c>
      <c r="X960" s="1" t="s">
        <v>32</v>
      </c>
      <c r="Y960" s="1" t="str">
        <f t="shared" si="193"/>
        <v>Yes</v>
      </c>
      <c r="Z960" s="14">
        <v>6</v>
      </c>
      <c r="AA960" s="18">
        <f t="shared" si="194"/>
        <v>6</v>
      </c>
      <c r="AB960" s="18" t="str">
        <f t="shared" si="195"/>
        <v>High Performer</v>
      </c>
      <c r="AC960" s="9" t="s">
        <v>3761</v>
      </c>
      <c r="AD960">
        <f>IF(AC960="",0,LEN(AC960)-LEN(SUBSTITUTE(AC960,",",""))+1)</f>
        <v>4</v>
      </c>
    </row>
    <row r="961" spans="1:30" ht="12.5" x14ac:dyDescent="0.25">
      <c r="A961" s="1" t="s">
        <v>3762</v>
      </c>
      <c r="B961" s="1" t="s">
        <v>3763</v>
      </c>
      <c r="C961" s="1" t="str">
        <v>James Spears</v>
      </c>
      <c r="D961" s="1" t="s">
        <v>3764</v>
      </c>
      <c r="E961" s="1" t="str">
        <v>matthew57@murray.info</v>
      </c>
      <c r="F961" t="str">
        <f t="shared" si="184"/>
        <v>Valid</v>
      </c>
      <c r="G961" s="1" t="s">
        <v>95</v>
      </c>
      <c r="H961" s="1" t="str">
        <f t="shared" si="185"/>
        <v>Male</v>
      </c>
      <c r="I961" s="1" t="s">
        <v>89</v>
      </c>
      <c r="J961" t="str">
        <f t="shared" si="186"/>
        <v>GERMANY</v>
      </c>
      <c r="L961" s="1">
        <f t="shared" si="187"/>
        <v>19</v>
      </c>
      <c r="M961" s="1" t="str">
        <f t="shared" si="188"/>
        <v>Student</v>
      </c>
      <c r="N961" s="9">
        <v>45373</v>
      </c>
      <c r="O961" s="1" t="s">
        <v>114</v>
      </c>
      <c r="P961" s="1" t="s">
        <v>59</v>
      </c>
      <c r="Q961" s="4">
        <v>0.37</v>
      </c>
      <c r="R961" s="13">
        <f t="shared" si="189"/>
        <v>37</v>
      </c>
      <c r="S961" s="6">
        <f t="shared" si="183"/>
        <v>0.37</v>
      </c>
      <c r="T961" s="1">
        <v>1.5</v>
      </c>
      <c r="U961" s="1">
        <f t="shared" si="190"/>
        <v>1.5</v>
      </c>
      <c r="V961" s="1">
        <f t="shared" si="191"/>
        <v>26.349999999999998</v>
      </c>
      <c r="W961" s="10" t="str">
        <f t="shared" si="192"/>
        <v>Low</v>
      </c>
      <c r="X961" s="1" t="s">
        <v>22</v>
      </c>
      <c r="Y961" s="1" t="str">
        <f t="shared" si="193"/>
        <v>No</v>
      </c>
      <c r="Z961" s="14">
        <v>1</v>
      </c>
      <c r="AA961" s="18">
        <f t="shared" si="194"/>
        <v>1</v>
      </c>
      <c r="AB961" s="18" t="str">
        <f t="shared" si="195"/>
        <v>No</v>
      </c>
      <c r="AC961" s="9" t="s">
        <v>175</v>
      </c>
      <c r="AD961">
        <f>IF(AC961="",0,LEN(AC961)-LEN(SUBSTITUTE(AC961,",",""))+1)</f>
        <v>7</v>
      </c>
    </row>
    <row r="962" spans="1:30" ht="12.5" x14ac:dyDescent="0.25">
      <c r="A962" s="1" t="s">
        <v>3765</v>
      </c>
      <c r="B962" s="1" t="s">
        <v>3766</v>
      </c>
      <c r="C962" s="1" t="str">
        <v>Jamie Guerrero</v>
      </c>
      <c r="D962" s="1" t="s">
        <v>3767</v>
      </c>
      <c r="E962" s="1" t="str">
        <v>whoffman@clark.com</v>
      </c>
      <c r="F962" t="str">
        <f t="shared" si="184"/>
        <v>Valid</v>
      </c>
      <c r="G962" s="1" t="s">
        <v>57</v>
      </c>
      <c r="H962" s="1" t="str">
        <f t="shared" si="185"/>
        <v>Female</v>
      </c>
      <c r="I962" s="1" t="s">
        <v>51</v>
      </c>
      <c r="J962" t="str">
        <f t="shared" si="186"/>
        <v>UK</v>
      </c>
      <c r="K962" s="14">
        <v>24</v>
      </c>
      <c r="L962" s="1">
        <f t="shared" si="187"/>
        <v>24</v>
      </c>
      <c r="M962" s="1" t="str">
        <f t="shared" si="188"/>
        <v>Early Career</v>
      </c>
      <c r="N962" s="9">
        <v>44985</v>
      </c>
      <c r="O962" s="1" t="s">
        <v>30</v>
      </c>
      <c r="P962" s="1" t="s">
        <v>31</v>
      </c>
      <c r="Q962" s="4">
        <v>0.85</v>
      </c>
      <c r="R962" s="13">
        <f t="shared" si="189"/>
        <v>85</v>
      </c>
      <c r="S962" s="6">
        <f t="shared" ref="S962:S1025" si="196">R962/100</f>
        <v>0.85</v>
      </c>
      <c r="T962" s="1">
        <v>45</v>
      </c>
      <c r="U962" s="1">
        <f t="shared" si="190"/>
        <v>45</v>
      </c>
      <c r="V962" s="1">
        <f t="shared" si="191"/>
        <v>73</v>
      </c>
      <c r="W962" s="10" t="str">
        <f t="shared" si="192"/>
        <v>High</v>
      </c>
      <c r="X962" s="1" t="s">
        <v>22</v>
      </c>
      <c r="Y962" s="1" t="str">
        <f t="shared" si="193"/>
        <v>No</v>
      </c>
      <c r="Z962" s="14">
        <v>2</v>
      </c>
      <c r="AA962" s="18">
        <f t="shared" si="194"/>
        <v>2</v>
      </c>
      <c r="AB962" s="18" t="str">
        <f t="shared" si="195"/>
        <v>No</v>
      </c>
      <c r="AC962" s="9" t="s">
        <v>3768</v>
      </c>
      <c r="AD962">
        <f>IF(AC962="",0,LEN(AC962)-LEN(SUBSTITUTE(AC962,",",""))+1)</f>
        <v>6</v>
      </c>
    </row>
    <row r="963" spans="1:30" ht="12.5" x14ac:dyDescent="0.25">
      <c r="A963" s="1" t="s">
        <v>3769</v>
      </c>
      <c r="B963" s="1" t="s">
        <v>3770</v>
      </c>
      <c r="C963" s="1" t="str">
        <v>Alyssa Weber</v>
      </c>
      <c r="D963" s="1" t="s">
        <v>3771</v>
      </c>
      <c r="E963" s="1" t="str">
        <v>annette60@hawkins-henry.com</v>
      </c>
      <c r="F963" t="str">
        <f t="shared" ref="F963:F1026" si="197">IF(ISNUMBER(SEARCH("@", E963)), "Valid", "Invalid")</f>
        <v>Valid</v>
      </c>
      <c r="G963" s="1" t="s">
        <v>43</v>
      </c>
      <c r="H963" s="1" t="str">
        <f t="shared" ref="H963:H1026" si="198">IF(OR(LOWER(G963)="m", LOWER(G963)="male"), "Male", IF(OR(LOWER(G963)="f", LOWER(G963)="female"), "Female","Other"))</f>
        <v>Female</v>
      </c>
      <c r="I963" s="1" t="s">
        <v>89</v>
      </c>
      <c r="J963" t="str">
        <f t="shared" ref="J963:J1026" si="199">UPPER(TRIM(I963))</f>
        <v>GERMANY</v>
      </c>
      <c r="K963" s="14">
        <v>27</v>
      </c>
      <c r="L963" s="1">
        <f t="shared" ref="L963:L1026" si="200">IF(OR(K963=0,K963&lt;10,K963&gt;100), $L$1202, K963)</f>
        <v>27</v>
      </c>
      <c r="M963" s="1" t="str">
        <f t="shared" ref="M963:M1026" si="201">IF(K963&lt;22,"Student",
IF(K963&lt;=30,"Early Career",
IF(K963&lt;=40,"Mid Career",
IF(K963&lt;=50,"Senior","Expert"))))</f>
        <v>Early Career</v>
      </c>
      <c r="N963" s="9">
        <v>45130</v>
      </c>
      <c r="O963" s="1" t="s">
        <v>19</v>
      </c>
      <c r="P963" s="1" t="s">
        <v>20</v>
      </c>
      <c r="Q963" s="4">
        <v>0.08</v>
      </c>
      <c r="R963" s="13">
        <f t="shared" ref="R963:R1026" si="202">IF(Q963&lt;=1, Q963*100, Q963)</f>
        <v>8</v>
      </c>
      <c r="S963" s="6">
        <f t="shared" si="196"/>
        <v>0.08</v>
      </c>
      <c r="T963" s="1" t="s">
        <v>21</v>
      </c>
      <c r="U963" s="1">
        <f t="shared" ref="U963:U1026" si="203">IF(ISNUMBER(T963), T963,
IF(ISNUMBER(SEARCH("min", T963)), VALUE(LEFT(T963, FIND(" ", T963)-1))/60,
IF(ISNUMBER(SEARCH("hour", T963)), VALUE(LEFT(T963, FIND(" ", T963)-1)),
"")))</f>
        <v>1.5</v>
      </c>
      <c r="V963" s="1">
        <f t="shared" ref="V963:V1026" si="204">MIN( (0.7*R963 + 0.3*(U963)), 100 )</f>
        <v>6.05</v>
      </c>
      <c r="W963" s="10" t="str">
        <f t="shared" ref="W963:W1026" si="205">IF(V963&lt;41,"Low",IF(V963&lt;71,"Medium","High"))</f>
        <v>Low</v>
      </c>
      <c r="X963" s="1" t="s">
        <v>32</v>
      </c>
      <c r="Y963" s="1" t="str">
        <f t="shared" ref="Y963:Y1026" si="206">IF(OR(X963="Yes", X963="Y", X963=1), "Yes", "No")</f>
        <v>Yes</v>
      </c>
      <c r="Z963" s="14">
        <v>3</v>
      </c>
      <c r="AA963" s="18">
        <f t="shared" ref="AA963:AA1026" si="207">IF(AND(Z963&gt;=1,Z963&lt;=6),Z963,"Invalid")</f>
        <v>3</v>
      </c>
      <c r="AB963" s="18" t="str">
        <f t="shared" ref="AB963:AB1026" si="208">IF(AND(Y963="Yes",AA963&gt;=4),"High Performer","No")</f>
        <v>No</v>
      </c>
      <c r="AC963" s="9" t="s">
        <v>404</v>
      </c>
      <c r="AD963">
        <f>IF(AC963="",0,LEN(AC963)-LEN(SUBSTITUTE(AC963,",",""))+1)</f>
        <v>1</v>
      </c>
    </row>
    <row r="964" spans="1:30" ht="12.5" x14ac:dyDescent="0.25">
      <c r="A964" s="1" t="s">
        <v>3772</v>
      </c>
      <c r="B964" s="1" t="s">
        <v>3773</v>
      </c>
      <c r="C964" s="1" t="str">
        <v>Sarah Davis</v>
      </c>
      <c r="D964" s="1" t="s">
        <v>3774</v>
      </c>
      <c r="E964" s="1" t="str">
        <v>victoriaduncan@hancock.biz</v>
      </c>
      <c r="F964" t="str">
        <f t="shared" si="197"/>
        <v>Valid</v>
      </c>
      <c r="G964" s="1" t="s">
        <v>119</v>
      </c>
      <c r="H964" s="1" t="str">
        <f t="shared" si="198"/>
        <v>Female</v>
      </c>
      <c r="I964" s="1" t="s">
        <v>89</v>
      </c>
      <c r="J964" t="str">
        <f t="shared" si="199"/>
        <v>GERMANY</v>
      </c>
      <c r="K964" s="14">
        <v>30</v>
      </c>
      <c r="L964" s="1">
        <f t="shared" si="200"/>
        <v>30</v>
      </c>
      <c r="M964" s="1" t="str">
        <f t="shared" si="201"/>
        <v>Early Career</v>
      </c>
      <c r="N964" s="3">
        <v>45210</v>
      </c>
      <c r="O964" s="1" t="s">
        <v>235</v>
      </c>
      <c r="P964" s="1" t="s">
        <v>147</v>
      </c>
      <c r="Q964" s="4">
        <v>0.56000000000000005</v>
      </c>
      <c r="R964" s="13">
        <f t="shared" si="202"/>
        <v>56.000000000000007</v>
      </c>
      <c r="S964" s="6">
        <f t="shared" si="196"/>
        <v>0.56000000000000005</v>
      </c>
      <c r="T964" s="1">
        <v>1.5</v>
      </c>
      <c r="U964" s="1">
        <f t="shared" si="203"/>
        <v>1.5</v>
      </c>
      <c r="V964" s="1">
        <f t="shared" si="204"/>
        <v>39.650000000000006</v>
      </c>
      <c r="W964" s="10" t="str">
        <f t="shared" si="205"/>
        <v>Low</v>
      </c>
      <c r="X964" s="1" t="s">
        <v>38</v>
      </c>
      <c r="Y964" s="1" t="str">
        <f t="shared" si="206"/>
        <v>No</v>
      </c>
      <c r="Z964" s="14">
        <v>1</v>
      </c>
      <c r="AA964" s="18">
        <f t="shared" si="207"/>
        <v>1</v>
      </c>
      <c r="AB964" s="18" t="str">
        <f t="shared" si="208"/>
        <v>No</v>
      </c>
      <c r="AC964" s="9" t="s">
        <v>3775</v>
      </c>
      <c r="AD964">
        <f>IF(AC964="",0,LEN(AC964)-LEN(SUBSTITUTE(AC964,",",""))+1)</f>
        <v>6</v>
      </c>
    </row>
    <row r="965" spans="1:30" ht="12.5" x14ac:dyDescent="0.25">
      <c r="A965" s="1" t="s">
        <v>3776</v>
      </c>
      <c r="B965" s="1" t="s">
        <v>3777</v>
      </c>
      <c r="C965" s="1" t="str">
        <v>Kyle Flores</v>
      </c>
      <c r="D965" s="1" t="s">
        <v>3778</v>
      </c>
      <c r="E965" s="1" t="str">
        <v>beckgloria@hotmail.com</v>
      </c>
      <c r="F965" t="str">
        <f t="shared" si="197"/>
        <v>Valid</v>
      </c>
      <c r="G965" s="1" t="s">
        <v>17</v>
      </c>
      <c r="H965" s="1" t="str">
        <f t="shared" si="198"/>
        <v>Female</v>
      </c>
      <c r="I965" s="1" t="s">
        <v>51</v>
      </c>
      <c r="J965" t="str">
        <f t="shared" si="199"/>
        <v>UK</v>
      </c>
      <c r="K965" s="14">
        <v>42</v>
      </c>
      <c r="L965" s="1">
        <f t="shared" si="200"/>
        <v>42</v>
      </c>
      <c r="M965" s="1" t="str">
        <f t="shared" si="201"/>
        <v>Senior</v>
      </c>
      <c r="N965" s="2">
        <v>45512</v>
      </c>
      <c r="O965" s="1" t="s">
        <v>235</v>
      </c>
      <c r="P965" s="1" t="s">
        <v>147</v>
      </c>
      <c r="Q965" s="4">
        <v>11</v>
      </c>
      <c r="R965" s="13">
        <f t="shared" si="202"/>
        <v>11</v>
      </c>
      <c r="S965" s="6">
        <f t="shared" si="196"/>
        <v>0.11</v>
      </c>
      <c r="T965" s="1">
        <v>45</v>
      </c>
      <c r="U965" s="1">
        <f t="shared" si="203"/>
        <v>45</v>
      </c>
      <c r="V965" s="1">
        <f t="shared" si="204"/>
        <v>21.2</v>
      </c>
      <c r="W965" s="10" t="str">
        <f t="shared" si="205"/>
        <v>Low</v>
      </c>
      <c r="X965" s="1" t="s">
        <v>38</v>
      </c>
      <c r="Y965" s="1" t="str">
        <f t="shared" si="206"/>
        <v>No</v>
      </c>
      <c r="Z965" s="14">
        <v>2</v>
      </c>
      <c r="AA965" s="18">
        <f t="shared" si="207"/>
        <v>2</v>
      </c>
      <c r="AB965" s="18" t="str">
        <f t="shared" si="208"/>
        <v>No</v>
      </c>
      <c r="AC965" s="9" t="s">
        <v>3779</v>
      </c>
      <c r="AD965">
        <f>IF(AC965="",0,LEN(AC965)-LEN(SUBSTITUTE(AC965,",",""))+1)</f>
        <v>7</v>
      </c>
    </row>
    <row r="966" spans="1:30" ht="12.5" x14ac:dyDescent="0.25">
      <c r="A966" s="1" t="s">
        <v>3780</v>
      </c>
      <c r="B966" s="1" t="s">
        <v>3781</v>
      </c>
      <c r="C966" s="1" t="str">
        <v>Scott Simpson</v>
      </c>
      <c r="D966" s="1" t="s">
        <v>3782</v>
      </c>
      <c r="E966" s="1" t="str">
        <v>margaret72@gmail.com</v>
      </c>
      <c r="F966" t="str">
        <f t="shared" si="197"/>
        <v>Valid</v>
      </c>
      <c r="G966" s="1" t="s">
        <v>17</v>
      </c>
      <c r="H966" s="1" t="str">
        <f t="shared" si="198"/>
        <v>Female</v>
      </c>
      <c r="I966" s="1" t="s">
        <v>136</v>
      </c>
      <c r="J966" t="str">
        <f t="shared" si="199"/>
        <v>UK</v>
      </c>
      <c r="K966" s="14">
        <v>18</v>
      </c>
      <c r="L966" s="1">
        <f t="shared" si="200"/>
        <v>18</v>
      </c>
      <c r="M966" s="1" t="str">
        <f t="shared" si="201"/>
        <v>Student</v>
      </c>
      <c r="N966" s="9">
        <v>45646</v>
      </c>
      <c r="O966" s="1" t="s">
        <v>69</v>
      </c>
      <c r="P966" s="1" t="s">
        <v>31</v>
      </c>
      <c r="Q966" s="4">
        <v>0.11</v>
      </c>
      <c r="R966" s="13">
        <f t="shared" si="202"/>
        <v>11</v>
      </c>
      <c r="S966" s="6">
        <f t="shared" si="196"/>
        <v>0.11</v>
      </c>
      <c r="T966" s="1" t="s">
        <v>64</v>
      </c>
      <c r="U966" s="1">
        <f t="shared" si="203"/>
        <v>2</v>
      </c>
      <c r="V966" s="1">
        <f t="shared" si="204"/>
        <v>8.2999999999999989</v>
      </c>
      <c r="W966" s="10" t="str">
        <f t="shared" si="205"/>
        <v>Low</v>
      </c>
      <c r="X966" s="1" t="s">
        <v>38</v>
      </c>
      <c r="Y966" s="1" t="str">
        <f t="shared" si="206"/>
        <v>No</v>
      </c>
      <c r="Z966" s="14">
        <v>6</v>
      </c>
      <c r="AA966" s="18">
        <f t="shared" si="207"/>
        <v>6</v>
      </c>
      <c r="AB966" s="18" t="str">
        <f t="shared" si="208"/>
        <v>No</v>
      </c>
      <c r="AC966" s="9" t="s">
        <v>3783</v>
      </c>
      <c r="AD966">
        <f>IF(AC966="",0,LEN(AC966)-LEN(SUBSTITUTE(AC966,",",""))+1)</f>
        <v>6</v>
      </c>
    </row>
    <row r="967" spans="1:30" ht="12.5" x14ac:dyDescent="0.25">
      <c r="A967" s="1" t="s">
        <v>3784</v>
      </c>
      <c r="B967" s="1" t="s">
        <v>3785</v>
      </c>
      <c r="C967" s="1" t="str">
        <v>John Jackson</v>
      </c>
      <c r="D967" s="1" t="s">
        <v>3786</v>
      </c>
      <c r="E967" s="1" t="str">
        <v>acarpenter@jenkins-fields.org</v>
      </c>
      <c r="F967" t="str">
        <f t="shared" si="197"/>
        <v>Valid</v>
      </c>
      <c r="G967" s="1" t="s">
        <v>43</v>
      </c>
      <c r="H967" s="1" t="str">
        <f t="shared" si="198"/>
        <v>Female</v>
      </c>
      <c r="I967" s="1" t="s">
        <v>74</v>
      </c>
      <c r="J967" t="str">
        <f t="shared" si="199"/>
        <v>USA</v>
      </c>
      <c r="K967" s="14">
        <v>0</v>
      </c>
      <c r="L967" s="1">
        <f t="shared" si="200"/>
        <v>19</v>
      </c>
      <c r="M967" s="1" t="str">
        <f t="shared" si="201"/>
        <v>Student</v>
      </c>
      <c r="N967" s="9">
        <v>45279</v>
      </c>
      <c r="O967" s="1" t="s">
        <v>158</v>
      </c>
      <c r="P967" s="1" t="s">
        <v>59</v>
      </c>
      <c r="Q967" s="4">
        <v>8</v>
      </c>
      <c r="R967" s="13">
        <f t="shared" si="202"/>
        <v>8</v>
      </c>
      <c r="S967" s="6">
        <f t="shared" si="196"/>
        <v>0.08</v>
      </c>
      <c r="T967" s="1">
        <v>2</v>
      </c>
      <c r="U967" s="1">
        <f t="shared" si="203"/>
        <v>2</v>
      </c>
      <c r="V967" s="1">
        <f t="shared" si="204"/>
        <v>6.1999999999999993</v>
      </c>
      <c r="W967" s="10" t="str">
        <f t="shared" si="205"/>
        <v>Low</v>
      </c>
      <c r="X967" s="1" t="s">
        <v>38</v>
      </c>
      <c r="Y967" s="1" t="str">
        <f t="shared" si="206"/>
        <v>No</v>
      </c>
      <c r="Z967" s="14">
        <v>4</v>
      </c>
      <c r="AA967" s="18">
        <f t="shared" si="207"/>
        <v>4</v>
      </c>
      <c r="AB967" s="18" t="str">
        <f t="shared" si="208"/>
        <v>No</v>
      </c>
      <c r="AC967" s="9" t="s">
        <v>3787</v>
      </c>
      <c r="AD967">
        <f>IF(AC967="",0,LEN(AC967)-LEN(SUBSTITUTE(AC967,",",""))+1)</f>
        <v>6</v>
      </c>
    </row>
    <row r="968" spans="1:30" ht="12.5" x14ac:dyDescent="0.25">
      <c r="A968" s="1" t="s">
        <v>3788</v>
      </c>
      <c r="B968" s="1" t="s">
        <v>3789</v>
      </c>
      <c r="C968" s="1" t="str">
        <v>Ms. Monique Dougherty Md</v>
      </c>
      <c r="D968" s="1" t="s">
        <v>3790</v>
      </c>
      <c r="E968" s="1" t="str">
        <v>ashleykennedy@crane.org</v>
      </c>
      <c r="F968" t="str">
        <f t="shared" si="197"/>
        <v>Valid</v>
      </c>
      <c r="G968" s="1" t="s">
        <v>109</v>
      </c>
      <c r="H968" s="1" t="str">
        <f t="shared" si="198"/>
        <v>Male</v>
      </c>
      <c r="I968" s="1" t="s">
        <v>51</v>
      </c>
      <c r="J968" t="str">
        <f t="shared" si="199"/>
        <v>UK</v>
      </c>
      <c r="L968" s="1">
        <f t="shared" si="200"/>
        <v>19</v>
      </c>
      <c r="M968" s="1" t="str">
        <f t="shared" si="201"/>
        <v>Student</v>
      </c>
      <c r="N968" s="9">
        <v>45006</v>
      </c>
      <c r="O968" s="1" t="s">
        <v>301</v>
      </c>
      <c r="P968" s="1" t="s">
        <v>20</v>
      </c>
      <c r="Q968" s="4">
        <v>0.31</v>
      </c>
      <c r="R968" s="13">
        <f t="shared" si="202"/>
        <v>31</v>
      </c>
      <c r="S968" s="6">
        <f t="shared" si="196"/>
        <v>0.31</v>
      </c>
      <c r="T968" s="1">
        <v>1.5</v>
      </c>
      <c r="U968" s="1">
        <f t="shared" si="203"/>
        <v>1.5</v>
      </c>
      <c r="V968" s="1">
        <f t="shared" si="204"/>
        <v>22.15</v>
      </c>
      <c r="W968" s="10" t="str">
        <f t="shared" si="205"/>
        <v>Low</v>
      </c>
      <c r="X968" s="1" t="s">
        <v>76</v>
      </c>
      <c r="Y968" s="1" t="str">
        <f t="shared" si="206"/>
        <v>Yes</v>
      </c>
      <c r="Z968" s="14">
        <v>2</v>
      </c>
      <c r="AA968" s="18">
        <f t="shared" si="207"/>
        <v>2</v>
      </c>
      <c r="AB968" s="18" t="str">
        <f t="shared" si="208"/>
        <v>No</v>
      </c>
      <c r="AC968" s="9" t="s">
        <v>3791</v>
      </c>
      <c r="AD968">
        <f>IF(AC968="",0,LEN(AC968)-LEN(SUBSTITUTE(AC968,",",""))+1)</f>
        <v>6</v>
      </c>
    </row>
    <row r="969" spans="1:30" ht="12.5" x14ac:dyDescent="0.25">
      <c r="A969" s="1" t="s">
        <v>3792</v>
      </c>
      <c r="B969" s="1" t="s">
        <v>3793</v>
      </c>
      <c r="C969" s="1" t="str">
        <v>Thomas Ellis</v>
      </c>
      <c r="D969" s="1" t="s">
        <v>3794</v>
      </c>
      <c r="E969" s="1" t="str">
        <v>thomasmarquez@morris.com</v>
      </c>
      <c r="F969" t="str">
        <f t="shared" si="197"/>
        <v>Valid</v>
      </c>
      <c r="G969" s="1" t="s">
        <v>109</v>
      </c>
      <c r="H969" s="1" t="str">
        <f t="shared" si="198"/>
        <v>Male</v>
      </c>
      <c r="I969" s="1" t="s">
        <v>51</v>
      </c>
      <c r="J969" t="str">
        <f t="shared" si="199"/>
        <v>UK</v>
      </c>
      <c r="K969" s="14">
        <v>29</v>
      </c>
      <c r="L969" s="1">
        <f t="shared" si="200"/>
        <v>29</v>
      </c>
      <c r="M969" s="1" t="str">
        <f t="shared" si="201"/>
        <v>Early Career</v>
      </c>
      <c r="N969" s="9">
        <v>45674</v>
      </c>
      <c r="O969" s="1" t="s">
        <v>90</v>
      </c>
      <c r="P969" s="1" t="s">
        <v>31</v>
      </c>
      <c r="Q969" s="4">
        <v>0.2</v>
      </c>
      <c r="R969" s="13">
        <f t="shared" si="202"/>
        <v>20</v>
      </c>
      <c r="S969" s="6">
        <f t="shared" si="196"/>
        <v>0.2</v>
      </c>
      <c r="T969" s="1">
        <v>2</v>
      </c>
      <c r="U969" s="1">
        <f t="shared" si="203"/>
        <v>2</v>
      </c>
      <c r="V969" s="1">
        <f t="shared" si="204"/>
        <v>14.6</v>
      </c>
      <c r="W969" s="10" t="str">
        <f t="shared" si="205"/>
        <v>Low</v>
      </c>
      <c r="X969" s="1" t="s">
        <v>76</v>
      </c>
      <c r="Y969" s="1" t="str">
        <f t="shared" si="206"/>
        <v>Yes</v>
      </c>
      <c r="Z969" s="14">
        <v>4</v>
      </c>
      <c r="AA969" s="18">
        <f t="shared" si="207"/>
        <v>4</v>
      </c>
      <c r="AB969" s="18" t="str">
        <f t="shared" si="208"/>
        <v>High Performer</v>
      </c>
      <c r="AC969" s="9" t="s">
        <v>3795</v>
      </c>
      <c r="AD969">
        <f>IF(AC969="",0,LEN(AC969)-LEN(SUBSTITUTE(AC969,",",""))+1)</f>
        <v>5</v>
      </c>
    </row>
    <row r="970" spans="1:30" ht="12.5" x14ac:dyDescent="0.25">
      <c r="A970" s="1" t="s">
        <v>3796</v>
      </c>
      <c r="B970" s="1" t="s">
        <v>3797</v>
      </c>
      <c r="C970" s="1" t="str">
        <v>Larry Fritz</v>
      </c>
      <c r="D970" s="1" t="s">
        <v>3798</v>
      </c>
      <c r="E970" s="1" t="str">
        <v>hporter@massey.com</v>
      </c>
      <c r="F970" t="str">
        <f t="shared" si="197"/>
        <v>Valid</v>
      </c>
      <c r="G970" s="1" t="s">
        <v>57</v>
      </c>
      <c r="H970" s="1" t="str">
        <f t="shared" si="198"/>
        <v>Female</v>
      </c>
      <c r="I970" s="1" t="s">
        <v>28</v>
      </c>
      <c r="J970" t="str">
        <f t="shared" si="199"/>
        <v>INDIA</v>
      </c>
      <c r="K970" s="14">
        <v>33</v>
      </c>
      <c r="L970" s="1">
        <f t="shared" si="200"/>
        <v>33</v>
      </c>
      <c r="M970" s="1" t="str">
        <f t="shared" si="201"/>
        <v>Mid Career</v>
      </c>
      <c r="N970" s="9">
        <v>44705</v>
      </c>
      <c r="O970" s="1" t="s">
        <v>158</v>
      </c>
      <c r="P970" s="1" t="s">
        <v>59</v>
      </c>
      <c r="Q970" s="4">
        <v>0.33</v>
      </c>
      <c r="R970" s="13">
        <f t="shared" si="202"/>
        <v>33</v>
      </c>
      <c r="S970" s="6">
        <f t="shared" si="196"/>
        <v>0.33</v>
      </c>
      <c r="T970" s="1" t="s">
        <v>64</v>
      </c>
      <c r="U970" s="1">
        <f t="shared" si="203"/>
        <v>2</v>
      </c>
      <c r="V970" s="1">
        <f t="shared" si="204"/>
        <v>23.7</v>
      </c>
      <c r="W970" s="10" t="str">
        <f t="shared" si="205"/>
        <v>Low</v>
      </c>
      <c r="X970" s="1" t="s">
        <v>22</v>
      </c>
      <c r="Y970" s="1" t="str">
        <f t="shared" si="206"/>
        <v>No</v>
      </c>
      <c r="Z970" s="14">
        <v>5</v>
      </c>
      <c r="AA970" s="18">
        <f t="shared" si="207"/>
        <v>5</v>
      </c>
      <c r="AB970" s="18" t="str">
        <f t="shared" si="208"/>
        <v>No</v>
      </c>
      <c r="AC970" s="9" t="s">
        <v>3799</v>
      </c>
      <c r="AD970">
        <f>IF(AC970="",0,LEN(AC970)-LEN(SUBSTITUTE(AC970,",",""))+1)</f>
        <v>5</v>
      </c>
    </row>
    <row r="971" spans="1:30" ht="12.5" x14ac:dyDescent="0.25">
      <c r="A971" s="1" t="s">
        <v>3800</v>
      </c>
      <c r="B971" s="1" t="s">
        <v>3801</v>
      </c>
      <c r="C971" s="1" t="str">
        <v>Melanie Russell</v>
      </c>
      <c r="D971" s="1" t="s">
        <v>3802</v>
      </c>
      <c r="E971" s="1" t="str">
        <v>ajones@yahoo.com</v>
      </c>
      <c r="F971" t="str">
        <f t="shared" si="197"/>
        <v>Valid</v>
      </c>
      <c r="G971" s="1" t="s">
        <v>43</v>
      </c>
      <c r="H971" s="1" t="str">
        <f t="shared" si="198"/>
        <v>Female</v>
      </c>
      <c r="I971" s="1" t="s">
        <v>74</v>
      </c>
      <c r="J971" t="str">
        <f t="shared" si="199"/>
        <v>USA</v>
      </c>
      <c r="K971" s="14">
        <v>31</v>
      </c>
      <c r="L971" s="1">
        <f t="shared" si="200"/>
        <v>31</v>
      </c>
      <c r="M971" s="1" t="str">
        <f t="shared" si="201"/>
        <v>Mid Career</v>
      </c>
      <c r="N971" s="9">
        <v>45376</v>
      </c>
      <c r="O971" s="1" t="s">
        <v>158</v>
      </c>
      <c r="P971" s="1" t="s">
        <v>59</v>
      </c>
      <c r="Q971" s="4">
        <v>21</v>
      </c>
      <c r="R971" s="13">
        <f t="shared" si="202"/>
        <v>21</v>
      </c>
      <c r="S971" s="6">
        <f t="shared" si="196"/>
        <v>0.21</v>
      </c>
      <c r="T971" s="1">
        <v>45</v>
      </c>
      <c r="U971" s="1">
        <f t="shared" si="203"/>
        <v>45</v>
      </c>
      <c r="V971" s="1">
        <f t="shared" si="204"/>
        <v>28.2</v>
      </c>
      <c r="W971" s="10" t="str">
        <f t="shared" si="205"/>
        <v>Low</v>
      </c>
      <c r="X971" s="1" t="s">
        <v>38</v>
      </c>
      <c r="Y971" s="1" t="str">
        <f t="shared" si="206"/>
        <v>No</v>
      </c>
      <c r="Z971" s="14">
        <v>2</v>
      </c>
      <c r="AA971" s="18">
        <f t="shared" si="207"/>
        <v>2</v>
      </c>
      <c r="AB971" s="18" t="str">
        <f t="shared" si="208"/>
        <v>No</v>
      </c>
      <c r="AC971" s="9" t="s">
        <v>3803</v>
      </c>
      <c r="AD971">
        <f>IF(AC971="",0,LEN(AC971)-LEN(SUBSTITUTE(AC971,",",""))+1)</f>
        <v>7</v>
      </c>
    </row>
    <row r="972" spans="1:30" ht="12.5" x14ac:dyDescent="0.25">
      <c r="A972" s="1" t="s">
        <v>3804</v>
      </c>
      <c r="B972" s="1" t="s">
        <v>3805</v>
      </c>
      <c r="C972" s="1" t="str">
        <v>Kimberly Johnson</v>
      </c>
      <c r="D972" s="1" t="s">
        <v>3806</v>
      </c>
      <c r="E972" s="1" t="str">
        <v>carterraymond@hotmail.com</v>
      </c>
      <c r="F972" t="str">
        <f t="shared" si="197"/>
        <v>Valid</v>
      </c>
      <c r="G972" s="1" t="s">
        <v>27</v>
      </c>
      <c r="H972" s="1" t="str">
        <f t="shared" si="198"/>
        <v>Male</v>
      </c>
      <c r="I972" s="1" t="s">
        <v>51</v>
      </c>
      <c r="J972" t="str">
        <f t="shared" si="199"/>
        <v>UK</v>
      </c>
      <c r="K972" s="14">
        <v>0</v>
      </c>
      <c r="L972" s="1">
        <f t="shared" si="200"/>
        <v>19</v>
      </c>
      <c r="M972" s="1" t="str">
        <f t="shared" si="201"/>
        <v>Student</v>
      </c>
      <c r="N972" s="9">
        <v>45492</v>
      </c>
      <c r="O972" s="1" t="s">
        <v>58</v>
      </c>
      <c r="P972" s="1" t="s">
        <v>59</v>
      </c>
      <c r="Q972" s="4">
        <v>81</v>
      </c>
      <c r="R972" s="13">
        <f t="shared" si="202"/>
        <v>81</v>
      </c>
      <c r="S972" s="6">
        <f t="shared" si="196"/>
        <v>0.81</v>
      </c>
      <c r="T972" s="1" t="s">
        <v>21</v>
      </c>
      <c r="U972" s="1">
        <f t="shared" si="203"/>
        <v>1.5</v>
      </c>
      <c r="V972" s="1">
        <f t="shared" si="204"/>
        <v>57.15</v>
      </c>
      <c r="W972" s="10" t="str">
        <f t="shared" si="205"/>
        <v>Medium</v>
      </c>
      <c r="X972" s="1">
        <v>1</v>
      </c>
      <c r="Y972" s="1" t="str">
        <f t="shared" si="206"/>
        <v>Yes</v>
      </c>
      <c r="Z972" s="14">
        <v>1</v>
      </c>
      <c r="AA972" s="18">
        <f t="shared" si="207"/>
        <v>1</v>
      </c>
      <c r="AB972" s="18" t="str">
        <f t="shared" si="208"/>
        <v>No</v>
      </c>
      <c r="AC972" s="9" t="s">
        <v>3807</v>
      </c>
      <c r="AD972">
        <f>IF(AC972="",0,LEN(AC972)-LEN(SUBSTITUTE(AC972,",",""))+1)</f>
        <v>8</v>
      </c>
    </row>
    <row r="973" spans="1:30" ht="12.5" x14ac:dyDescent="0.25">
      <c r="A973" s="1" t="s">
        <v>3808</v>
      </c>
      <c r="B973" s="1" t="s">
        <v>3809</v>
      </c>
      <c r="C973" s="1" t="str">
        <v>Marie Patterson</v>
      </c>
      <c r="D973" s="1" t="s">
        <v>3810</v>
      </c>
      <c r="E973" s="1" t="str">
        <v>thomasjose@molina.biz</v>
      </c>
      <c r="F973" t="str">
        <f t="shared" si="197"/>
        <v>Valid</v>
      </c>
      <c r="G973" s="1" t="s">
        <v>109</v>
      </c>
      <c r="H973" s="1" t="str">
        <f t="shared" si="198"/>
        <v>Male</v>
      </c>
      <c r="I973" s="1" t="s">
        <v>89</v>
      </c>
      <c r="J973" t="str">
        <f t="shared" si="199"/>
        <v>GERMANY</v>
      </c>
      <c r="K973" s="14">
        <v>39</v>
      </c>
      <c r="L973" s="1">
        <f t="shared" si="200"/>
        <v>39</v>
      </c>
      <c r="M973" s="1" t="str">
        <f t="shared" si="201"/>
        <v>Mid Career</v>
      </c>
      <c r="N973" s="2">
        <v>44748</v>
      </c>
      <c r="O973" s="1" t="s">
        <v>301</v>
      </c>
      <c r="P973" s="1" t="s">
        <v>20</v>
      </c>
      <c r="Q973" s="4">
        <v>73</v>
      </c>
      <c r="R973" s="13">
        <f t="shared" si="202"/>
        <v>73</v>
      </c>
      <c r="S973" s="6">
        <f t="shared" si="196"/>
        <v>0.73</v>
      </c>
      <c r="T973" s="1" t="s">
        <v>46</v>
      </c>
      <c r="U973" s="1">
        <f t="shared" si="203"/>
        <v>1</v>
      </c>
      <c r="V973" s="1">
        <f t="shared" si="204"/>
        <v>51.399999999999991</v>
      </c>
      <c r="W973" s="10" t="str">
        <f t="shared" si="205"/>
        <v>Medium</v>
      </c>
      <c r="X973" s="1">
        <v>0</v>
      </c>
      <c r="Y973" s="1" t="str">
        <f t="shared" si="206"/>
        <v>No</v>
      </c>
      <c r="Z973" s="14">
        <v>2</v>
      </c>
      <c r="AA973" s="18">
        <f t="shared" si="207"/>
        <v>2</v>
      </c>
      <c r="AB973" s="18" t="str">
        <f t="shared" si="208"/>
        <v>No</v>
      </c>
      <c r="AC973" s="9" t="s">
        <v>1221</v>
      </c>
      <c r="AD973">
        <f>IF(AC973="",0,LEN(AC973)-LEN(SUBSTITUTE(AC973,",",""))+1)</f>
        <v>8</v>
      </c>
    </row>
    <row r="974" spans="1:30" ht="12.5" x14ac:dyDescent="0.25">
      <c r="A974" s="1" t="s">
        <v>3811</v>
      </c>
      <c r="B974" s="1" t="s">
        <v>3812</v>
      </c>
      <c r="C974" s="1" t="str">
        <v>Christine Davis</v>
      </c>
      <c r="D974" s="1" t="s">
        <v>3813</v>
      </c>
      <c r="E974" s="1" t="str">
        <v>fnolan@sherman.com</v>
      </c>
      <c r="F974" t="str">
        <f t="shared" si="197"/>
        <v>Valid</v>
      </c>
      <c r="G974" s="1" t="s">
        <v>119</v>
      </c>
      <c r="H974" s="1" t="str">
        <f t="shared" si="198"/>
        <v>Female</v>
      </c>
      <c r="I974" s="1" t="s">
        <v>96</v>
      </c>
      <c r="J974" t="str">
        <f t="shared" si="199"/>
        <v>INDIA</v>
      </c>
      <c r="K974" s="14">
        <v>0</v>
      </c>
      <c r="L974" s="1">
        <f t="shared" si="200"/>
        <v>19</v>
      </c>
      <c r="M974" s="1" t="str">
        <f t="shared" si="201"/>
        <v>Student</v>
      </c>
      <c r="N974" s="9">
        <v>45677</v>
      </c>
      <c r="O974" s="1" t="s">
        <v>58</v>
      </c>
      <c r="P974" s="1" t="s">
        <v>59</v>
      </c>
      <c r="Q974" s="4">
        <v>0.23</v>
      </c>
      <c r="R974" s="13">
        <f t="shared" si="202"/>
        <v>23</v>
      </c>
      <c r="S974" s="6">
        <f t="shared" si="196"/>
        <v>0.23</v>
      </c>
      <c r="T974" s="1" t="s">
        <v>21</v>
      </c>
      <c r="U974" s="1">
        <f t="shared" si="203"/>
        <v>1.5</v>
      </c>
      <c r="V974" s="1">
        <f t="shared" si="204"/>
        <v>16.549999999999997</v>
      </c>
      <c r="W974" s="10" t="str">
        <f t="shared" si="205"/>
        <v>Low</v>
      </c>
      <c r="X974" s="1" t="s">
        <v>32</v>
      </c>
      <c r="Y974" s="1" t="str">
        <f t="shared" si="206"/>
        <v>Yes</v>
      </c>
      <c r="AA974" s="18" t="str">
        <f t="shared" si="207"/>
        <v>Invalid</v>
      </c>
      <c r="AB974" s="18" t="str">
        <f t="shared" si="208"/>
        <v>High Performer</v>
      </c>
      <c r="AC974" s="9" t="s">
        <v>3814</v>
      </c>
      <c r="AD974">
        <f>IF(AC974="",0,LEN(AC974)-LEN(SUBSTITUTE(AC974,",",""))+1)</f>
        <v>2</v>
      </c>
    </row>
    <row r="975" spans="1:30" ht="12.5" x14ac:dyDescent="0.25">
      <c r="A975" s="1" t="s">
        <v>3815</v>
      </c>
      <c r="B975" s="1" t="s">
        <v>3816</v>
      </c>
      <c r="C975" s="1" t="str">
        <v>Laura Wheeler</v>
      </c>
      <c r="D975" s="1" t="s">
        <v>127</v>
      </c>
      <c r="E975" s="1" t="str">
        <v>invalid-email</v>
      </c>
      <c r="F975" t="str">
        <f t="shared" si="197"/>
        <v>Invalid</v>
      </c>
      <c r="G975" s="1" t="s">
        <v>88</v>
      </c>
      <c r="H975" s="1" t="str">
        <f t="shared" si="198"/>
        <v>Male</v>
      </c>
      <c r="I975" s="1" t="s">
        <v>28</v>
      </c>
      <c r="J975" t="str">
        <f t="shared" si="199"/>
        <v>INDIA</v>
      </c>
      <c r="K975" s="14">
        <v>43</v>
      </c>
      <c r="L975" s="1">
        <f t="shared" si="200"/>
        <v>43</v>
      </c>
      <c r="M975" s="1" t="str">
        <f t="shared" si="201"/>
        <v>Senior</v>
      </c>
      <c r="N975" s="2">
        <v>45994</v>
      </c>
      <c r="O975" s="1" t="s">
        <v>170</v>
      </c>
      <c r="P975" s="1" t="s">
        <v>147</v>
      </c>
      <c r="Q975" s="4">
        <v>0.74</v>
      </c>
      <c r="R975" s="13">
        <f t="shared" si="202"/>
        <v>74</v>
      </c>
      <c r="S975" s="6">
        <f t="shared" si="196"/>
        <v>0.74</v>
      </c>
      <c r="T975" s="1">
        <v>2</v>
      </c>
      <c r="U975" s="1">
        <f t="shared" si="203"/>
        <v>2</v>
      </c>
      <c r="V975" s="1">
        <f t="shared" si="204"/>
        <v>52.4</v>
      </c>
      <c r="W975" s="10" t="str">
        <f t="shared" si="205"/>
        <v>Medium</v>
      </c>
      <c r="X975" s="1" t="s">
        <v>76</v>
      </c>
      <c r="Y975" s="1" t="str">
        <f t="shared" si="206"/>
        <v>Yes</v>
      </c>
      <c r="AA975" s="18" t="str">
        <f t="shared" si="207"/>
        <v>Invalid</v>
      </c>
      <c r="AB975" s="18" t="str">
        <f t="shared" si="208"/>
        <v>High Performer</v>
      </c>
      <c r="AC975" s="9" t="s">
        <v>3817</v>
      </c>
      <c r="AD975">
        <f>IF(AC975="",0,LEN(AC975)-LEN(SUBSTITUTE(AC975,",",""))+1)</f>
        <v>7</v>
      </c>
    </row>
    <row r="976" spans="1:30" ht="12.5" x14ac:dyDescent="0.25">
      <c r="A976" s="1" t="s">
        <v>3818</v>
      </c>
      <c r="B976" s="1" t="s">
        <v>3819</v>
      </c>
      <c r="C976" s="1" t="str">
        <v>Jacob Cox</v>
      </c>
      <c r="D976" s="1" t="s">
        <v>3820</v>
      </c>
      <c r="E976" s="1" t="str">
        <v>shirley29@hotmail.com</v>
      </c>
      <c r="F976" t="str">
        <f t="shared" si="197"/>
        <v>Valid</v>
      </c>
      <c r="G976" s="1" t="s">
        <v>57</v>
      </c>
      <c r="H976" s="1" t="str">
        <f t="shared" si="198"/>
        <v>Female</v>
      </c>
      <c r="I976" s="1" t="s">
        <v>89</v>
      </c>
      <c r="J976" t="str">
        <f t="shared" si="199"/>
        <v>GERMANY</v>
      </c>
      <c r="K976" s="14">
        <v>0</v>
      </c>
      <c r="L976" s="1">
        <f t="shared" si="200"/>
        <v>19</v>
      </c>
      <c r="M976" s="1" t="str">
        <f t="shared" si="201"/>
        <v>Student</v>
      </c>
      <c r="N976" s="3">
        <v>44845</v>
      </c>
      <c r="O976" s="1" t="s">
        <v>146</v>
      </c>
      <c r="P976" s="1" t="s">
        <v>147</v>
      </c>
      <c r="Q976" s="4">
        <v>0.41</v>
      </c>
      <c r="R976" s="13">
        <f t="shared" si="202"/>
        <v>41</v>
      </c>
      <c r="S976" s="6">
        <f t="shared" si="196"/>
        <v>0.41</v>
      </c>
      <c r="T976" s="1" t="s">
        <v>21</v>
      </c>
      <c r="U976" s="1">
        <f t="shared" si="203"/>
        <v>1.5</v>
      </c>
      <c r="V976" s="1">
        <f t="shared" si="204"/>
        <v>29.15</v>
      </c>
      <c r="W976" s="10" t="str">
        <f t="shared" si="205"/>
        <v>Low</v>
      </c>
      <c r="X976" s="1" t="s">
        <v>22</v>
      </c>
      <c r="Y976" s="1" t="str">
        <f t="shared" si="206"/>
        <v>No</v>
      </c>
      <c r="Z976" s="14">
        <v>1</v>
      </c>
      <c r="AA976" s="18">
        <f t="shared" si="207"/>
        <v>1</v>
      </c>
      <c r="AB976" s="18" t="str">
        <f t="shared" si="208"/>
        <v>No</v>
      </c>
      <c r="AC976" s="9">
        <v>44845</v>
      </c>
      <c r="AD976">
        <f>IF(AC976="",0,LEN(AC976)-LEN(SUBSTITUTE(AC976,",",""))+1)</f>
        <v>1</v>
      </c>
    </row>
    <row r="977" spans="1:30" ht="12.5" x14ac:dyDescent="0.25">
      <c r="A977" s="1" t="s">
        <v>3821</v>
      </c>
      <c r="B977" s="1" t="s">
        <v>3822</v>
      </c>
      <c r="C977" s="1" t="str">
        <v>Patrick Neal</v>
      </c>
      <c r="D977" s="1" t="s">
        <v>3823</v>
      </c>
      <c r="E977" s="1" t="str">
        <v>michele43@rosales.com</v>
      </c>
      <c r="F977" t="str">
        <f t="shared" si="197"/>
        <v>Valid</v>
      </c>
      <c r="G977" s="1" t="s">
        <v>57</v>
      </c>
      <c r="H977" s="1" t="str">
        <f t="shared" si="198"/>
        <v>Female</v>
      </c>
      <c r="I977" s="1" t="s">
        <v>156</v>
      </c>
      <c r="J977" t="str">
        <f t="shared" si="199"/>
        <v>IN</v>
      </c>
      <c r="L977" s="1">
        <f t="shared" si="200"/>
        <v>19</v>
      </c>
      <c r="M977" s="1" t="str">
        <f t="shared" si="201"/>
        <v>Student</v>
      </c>
      <c r="N977" s="9">
        <v>45131</v>
      </c>
      <c r="O977" s="1" t="s">
        <v>114</v>
      </c>
      <c r="P977" s="1" t="s">
        <v>59</v>
      </c>
      <c r="Q977" s="4">
        <v>0.95</v>
      </c>
      <c r="R977" s="13">
        <f t="shared" si="202"/>
        <v>95</v>
      </c>
      <c r="S977" s="6">
        <f t="shared" si="196"/>
        <v>0.95</v>
      </c>
      <c r="T977" s="1">
        <v>45</v>
      </c>
      <c r="U977" s="1">
        <f t="shared" si="203"/>
        <v>45</v>
      </c>
      <c r="V977" s="1">
        <f t="shared" si="204"/>
        <v>80</v>
      </c>
      <c r="W977" s="10" t="str">
        <f t="shared" si="205"/>
        <v>High</v>
      </c>
      <c r="X977" s="1" t="s">
        <v>38</v>
      </c>
      <c r="Y977" s="1" t="str">
        <f t="shared" si="206"/>
        <v>No</v>
      </c>
      <c r="Z977" s="14">
        <v>3</v>
      </c>
      <c r="AA977" s="18">
        <f t="shared" si="207"/>
        <v>3</v>
      </c>
      <c r="AB977" s="18" t="str">
        <f t="shared" si="208"/>
        <v>No</v>
      </c>
      <c r="AC977" s="9" t="s">
        <v>3824</v>
      </c>
      <c r="AD977">
        <f>IF(AC977="",0,LEN(AC977)-LEN(SUBSTITUTE(AC977,",",""))+1)</f>
        <v>5</v>
      </c>
    </row>
    <row r="978" spans="1:30" ht="12.5" x14ac:dyDescent="0.25">
      <c r="A978" s="1" t="s">
        <v>3825</v>
      </c>
      <c r="B978" s="1" t="s">
        <v>3826</v>
      </c>
      <c r="C978" s="1" t="str">
        <v>Nichole Ferrell</v>
      </c>
      <c r="D978" s="1" t="s">
        <v>3827</v>
      </c>
      <c r="E978" s="1" t="str">
        <v>kmontgomery@yahoo.com</v>
      </c>
      <c r="F978" t="str">
        <f t="shared" si="197"/>
        <v>Valid</v>
      </c>
      <c r="G978" s="1" t="s">
        <v>88</v>
      </c>
      <c r="H978" s="1" t="str">
        <f t="shared" si="198"/>
        <v>Male</v>
      </c>
      <c r="I978" s="1" t="s">
        <v>28</v>
      </c>
      <c r="J978" t="str">
        <f t="shared" si="199"/>
        <v>INDIA</v>
      </c>
      <c r="K978" s="14">
        <v>35</v>
      </c>
      <c r="L978" s="1">
        <f t="shared" si="200"/>
        <v>35</v>
      </c>
      <c r="M978" s="1" t="str">
        <f t="shared" si="201"/>
        <v>Mid Career</v>
      </c>
      <c r="N978" s="9">
        <v>44888</v>
      </c>
      <c r="O978" s="1" t="s">
        <v>69</v>
      </c>
      <c r="P978" s="1" t="s">
        <v>31</v>
      </c>
      <c r="Q978" s="4">
        <v>97</v>
      </c>
      <c r="R978" s="13">
        <f t="shared" si="202"/>
        <v>97</v>
      </c>
      <c r="S978" s="6">
        <f t="shared" si="196"/>
        <v>0.97</v>
      </c>
      <c r="T978" s="1" t="s">
        <v>46</v>
      </c>
      <c r="U978" s="1">
        <f t="shared" si="203"/>
        <v>1</v>
      </c>
      <c r="V978" s="1">
        <f t="shared" si="204"/>
        <v>68.199999999999989</v>
      </c>
      <c r="W978" s="10" t="str">
        <f t="shared" si="205"/>
        <v>Medium</v>
      </c>
      <c r="X978" s="1" t="s">
        <v>38</v>
      </c>
      <c r="Y978" s="1" t="str">
        <f t="shared" si="206"/>
        <v>No</v>
      </c>
      <c r="Z978" s="14">
        <v>5</v>
      </c>
      <c r="AA978" s="18">
        <f t="shared" si="207"/>
        <v>5</v>
      </c>
      <c r="AB978" s="18" t="str">
        <f t="shared" si="208"/>
        <v>No</v>
      </c>
      <c r="AC978" s="9" t="s">
        <v>3828</v>
      </c>
      <c r="AD978">
        <f>IF(AC978="",0,LEN(AC978)-LEN(SUBSTITUTE(AC978,",",""))+1)</f>
        <v>2</v>
      </c>
    </row>
    <row r="979" spans="1:30" ht="12.5" x14ac:dyDescent="0.25">
      <c r="A979" s="1" t="s">
        <v>3829</v>
      </c>
      <c r="B979" s="1" t="s">
        <v>3830</v>
      </c>
      <c r="C979" s="1" t="str">
        <v>James Grimes</v>
      </c>
      <c r="D979" s="1" t="s">
        <v>3831</v>
      </c>
      <c r="E979" s="1" t="str">
        <v>monicaolson@yahoo.com</v>
      </c>
      <c r="F979" t="str">
        <f t="shared" si="197"/>
        <v>Valid</v>
      </c>
      <c r="G979" s="1" t="s">
        <v>17</v>
      </c>
      <c r="H979" s="1" t="str">
        <f t="shared" si="198"/>
        <v>Female</v>
      </c>
      <c r="I979" s="1" t="s">
        <v>96</v>
      </c>
      <c r="J979" t="str">
        <f t="shared" si="199"/>
        <v>INDIA</v>
      </c>
      <c r="L979" s="1">
        <f t="shared" si="200"/>
        <v>19</v>
      </c>
      <c r="M979" s="1" t="str">
        <f t="shared" si="201"/>
        <v>Student</v>
      </c>
      <c r="N979" s="2">
        <v>45658</v>
      </c>
      <c r="O979" s="1" t="s">
        <v>19</v>
      </c>
      <c r="P979" s="1" t="s">
        <v>20</v>
      </c>
      <c r="Q979" s="4">
        <v>39</v>
      </c>
      <c r="R979" s="13">
        <f t="shared" si="202"/>
        <v>39</v>
      </c>
      <c r="S979" s="6">
        <f t="shared" si="196"/>
        <v>0.39</v>
      </c>
      <c r="T979" s="1" t="s">
        <v>21</v>
      </c>
      <c r="U979" s="1">
        <f t="shared" si="203"/>
        <v>1.5</v>
      </c>
      <c r="V979" s="1">
        <f t="shared" si="204"/>
        <v>27.749999999999996</v>
      </c>
      <c r="W979" s="10" t="str">
        <f t="shared" si="205"/>
        <v>Low</v>
      </c>
      <c r="X979" s="1">
        <v>1</v>
      </c>
      <c r="Y979" s="1" t="str">
        <f t="shared" si="206"/>
        <v>Yes</v>
      </c>
      <c r="Z979" s="14">
        <v>4</v>
      </c>
      <c r="AA979" s="18">
        <f t="shared" si="207"/>
        <v>4</v>
      </c>
      <c r="AB979" s="18" t="str">
        <f t="shared" si="208"/>
        <v>High Performer</v>
      </c>
      <c r="AC979" s="9" t="s">
        <v>3832</v>
      </c>
      <c r="AD979">
        <f>IF(AC979="",0,LEN(AC979)-LEN(SUBSTITUTE(AC979,",",""))+1)</f>
        <v>5</v>
      </c>
    </row>
    <row r="980" spans="1:30" ht="12.5" x14ac:dyDescent="0.25">
      <c r="A980" s="1" t="s">
        <v>3833</v>
      </c>
      <c r="B980" s="1" t="s">
        <v>3834</v>
      </c>
      <c r="C980" s="1" t="str">
        <v>Eric Walker</v>
      </c>
      <c r="D980" s="1" t="s">
        <v>3835</v>
      </c>
      <c r="E980" s="1" t="str">
        <v>santosmichael@yahoo.com</v>
      </c>
      <c r="F980" t="str">
        <f t="shared" si="197"/>
        <v>Valid</v>
      </c>
      <c r="G980" s="1" t="s">
        <v>95</v>
      </c>
      <c r="H980" s="1" t="str">
        <f t="shared" si="198"/>
        <v>Male</v>
      </c>
      <c r="I980" s="1" t="s">
        <v>96</v>
      </c>
      <c r="J980" t="str">
        <f t="shared" si="199"/>
        <v>INDIA</v>
      </c>
      <c r="K980" s="14">
        <v>0</v>
      </c>
      <c r="L980" s="1">
        <f t="shared" si="200"/>
        <v>19</v>
      </c>
      <c r="M980" s="1" t="str">
        <f t="shared" si="201"/>
        <v>Student</v>
      </c>
      <c r="N980" s="9">
        <v>45248</v>
      </c>
      <c r="O980" s="1" t="s">
        <v>235</v>
      </c>
      <c r="P980" s="1" t="s">
        <v>147</v>
      </c>
      <c r="Q980" s="4">
        <v>0.95</v>
      </c>
      <c r="R980" s="13">
        <f t="shared" si="202"/>
        <v>95</v>
      </c>
      <c r="S980" s="6">
        <f t="shared" si="196"/>
        <v>0.95</v>
      </c>
      <c r="T980" s="1">
        <v>1.5</v>
      </c>
      <c r="U980" s="1">
        <f t="shared" si="203"/>
        <v>1.5</v>
      </c>
      <c r="V980" s="1">
        <f t="shared" si="204"/>
        <v>66.95</v>
      </c>
      <c r="W980" s="10" t="str">
        <f t="shared" si="205"/>
        <v>Medium</v>
      </c>
      <c r="X980" s="1">
        <v>1</v>
      </c>
      <c r="Y980" s="1" t="str">
        <f t="shared" si="206"/>
        <v>Yes</v>
      </c>
      <c r="Z980" s="14">
        <v>3</v>
      </c>
      <c r="AA980" s="18">
        <f t="shared" si="207"/>
        <v>3</v>
      </c>
      <c r="AB980" s="18" t="str">
        <f t="shared" si="208"/>
        <v>No</v>
      </c>
      <c r="AC980" s="9" t="s">
        <v>227</v>
      </c>
      <c r="AD980">
        <f>IF(AC980="",0,LEN(AC980)-LEN(SUBSTITUTE(AC980,",",""))+1)</f>
        <v>4</v>
      </c>
    </row>
    <row r="981" spans="1:30" ht="12.5" x14ac:dyDescent="0.25">
      <c r="A981" s="1" t="s">
        <v>3836</v>
      </c>
      <c r="B981" s="1" t="s">
        <v>3837</v>
      </c>
      <c r="C981" s="1" t="str">
        <v>Sarah Logan</v>
      </c>
      <c r="D981" s="1" t="s">
        <v>3838</v>
      </c>
      <c r="E981" s="1" t="str">
        <v>michaeljohnson@garcia.net</v>
      </c>
      <c r="F981" t="str">
        <f t="shared" si="197"/>
        <v>Valid</v>
      </c>
      <c r="G981" s="1" t="s">
        <v>109</v>
      </c>
      <c r="H981" s="1" t="str">
        <f t="shared" si="198"/>
        <v>Male</v>
      </c>
      <c r="I981" s="1" t="s">
        <v>96</v>
      </c>
      <c r="J981" t="str">
        <f t="shared" si="199"/>
        <v>INDIA</v>
      </c>
      <c r="L981" s="1">
        <f t="shared" si="200"/>
        <v>19</v>
      </c>
      <c r="M981" s="1" t="str">
        <f t="shared" si="201"/>
        <v>Student</v>
      </c>
      <c r="N981" s="2">
        <v>45482</v>
      </c>
      <c r="O981" s="1" t="s">
        <v>170</v>
      </c>
      <c r="P981" s="1" t="s">
        <v>147</v>
      </c>
      <c r="Q981" s="4">
        <v>0.81</v>
      </c>
      <c r="R981" s="13">
        <f t="shared" si="202"/>
        <v>81</v>
      </c>
      <c r="S981" s="6">
        <f t="shared" si="196"/>
        <v>0.81</v>
      </c>
      <c r="T981" s="1">
        <v>1.5</v>
      </c>
      <c r="U981" s="1">
        <f t="shared" si="203"/>
        <v>1.5</v>
      </c>
      <c r="V981" s="1">
        <f t="shared" si="204"/>
        <v>57.15</v>
      </c>
      <c r="W981" s="10" t="str">
        <f t="shared" si="205"/>
        <v>Medium</v>
      </c>
      <c r="X981" s="1" t="s">
        <v>32</v>
      </c>
      <c r="Y981" s="1" t="str">
        <f t="shared" si="206"/>
        <v>Yes</v>
      </c>
      <c r="AA981" s="18" t="str">
        <f t="shared" si="207"/>
        <v>Invalid</v>
      </c>
      <c r="AB981" s="18" t="str">
        <f t="shared" si="208"/>
        <v>High Performer</v>
      </c>
      <c r="AC981" s="9" t="s">
        <v>3839</v>
      </c>
      <c r="AD981">
        <f>IF(AC981="",0,LEN(AC981)-LEN(SUBSTITUTE(AC981,",",""))+1)</f>
        <v>3</v>
      </c>
    </row>
    <row r="982" spans="1:30" ht="12.5" x14ac:dyDescent="0.25">
      <c r="A982" s="1" t="s">
        <v>3840</v>
      </c>
      <c r="B982" s="1" t="s">
        <v>3841</v>
      </c>
      <c r="C982" s="1" t="str">
        <v>Robert Griffin</v>
      </c>
      <c r="D982" s="1" t="s">
        <v>3842</v>
      </c>
      <c r="E982" s="1" t="str">
        <v>jonathanstevenson@mayer.info</v>
      </c>
      <c r="F982" t="str">
        <f t="shared" si="197"/>
        <v>Valid</v>
      </c>
      <c r="G982" s="1" t="s">
        <v>27</v>
      </c>
      <c r="H982" s="1" t="str">
        <f t="shared" si="198"/>
        <v>Male</v>
      </c>
      <c r="I982" s="1" t="s">
        <v>28</v>
      </c>
      <c r="J982" t="str">
        <f t="shared" si="199"/>
        <v>INDIA</v>
      </c>
      <c r="L982" s="1">
        <f t="shared" si="200"/>
        <v>19</v>
      </c>
      <c r="M982" s="1" t="str">
        <f t="shared" si="201"/>
        <v>Student</v>
      </c>
      <c r="N982" s="9">
        <v>45488</v>
      </c>
      <c r="O982" s="1" t="s">
        <v>301</v>
      </c>
      <c r="P982" s="1" t="s">
        <v>20</v>
      </c>
      <c r="Q982" s="4">
        <v>53</v>
      </c>
      <c r="R982" s="13">
        <f t="shared" si="202"/>
        <v>53</v>
      </c>
      <c r="S982" s="6">
        <f t="shared" si="196"/>
        <v>0.53</v>
      </c>
      <c r="T982" s="1" t="s">
        <v>64</v>
      </c>
      <c r="U982" s="1">
        <f t="shared" si="203"/>
        <v>2</v>
      </c>
      <c r="V982" s="1">
        <f t="shared" si="204"/>
        <v>37.699999999999996</v>
      </c>
      <c r="W982" s="10" t="str">
        <f t="shared" si="205"/>
        <v>Low</v>
      </c>
      <c r="X982" s="1">
        <v>0</v>
      </c>
      <c r="Y982" s="1" t="str">
        <f t="shared" si="206"/>
        <v>No</v>
      </c>
      <c r="Z982" s="14">
        <v>4</v>
      </c>
      <c r="AA982" s="18">
        <f t="shared" si="207"/>
        <v>4</v>
      </c>
      <c r="AB982" s="18" t="str">
        <f t="shared" si="208"/>
        <v>No</v>
      </c>
      <c r="AC982" s="9" t="s">
        <v>3843</v>
      </c>
      <c r="AD982">
        <f>IF(AC982="",0,LEN(AC982)-LEN(SUBSTITUTE(AC982,",",""))+1)</f>
        <v>5</v>
      </c>
    </row>
    <row r="983" spans="1:30" ht="12.5" x14ac:dyDescent="0.25">
      <c r="A983" s="1" t="s">
        <v>3844</v>
      </c>
      <c r="B983" s="1" t="s">
        <v>3845</v>
      </c>
      <c r="C983" s="1" t="str">
        <v>Anna Lee</v>
      </c>
      <c r="D983" s="1" t="s">
        <v>3846</v>
      </c>
      <c r="E983" s="1" t="str">
        <v>alexandrabrown@sanchez.info</v>
      </c>
      <c r="F983" t="str">
        <f t="shared" si="197"/>
        <v>Valid</v>
      </c>
      <c r="G983" s="1" t="s">
        <v>43</v>
      </c>
      <c r="H983" s="1" t="str">
        <f t="shared" si="198"/>
        <v>Female</v>
      </c>
      <c r="I983" s="1" t="s">
        <v>18</v>
      </c>
      <c r="J983" t="str">
        <f t="shared" si="199"/>
        <v>US</v>
      </c>
      <c r="K983" s="14">
        <v>43</v>
      </c>
      <c r="L983" s="1">
        <f t="shared" si="200"/>
        <v>43</v>
      </c>
      <c r="M983" s="1" t="str">
        <f t="shared" si="201"/>
        <v>Senior</v>
      </c>
      <c r="N983" s="2">
        <v>45108</v>
      </c>
      <c r="O983" s="1" t="s">
        <v>36</v>
      </c>
      <c r="P983" s="1" t="s">
        <v>37</v>
      </c>
      <c r="Q983" s="4">
        <v>17</v>
      </c>
      <c r="R983" s="13">
        <f t="shared" si="202"/>
        <v>17</v>
      </c>
      <c r="S983" s="6">
        <f t="shared" si="196"/>
        <v>0.17</v>
      </c>
      <c r="T983" s="1">
        <v>1.5</v>
      </c>
      <c r="U983" s="1">
        <f t="shared" si="203"/>
        <v>1.5</v>
      </c>
      <c r="V983" s="1">
        <f t="shared" si="204"/>
        <v>12.349999999999998</v>
      </c>
      <c r="W983" s="10" t="str">
        <f t="shared" si="205"/>
        <v>Low</v>
      </c>
      <c r="X983" s="1" t="s">
        <v>38</v>
      </c>
      <c r="Y983" s="1" t="str">
        <f t="shared" si="206"/>
        <v>No</v>
      </c>
      <c r="Z983" s="14">
        <v>2</v>
      </c>
      <c r="AA983" s="18">
        <f t="shared" si="207"/>
        <v>2</v>
      </c>
      <c r="AB983" s="18" t="str">
        <f t="shared" si="208"/>
        <v>No</v>
      </c>
      <c r="AC983" s="9" t="s">
        <v>3847</v>
      </c>
      <c r="AD983">
        <f>IF(AC983="",0,LEN(AC983)-LEN(SUBSTITUTE(AC983,",",""))+1)</f>
        <v>2</v>
      </c>
    </row>
    <row r="984" spans="1:30" ht="12.5" x14ac:dyDescent="0.25">
      <c r="A984" s="1" t="s">
        <v>3848</v>
      </c>
      <c r="B984" s="1" t="s">
        <v>3849</v>
      </c>
      <c r="C984" s="1" t="str">
        <v>Richard Jones</v>
      </c>
      <c r="D984" s="1" t="s">
        <v>3850</v>
      </c>
      <c r="E984" s="1" t="str">
        <v>ramosthomas@gmail.com</v>
      </c>
      <c r="F984" t="str">
        <f t="shared" si="197"/>
        <v>Valid</v>
      </c>
      <c r="G984" s="1" t="s">
        <v>109</v>
      </c>
      <c r="H984" s="1" t="str">
        <f t="shared" si="198"/>
        <v>Male</v>
      </c>
      <c r="I984" s="1" t="s">
        <v>89</v>
      </c>
      <c r="J984" t="str">
        <f t="shared" si="199"/>
        <v>GERMANY</v>
      </c>
      <c r="K984" s="14">
        <v>32</v>
      </c>
      <c r="L984" s="1">
        <f t="shared" si="200"/>
        <v>32</v>
      </c>
      <c r="M984" s="1" t="str">
        <f t="shared" si="201"/>
        <v>Mid Career</v>
      </c>
      <c r="N984" s="9">
        <v>45379</v>
      </c>
      <c r="O984" s="1" t="s">
        <v>90</v>
      </c>
      <c r="P984" s="1" t="s">
        <v>31</v>
      </c>
      <c r="Q984" s="4">
        <v>0.35</v>
      </c>
      <c r="R984" s="13">
        <f t="shared" si="202"/>
        <v>35</v>
      </c>
      <c r="S984" s="6">
        <f t="shared" si="196"/>
        <v>0.35</v>
      </c>
      <c r="T984" s="1">
        <v>2</v>
      </c>
      <c r="U984" s="1">
        <f t="shared" si="203"/>
        <v>2</v>
      </c>
      <c r="V984" s="1">
        <f t="shared" si="204"/>
        <v>25.1</v>
      </c>
      <c r="W984" s="10" t="str">
        <f t="shared" si="205"/>
        <v>Low</v>
      </c>
      <c r="X984" s="1" t="s">
        <v>32</v>
      </c>
      <c r="Y984" s="1" t="str">
        <f t="shared" si="206"/>
        <v>Yes</v>
      </c>
      <c r="Z984" s="14">
        <v>2</v>
      </c>
      <c r="AA984" s="18">
        <f t="shared" si="207"/>
        <v>2</v>
      </c>
      <c r="AB984" s="18" t="str">
        <f t="shared" si="208"/>
        <v>No</v>
      </c>
      <c r="AC984" s="9" t="s">
        <v>3851</v>
      </c>
      <c r="AD984">
        <f>IF(AC984="",0,LEN(AC984)-LEN(SUBSTITUTE(AC984,",",""))+1)</f>
        <v>4</v>
      </c>
    </row>
    <row r="985" spans="1:30" ht="12.5" x14ac:dyDescent="0.25">
      <c r="A985" s="1" t="s">
        <v>3852</v>
      </c>
      <c r="B985" s="1" t="s">
        <v>3853</v>
      </c>
      <c r="C985" s="1" t="str">
        <v>Adam Jordan</v>
      </c>
      <c r="D985" s="1" t="s">
        <v>3854</v>
      </c>
      <c r="E985" s="1" t="str">
        <v>mwaters@shaffer.com</v>
      </c>
      <c r="F985" t="str">
        <f t="shared" si="197"/>
        <v>Valid</v>
      </c>
      <c r="G985" s="1" t="s">
        <v>119</v>
      </c>
      <c r="H985" s="1" t="str">
        <f t="shared" si="198"/>
        <v>Female</v>
      </c>
      <c r="I985" s="1" t="s">
        <v>44</v>
      </c>
      <c r="J985" t="str">
        <f t="shared" si="199"/>
        <v>CANADA</v>
      </c>
      <c r="K985" s="14">
        <v>44</v>
      </c>
      <c r="L985" s="1">
        <f t="shared" si="200"/>
        <v>44</v>
      </c>
      <c r="M985" s="1" t="str">
        <f t="shared" si="201"/>
        <v>Senior</v>
      </c>
      <c r="N985" s="9">
        <v>45500</v>
      </c>
      <c r="O985" s="1" t="s">
        <v>45</v>
      </c>
      <c r="P985" s="1" t="s">
        <v>20</v>
      </c>
      <c r="Q985" s="4">
        <v>0.13</v>
      </c>
      <c r="R985" s="13">
        <f t="shared" si="202"/>
        <v>13</v>
      </c>
      <c r="S985" s="6">
        <f t="shared" si="196"/>
        <v>0.13</v>
      </c>
      <c r="T985" s="1">
        <v>45</v>
      </c>
      <c r="U985" s="1">
        <f t="shared" si="203"/>
        <v>45</v>
      </c>
      <c r="V985" s="1">
        <f t="shared" si="204"/>
        <v>22.6</v>
      </c>
      <c r="W985" s="10" t="str">
        <f t="shared" si="205"/>
        <v>Low</v>
      </c>
      <c r="X985" s="1">
        <v>1</v>
      </c>
      <c r="Y985" s="1" t="str">
        <f t="shared" si="206"/>
        <v>Yes</v>
      </c>
      <c r="Z985" s="14">
        <v>6</v>
      </c>
      <c r="AA985" s="18">
        <f t="shared" si="207"/>
        <v>6</v>
      </c>
      <c r="AB985" s="18" t="str">
        <f t="shared" si="208"/>
        <v>High Performer</v>
      </c>
      <c r="AC985" s="9" t="s">
        <v>3855</v>
      </c>
      <c r="AD985">
        <f>IF(AC985="",0,LEN(AC985)-LEN(SUBSTITUTE(AC985,",",""))+1)</f>
        <v>2</v>
      </c>
    </row>
    <row r="986" spans="1:30" ht="12.5" x14ac:dyDescent="0.25">
      <c r="A986" s="1" t="s">
        <v>3856</v>
      </c>
      <c r="B986" s="1" t="s">
        <v>3857</v>
      </c>
      <c r="C986" s="1" t="str">
        <v>Christopher Hunter Md</v>
      </c>
      <c r="D986" s="1" t="s">
        <v>3858</v>
      </c>
      <c r="E986" s="1" t="str">
        <v>michelle35@yahoo.com</v>
      </c>
      <c r="F986" t="str">
        <f t="shared" si="197"/>
        <v>Valid</v>
      </c>
      <c r="G986" s="1" t="s">
        <v>17</v>
      </c>
      <c r="H986" s="1" t="str">
        <f t="shared" si="198"/>
        <v>Female</v>
      </c>
      <c r="I986" s="1" t="s">
        <v>136</v>
      </c>
      <c r="J986" t="str">
        <f t="shared" si="199"/>
        <v>UK</v>
      </c>
      <c r="K986" s="14">
        <v>0</v>
      </c>
      <c r="L986" s="1">
        <f t="shared" si="200"/>
        <v>19</v>
      </c>
      <c r="M986" s="1" t="str">
        <f t="shared" si="201"/>
        <v>Student</v>
      </c>
      <c r="N986" s="2">
        <v>44990</v>
      </c>
      <c r="O986" s="1" t="s">
        <v>158</v>
      </c>
      <c r="P986" s="1" t="s">
        <v>59</v>
      </c>
      <c r="Q986" s="4">
        <v>0.34</v>
      </c>
      <c r="R986" s="13">
        <f t="shared" si="202"/>
        <v>34</v>
      </c>
      <c r="S986" s="6">
        <f t="shared" si="196"/>
        <v>0.34</v>
      </c>
      <c r="T986" s="1" t="s">
        <v>46</v>
      </c>
      <c r="U986" s="1">
        <f t="shared" si="203"/>
        <v>1</v>
      </c>
      <c r="V986" s="1">
        <f t="shared" si="204"/>
        <v>24.099999999999998</v>
      </c>
      <c r="W986" s="10" t="str">
        <f t="shared" si="205"/>
        <v>Low</v>
      </c>
      <c r="X986" s="1">
        <v>0</v>
      </c>
      <c r="Y986" s="1" t="str">
        <f t="shared" si="206"/>
        <v>No</v>
      </c>
      <c r="Z986" s="14">
        <v>1</v>
      </c>
      <c r="AA986" s="18">
        <f t="shared" si="207"/>
        <v>1</v>
      </c>
      <c r="AB986" s="18" t="str">
        <f t="shared" si="208"/>
        <v>No</v>
      </c>
      <c r="AC986" s="9" t="s">
        <v>3859</v>
      </c>
      <c r="AD986">
        <f>IF(AC986="",0,LEN(AC986)-LEN(SUBSTITUTE(AC986,",",""))+1)</f>
        <v>2</v>
      </c>
    </row>
    <row r="987" spans="1:30" ht="12.5" x14ac:dyDescent="0.25">
      <c r="A987" s="1" t="s">
        <v>3860</v>
      </c>
      <c r="B987" s="1" t="s">
        <v>3861</v>
      </c>
      <c r="C987" s="1" t="str">
        <v>William Bautista</v>
      </c>
      <c r="D987" s="1" t="s">
        <v>3862</v>
      </c>
      <c r="E987" s="1" t="str">
        <v>floresterri@yahoo.com</v>
      </c>
      <c r="F987" t="str">
        <f t="shared" si="197"/>
        <v>Valid</v>
      </c>
      <c r="G987" s="1" t="s">
        <v>43</v>
      </c>
      <c r="H987" s="1" t="str">
        <f t="shared" si="198"/>
        <v>Female</v>
      </c>
      <c r="I987" s="1" t="s">
        <v>136</v>
      </c>
      <c r="J987" t="str">
        <f t="shared" si="199"/>
        <v>UK</v>
      </c>
      <c r="K987" s="14">
        <v>0</v>
      </c>
      <c r="L987" s="1">
        <f t="shared" si="200"/>
        <v>19</v>
      </c>
      <c r="M987" s="1" t="str">
        <f t="shared" si="201"/>
        <v>Student</v>
      </c>
      <c r="N987" s="9">
        <v>45710</v>
      </c>
      <c r="O987" s="1" t="s">
        <v>58</v>
      </c>
      <c r="P987" s="1" t="s">
        <v>59</v>
      </c>
      <c r="Q987" s="4">
        <v>0.93</v>
      </c>
      <c r="R987" s="13">
        <f t="shared" si="202"/>
        <v>93</v>
      </c>
      <c r="S987" s="6">
        <f t="shared" si="196"/>
        <v>0.93</v>
      </c>
      <c r="T987" s="1">
        <v>45</v>
      </c>
      <c r="U987" s="1">
        <f t="shared" si="203"/>
        <v>45</v>
      </c>
      <c r="V987" s="1">
        <f t="shared" si="204"/>
        <v>78.599999999999994</v>
      </c>
      <c r="W987" s="10" t="str">
        <f t="shared" si="205"/>
        <v>High</v>
      </c>
      <c r="X987" s="1" t="s">
        <v>38</v>
      </c>
      <c r="Y987" s="1" t="str">
        <f t="shared" si="206"/>
        <v>No</v>
      </c>
      <c r="Z987" s="14">
        <v>5</v>
      </c>
      <c r="AA987" s="18">
        <f t="shared" si="207"/>
        <v>5</v>
      </c>
      <c r="AB987" s="18" t="str">
        <f t="shared" si="208"/>
        <v>No</v>
      </c>
      <c r="AC987" s="9" t="s">
        <v>3863</v>
      </c>
      <c r="AD987">
        <f>IF(AC987="",0,LEN(AC987)-LEN(SUBSTITUTE(AC987,",",""))+1)</f>
        <v>4</v>
      </c>
    </row>
    <row r="988" spans="1:30" ht="12.5" x14ac:dyDescent="0.25">
      <c r="A988" s="1" t="s">
        <v>3864</v>
      </c>
      <c r="B988" s="1" t="s">
        <v>3865</v>
      </c>
      <c r="C988" s="1" t="str">
        <v>Eric Schaefer</v>
      </c>
      <c r="D988" s="1" t="s">
        <v>3866</v>
      </c>
      <c r="E988" s="1" t="str">
        <v>dana82@gmail.com</v>
      </c>
      <c r="F988" t="str">
        <f t="shared" si="197"/>
        <v>Valid</v>
      </c>
      <c r="G988" s="1" t="s">
        <v>57</v>
      </c>
      <c r="H988" s="1" t="str">
        <f t="shared" si="198"/>
        <v>Female</v>
      </c>
      <c r="I988" s="1" t="s">
        <v>18</v>
      </c>
      <c r="J988" t="str">
        <f t="shared" si="199"/>
        <v>US</v>
      </c>
      <c r="L988" s="1">
        <f t="shared" si="200"/>
        <v>19</v>
      </c>
      <c r="M988" s="1" t="str">
        <f t="shared" si="201"/>
        <v>Student</v>
      </c>
      <c r="N988" s="9">
        <v>45428</v>
      </c>
      <c r="O988" s="1" t="s">
        <v>45</v>
      </c>
      <c r="P988" s="1" t="s">
        <v>20</v>
      </c>
      <c r="Q988" s="4">
        <v>93</v>
      </c>
      <c r="R988" s="13">
        <f t="shared" si="202"/>
        <v>93</v>
      </c>
      <c r="S988" s="6">
        <f t="shared" si="196"/>
        <v>0.93</v>
      </c>
      <c r="T988" s="1">
        <v>2</v>
      </c>
      <c r="U988" s="1">
        <f t="shared" si="203"/>
        <v>2</v>
      </c>
      <c r="V988" s="1">
        <f t="shared" si="204"/>
        <v>65.699999999999989</v>
      </c>
      <c r="W988" s="10" t="str">
        <f t="shared" si="205"/>
        <v>Medium</v>
      </c>
      <c r="X988" s="1" t="s">
        <v>76</v>
      </c>
      <c r="Y988" s="1" t="str">
        <f t="shared" si="206"/>
        <v>Yes</v>
      </c>
      <c r="Z988" s="14">
        <v>3</v>
      </c>
      <c r="AA988" s="18">
        <f t="shared" si="207"/>
        <v>3</v>
      </c>
      <c r="AB988" s="18" t="str">
        <f t="shared" si="208"/>
        <v>No</v>
      </c>
      <c r="AC988" s="9" t="s">
        <v>3867</v>
      </c>
      <c r="AD988">
        <f>IF(AC988="",0,LEN(AC988)-LEN(SUBSTITUTE(AC988,",",""))+1)</f>
        <v>2</v>
      </c>
    </row>
    <row r="989" spans="1:30" ht="12.5" x14ac:dyDescent="0.25">
      <c r="A989" s="1" t="s">
        <v>3868</v>
      </c>
      <c r="B989" s="1" t="s">
        <v>3869</v>
      </c>
      <c r="C989" s="1" t="str">
        <v>Erica Moreno</v>
      </c>
      <c r="D989" s="1" t="s">
        <v>3870</v>
      </c>
      <c r="E989" s="1" t="str">
        <v>sara39@moore.com</v>
      </c>
      <c r="F989" t="str">
        <f t="shared" si="197"/>
        <v>Valid</v>
      </c>
      <c r="G989" s="1" t="s">
        <v>119</v>
      </c>
      <c r="H989" s="1" t="str">
        <f t="shared" si="198"/>
        <v>Female</v>
      </c>
      <c r="I989" s="1" t="s">
        <v>96</v>
      </c>
      <c r="J989" t="str">
        <f t="shared" si="199"/>
        <v>INDIA</v>
      </c>
      <c r="K989" s="14">
        <v>0</v>
      </c>
      <c r="L989" s="1">
        <f t="shared" si="200"/>
        <v>19</v>
      </c>
      <c r="M989" s="1" t="str">
        <f t="shared" si="201"/>
        <v>Student</v>
      </c>
      <c r="N989" s="9">
        <v>44826</v>
      </c>
      <c r="O989" s="1" t="s">
        <v>19</v>
      </c>
      <c r="P989" s="1" t="s">
        <v>20</v>
      </c>
      <c r="Q989" s="4">
        <v>0.28000000000000003</v>
      </c>
      <c r="R989" s="13">
        <f t="shared" si="202"/>
        <v>28.000000000000004</v>
      </c>
      <c r="S989" s="6">
        <f t="shared" si="196"/>
        <v>0.28000000000000003</v>
      </c>
      <c r="T989" s="1" t="s">
        <v>21</v>
      </c>
      <c r="U989" s="1">
        <f t="shared" si="203"/>
        <v>1.5</v>
      </c>
      <c r="V989" s="1">
        <f t="shared" si="204"/>
        <v>20.05</v>
      </c>
      <c r="W989" s="10" t="str">
        <f t="shared" si="205"/>
        <v>Low</v>
      </c>
      <c r="X989" s="1">
        <v>1</v>
      </c>
      <c r="Y989" s="1" t="str">
        <f t="shared" si="206"/>
        <v>Yes</v>
      </c>
      <c r="Z989" s="14">
        <v>5</v>
      </c>
      <c r="AA989" s="18">
        <f t="shared" si="207"/>
        <v>5</v>
      </c>
      <c r="AB989" s="18" t="str">
        <f t="shared" si="208"/>
        <v>High Performer</v>
      </c>
      <c r="AC989" s="9" t="s">
        <v>3871</v>
      </c>
      <c r="AD989">
        <f>IF(AC989="",0,LEN(AC989)-LEN(SUBSTITUTE(AC989,",",""))+1)</f>
        <v>8</v>
      </c>
    </row>
    <row r="990" spans="1:30" ht="12.5" x14ac:dyDescent="0.25">
      <c r="A990" s="1" t="s">
        <v>3872</v>
      </c>
      <c r="B990" s="1" t="s">
        <v>3873</v>
      </c>
      <c r="C990" s="1" t="str">
        <v>Veronica Valdez</v>
      </c>
      <c r="D990" s="1" t="s">
        <v>3874</v>
      </c>
      <c r="E990" s="1" t="str">
        <v>jeremy47@yahoo.com</v>
      </c>
      <c r="F990" t="str">
        <f t="shared" si="197"/>
        <v>Valid</v>
      </c>
      <c r="G990" s="1" t="s">
        <v>43</v>
      </c>
      <c r="H990" s="1" t="str">
        <f t="shared" si="198"/>
        <v>Female</v>
      </c>
      <c r="I990" s="1" t="s">
        <v>156</v>
      </c>
      <c r="J990" t="str">
        <f t="shared" si="199"/>
        <v>IN</v>
      </c>
      <c r="K990" s="14">
        <v>0</v>
      </c>
      <c r="L990" s="1">
        <f t="shared" si="200"/>
        <v>19</v>
      </c>
      <c r="M990" s="1" t="str">
        <f t="shared" si="201"/>
        <v>Student</v>
      </c>
      <c r="N990" s="2">
        <v>44785</v>
      </c>
      <c r="O990" s="1" t="s">
        <v>158</v>
      </c>
      <c r="P990" s="1" t="s">
        <v>59</v>
      </c>
      <c r="Q990" s="4">
        <v>82</v>
      </c>
      <c r="R990" s="13">
        <f t="shared" si="202"/>
        <v>82</v>
      </c>
      <c r="S990" s="6">
        <f t="shared" si="196"/>
        <v>0.82</v>
      </c>
      <c r="T990" s="1">
        <v>45</v>
      </c>
      <c r="U990" s="1">
        <f t="shared" si="203"/>
        <v>45</v>
      </c>
      <c r="V990" s="1">
        <f t="shared" si="204"/>
        <v>70.900000000000006</v>
      </c>
      <c r="W990" s="10" t="str">
        <f t="shared" si="205"/>
        <v>Medium</v>
      </c>
      <c r="X990" s="1">
        <v>1</v>
      </c>
      <c r="Y990" s="1" t="str">
        <f t="shared" si="206"/>
        <v>Yes</v>
      </c>
      <c r="Z990" s="14">
        <v>1</v>
      </c>
      <c r="AA990" s="18">
        <f t="shared" si="207"/>
        <v>1</v>
      </c>
      <c r="AB990" s="18" t="str">
        <f t="shared" si="208"/>
        <v>No</v>
      </c>
      <c r="AC990" s="9" t="s">
        <v>3875</v>
      </c>
      <c r="AD990">
        <f>IF(AC990="",0,LEN(AC990)-LEN(SUBSTITUTE(AC990,",",""))+1)</f>
        <v>2</v>
      </c>
    </row>
    <row r="991" spans="1:30" ht="12.5" x14ac:dyDescent="0.25">
      <c r="A991" s="1" t="s">
        <v>3876</v>
      </c>
      <c r="B991" s="1" t="s">
        <v>3877</v>
      </c>
      <c r="C991" s="1" t="str">
        <v>Patrick Cole</v>
      </c>
      <c r="D991" s="1" t="s">
        <v>3878</v>
      </c>
      <c r="E991" s="1" t="str">
        <v>afarmer@yahoo.com</v>
      </c>
      <c r="F991" t="str">
        <f t="shared" si="197"/>
        <v>Valid</v>
      </c>
      <c r="G991" s="1" t="s">
        <v>95</v>
      </c>
      <c r="H991" s="1" t="str">
        <f t="shared" si="198"/>
        <v>Male</v>
      </c>
      <c r="I991" s="1" t="s">
        <v>18</v>
      </c>
      <c r="J991" t="str">
        <f t="shared" si="199"/>
        <v>US</v>
      </c>
      <c r="K991" s="14">
        <v>0</v>
      </c>
      <c r="L991" s="1">
        <f t="shared" si="200"/>
        <v>19</v>
      </c>
      <c r="M991" s="1" t="str">
        <f t="shared" si="201"/>
        <v>Student</v>
      </c>
      <c r="N991" s="2">
        <v>45027</v>
      </c>
      <c r="O991" s="1" t="s">
        <v>58</v>
      </c>
      <c r="P991" s="1" t="s">
        <v>59</v>
      </c>
      <c r="Q991" s="4">
        <v>0.56000000000000005</v>
      </c>
      <c r="R991" s="13">
        <f t="shared" si="202"/>
        <v>56.000000000000007</v>
      </c>
      <c r="S991" s="6">
        <f t="shared" si="196"/>
        <v>0.56000000000000005</v>
      </c>
      <c r="T991" s="1">
        <v>2</v>
      </c>
      <c r="U991" s="1">
        <f t="shared" si="203"/>
        <v>2</v>
      </c>
      <c r="V991" s="1">
        <f t="shared" si="204"/>
        <v>39.800000000000004</v>
      </c>
      <c r="W991" s="10" t="str">
        <f t="shared" si="205"/>
        <v>Low</v>
      </c>
      <c r="X991" s="1" t="s">
        <v>38</v>
      </c>
      <c r="Y991" s="1" t="str">
        <f t="shared" si="206"/>
        <v>No</v>
      </c>
      <c r="Z991" s="14">
        <v>6</v>
      </c>
      <c r="AA991" s="18">
        <f t="shared" si="207"/>
        <v>6</v>
      </c>
      <c r="AB991" s="18" t="str">
        <f t="shared" si="208"/>
        <v>No</v>
      </c>
      <c r="AC991" s="9">
        <v>45027</v>
      </c>
      <c r="AD991">
        <f>IF(AC991="",0,LEN(AC991)-LEN(SUBSTITUTE(AC991,",",""))+1)</f>
        <v>1</v>
      </c>
    </row>
    <row r="992" spans="1:30" ht="12.5" x14ac:dyDescent="0.25">
      <c r="A992" s="1" t="s">
        <v>3879</v>
      </c>
      <c r="B992" s="1" t="s">
        <v>3880</v>
      </c>
      <c r="C992" s="1" t="str">
        <v>Vanessa Wang</v>
      </c>
      <c r="D992" s="1" t="s">
        <v>3881</v>
      </c>
      <c r="E992" s="1" t="str">
        <v>jasonmoran@wall-johnson.biz</v>
      </c>
      <c r="F992" t="str">
        <f t="shared" si="197"/>
        <v>Valid</v>
      </c>
      <c r="G992" s="1" t="s">
        <v>95</v>
      </c>
      <c r="H992" s="1" t="str">
        <f t="shared" si="198"/>
        <v>Male</v>
      </c>
      <c r="I992" s="1" t="s">
        <v>136</v>
      </c>
      <c r="J992" t="str">
        <f t="shared" si="199"/>
        <v>UK</v>
      </c>
      <c r="L992" s="1">
        <f t="shared" si="200"/>
        <v>19</v>
      </c>
      <c r="M992" s="1" t="str">
        <f t="shared" si="201"/>
        <v>Student</v>
      </c>
      <c r="N992" s="2">
        <v>44568</v>
      </c>
      <c r="O992" s="1" t="s">
        <v>19</v>
      </c>
      <c r="P992" s="1" t="s">
        <v>20</v>
      </c>
      <c r="Q992" s="4">
        <v>0.42</v>
      </c>
      <c r="R992" s="13">
        <f t="shared" si="202"/>
        <v>42</v>
      </c>
      <c r="S992" s="6">
        <f t="shared" si="196"/>
        <v>0.42</v>
      </c>
      <c r="T992" s="1">
        <v>1.5</v>
      </c>
      <c r="U992" s="1">
        <f t="shared" si="203"/>
        <v>1.5</v>
      </c>
      <c r="V992" s="1">
        <f t="shared" si="204"/>
        <v>29.849999999999998</v>
      </c>
      <c r="W992" s="10" t="str">
        <f t="shared" si="205"/>
        <v>Low</v>
      </c>
      <c r="X992" s="1">
        <v>0</v>
      </c>
      <c r="Y992" s="1" t="str">
        <f t="shared" si="206"/>
        <v>No</v>
      </c>
      <c r="Z992" s="14">
        <v>1</v>
      </c>
      <c r="AA992" s="18">
        <f t="shared" si="207"/>
        <v>1</v>
      </c>
      <c r="AB992" s="18" t="str">
        <f t="shared" si="208"/>
        <v>No</v>
      </c>
      <c r="AC992" s="9" t="s">
        <v>3882</v>
      </c>
      <c r="AD992">
        <f>IF(AC992="",0,LEN(AC992)-LEN(SUBSTITUTE(AC992,",",""))+1)</f>
        <v>3</v>
      </c>
    </row>
    <row r="993" spans="1:30" ht="12.5" x14ac:dyDescent="0.25">
      <c r="A993" s="1" t="s">
        <v>3883</v>
      </c>
      <c r="B993" s="1" t="s">
        <v>3884</v>
      </c>
      <c r="C993" s="1" t="str">
        <v>Daniel Shaw</v>
      </c>
      <c r="D993" s="1" t="s">
        <v>3885</v>
      </c>
      <c r="E993" s="1" t="str">
        <v>jonesethan@hotmail.com</v>
      </c>
      <c r="F993" t="str">
        <f t="shared" si="197"/>
        <v>Valid</v>
      </c>
      <c r="G993" s="1" t="s">
        <v>27</v>
      </c>
      <c r="H993" s="1" t="str">
        <f t="shared" si="198"/>
        <v>Male</v>
      </c>
      <c r="I993" s="1" t="s">
        <v>51</v>
      </c>
      <c r="J993" t="str">
        <f t="shared" si="199"/>
        <v>UK</v>
      </c>
      <c r="K993" s="14">
        <v>0</v>
      </c>
      <c r="L993" s="1">
        <f t="shared" si="200"/>
        <v>19</v>
      </c>
      <c r="M993" s="1" t="str">
        <f t="shared" si="201"/>
        <v>Student</v>
      </c>
      <c r="N993" s="9">
        <v>45252</v>
      </c>
      <c r="O993" s="1" t="s">
        <v>52</v>
      </c>
      <c r="P993" s="1" t="s">
        <v>37</v>
      </c>
      <c r="Q993" s="4">
        <v>0.06</v>
      </c>
      <c r="R993" s="13">
        <f t="shared" si="202"/>
        <v>6</v>
      </c>
      <c r="S993" s="6">
        <f t="shared" si="196"/>
        <v>0.06</v>
      </c>
      <c r="T993" s="1">
        <v>2</v>
      </c>
      <c r="U993" s="1">
        <f t="shared" si="203"/>
        <v>2</v>
      </c>
      <c r="V993" s="1">
        <f t="shared" si="204"/>
        <v>4.7999999999999989</v>
      </c>
      <c r="W993" s="10" t="str">
        <f t="shared" si="205"/>
        <v>Low</v>
      </c>
      <c r="X993" s="1">
        <v>1</v>
      </c>
      <c r="Y993" s="1" t="str">
        <f t="shared" si="206"/>
        <v>Yes</v>
      </c>
      <c r="Z993" s="14">
        <v>3</v>
      </c>
      <c r="AA993" s="18">
        <f t="shared" si="207"/>
        <v>3</v>
      </c>
      <c r="AB993" s="18" t="str">
        <f t="shared" si="208"/>
        <v>No</v>
      </c>
      <c r="AC993" s="9" t="s">
        <v>3886</v>
      </c>
      <c r="AD993">
        <f>IF(AC993="",0,LEN(AC993)-LEN(SUBSTITUTE(AC993,",",""))+1)</f>
        <v>4</v>
      </c>
    </row>
    <row r="994" spans="1:30" ht="12.5" x14ac:dyDescent="0.25">
      <c r="A994" s="1" t="s">
        <v>3887</v>
      </c>
      <c r="B994" s="1" t="s">
        <v>3888</v>
      </c>
      <c r="C994" s="1" t="str">
        <v>Theresa Harrington</v>
      </c>
      <c r="D994" s="1" t="s">
        <v>3889</v>
      </c>
      <c r="E994" s="1" t="str">
        <v>mwright@hotmail.com</v>
      </c>
      <c r="F994" t="str">
        <f t="shared" si="197"/>
        <v>Valid</v>
      </c>
      <c r="G994" s="1" t="s">
        <v>57</v>
      </c>
      <c r="H994" s="1" t="str">
        <f t="shared" si="198"/>
        <v>Female</v>
      </c>
      <c r="I994" s="1" t="s">
        <v>96</v>
      </c>
      <c r="J994" t="str">
        <f t="shared" si="199"/>
        <v>INDIA</v>
      </c>
      <c r="K994" s="14">
        <v>41</v>
      </c>
      <c r="L994" s="1">
        <f t="shared" si="200"/>
        <v>41</v>
      </c>
      <c r="M994" s="1" t="str">
        <f t="shared" si="201"/>
        <v>Senior</v>
      </c>
      <c r="N994" s="9">
        <v>45403</v>
      </c>
      <c r="O994" s="1" t="s">
        <v>75</v>
      </c>
      <c r="P994" s="1" t="s">
        <v>37</v>
      </c>
      <c r="Q994" s="4">
        <v>22</v>
      </c>
      <c r="R994" s="13">
        <f t="shared" si="202"/>
        <v>22</v>
      </c>
      <c r="S994" s="6">
        <f t="shared" si="196"/>
        <v>0.22</v>
      </c>
      <c r="T994" s="1">
        <v>2</v>
      </c>
      <c r="U994" s="1">
        <f t="shared" si="203"/>
        <v>2</v>
      </c>
      <c r="V994" s="1">
        <f t="shared" si="204"/>
        <v>15.999999999999998</v>
      </c>
      <c r="W994" s="10" t="str">
        <f t="shared" si="205"/>
        <v>Low</v>
      </c>
      <c r="X994" s="1" t="s">
        <v>32</v>
      </c>
      <c r="Y994" s="1" t="str">
        <f t="shared" si="206"/>
        <v>Yes</v>
      </c>
      <c r="Z994" s="14">
        <v>6</v>
      </c>
      <c r="AA994" s="18">
        <f t="shared" si="207"/>
        <v>6</v>
      </c>
      <c r="AB994" s="18" t="str">
        <f t="shared" si="208"/>
        <v>High Performer</v>
      </c>
      <c r="AC994" s="9" t="s">
        <v>3890</v>
      </c>
      <c r="AD994">
        <f>IF(AC994="",0,LEN(AC994)-LEN(SUBSTITUTE(AC994,",",""))+1)</f>
        <v>7</v>
      </c>
    </row>
    <row r="995" spans="1:30" ht="12.5" x14ac:dyDescent="0.25">
      <c r="A995" s="1" t="s">
        <v>3891</v>
      </c>
      <c r="B995" s="1" t="s">
        <v>3892</v>
      </c>
      <c r="C995" s="1" t="str">
        <v>Joshua Kim</v>
      </c>
      <c r="D995" s="1" t="s">
        <v>3893</v>
      </c>
      <c r="E995" s="1" t="str">
        <v>ruiznicole@gmail.com</v>
      </c>
      <c r="F995" t="str">
        <f t="shared" si="197"/>
        <v>Valid</v>
      </c>
      <c r="G995" s="1" t="s">
        <v>43</v>
      </c>
      <c r="H995" s="1" t="str">
        <f t="shared" si="198"/>
        <v>Female</v>
      </c>
      <c r="I995" s="1" t="s">
        <v>44</v>
      </c>
      <c r="J995" t="str">
        <f t="shared" si="199"/>
        <v>CANADA</v>
      </c>
      <c r="K995" s="14">
        <v>0</v>
      </c>
      <c r="L995" s="1">
        <f t="shared" si="200"/>
        <v>19</v>
      </c>
      <c r="M995" s="1" t="str">
        <f t="shared" si="201"/>
        <v>Student</v>
      </c>
      <c r="N995" s="3">
        <v>45210</v>
      </c>
      <c r="O995" s="1" t="s">
        <v>45</v>
      </c>
      <c r="P995" s="1" t="s">
        <v>20</v>
      </c>
      <c r="Q995" s="4">
        <v>0.79</v>
      </c>
      <c r="R995" s="13">
        <f t="shared" si="202"/>
        <v>79</v>
      </c>
      <c r="S995" s="6">
        <f t="shared" si="196"/>
        <v>0.79</v>
      </c>
      <c r="T995" s="1" t="s">
        <v>46</v>
      </c>
      <c r="U995" s="1">
        <f t="shared" si="203"/>
        <v>1</v>
      </c>
      <c r="V995" s="1">
        <f t="shared" si="204"/>
        <v>55.599999999999994</v>
      </c>
      <c r="W995" s="10" t="str">
        <f t="shared" si="205"/>
        <v>Medium</v>
      </c>
      <c r="X995" s="1" t="s">
        <v>32</v>
      </c>
      <c r="Y995" s="1" t="str">
        <f t="shared" si="206"/>
        <v>Yes</v>
      </c>
      <c r="Z995" s="14">
        <v>4</v>
      </c>
      <c r="AA995" s="18">
        <f t="shared" si="207"/>
        <v>4</v>
      </c>
      <c r="AB995" s="18" t="str">
        <f t="shared" si="208"/>
        <v>High Performer</v>
      </c>
      <c r="AC995" s="9" t="s">
        <v>3894</v>
      </c>
      <c r="AD995">
        <f>IF(AC995="",0,LEN(AC995)-LEN(SUBSTITUTE(AC995,",",""))+1)</f>
        <v>2</v>
      </c>
    </row>
    <row r="996" spans="1:30" ht="12.5" x14ac:dyDescent="0.25">
      <c r="A996" s="1" t="s">
        <v>3895</v>
      </c>
      <c r="B996" s="1" t="s">
        <v>3896</v>
      </c>
      <c r="C996" s="1" t="str">
        <v>Shelly Lawrence</v>
      </c>
      <c r="D996" s="1" t="s">
        <v>3897</v>
      </c>
      <c r="E996" s="1" t="str">
        <v>gonzalesmark@farmer.com</v>
      </c>
      <c r="F996" t="str">
        <f t="shared" si="197"/>
        <v>Valid</v>
      </c>
      <c r="G996" s="1" t="s">
        <v>27</v>
      </c>
      <c r="H996" s="1" t="str">
        <f t="shared" si="198"/>
        <v>Male</v>
      </c>
      <c r="I996" s="1" t="s">
        <v>96</v>
      </c>
      <c r="J996" t="str">
        <f t="shared" si="199"/>
        <v>INDIA</v>
      </c>
      <c r="K996" s="14">
        <v>35</v>
      </c>
      <c r="L996" s="1">
        <f t="shared" si="200"/>
        <v>35</v>
      </c>
      <c r="M996" s="1" t="str">
        <f t="shared" si="201"/>
        <v>Mid Career</v>
      </c>
      <c r="N996" s="9">
        <v>45162</v>
      </c>
      <c r="O996" s="1" t="s">
        <v>58</v>
      </c>
      <c r="P996" s="1" t="s">
        <v>59</v>
      </c>
      <c r="Q996" s="4">
        <v>0.14000000000000001</v>
      </c>
      <c r="R996" s="13">
        <f t="shared" si="202"/>
        <v>14.000000000000002</v>
      </c>
      <c r="S996" s="6">
        <f t="shared" si="196"/>
        <v>0.14000000000000001</v>
      </c>
      <c r="T996" s="1" t="s">
        <v>21</v>
      </c>
      <c r="U996" s="1">
        <f t="shared" si="203"/>
        <v>1.5</v>
      </c>
      <c r="V996" s="1">
        <f t="shared" si="204"/>
        <v>10.25</v>
      </c>
      <c r="W996" s="10" t="str">
        <f t="shared" si="205"/>
        <v>Low</v>
      </c>
      <c r="X996" s="1">
        <v>0</v>
      </c>
      <c r="Y996" s="1" t="str">
        <f t="shared" si="206"/>
        <v>No</v>
      </c>
      <c r="Z996" s="14">
        <v>2</v>
      </c>
      <c r="AA996" s="18">
        <f t="shared" si="207"/>
        <v>2</v>
      </c>
      <c r="AB996" s="18" t="str">
        <f t="shared" si="208"/>
        <v>No</v>
      </c>
      <c r="AC996" s="9" t="s">
        <v>3898</v>
      </c>
      <c r="AD996">
        <f>IF(AC996="",0,LEN(AC996)-LEN(SUBSTITUTE(AC996,",",""))+1)</f>
        <v>3</v>
      </c>
    </row>
    <row r="997" spans="1:30" ht="12.5" x14ac:dyDescent="0.25">
      <c r="A997" s="1" t="s">
        <v>3899</v>
      </c>
      <c r="B997" s="1" t="s">
        <v>3900</v>
      </c>
      <c r="C997" s="1" t="str">
        <v>Richard Dawson</v>
      </c>
      <c r="D997" s="1" t="s">
        <v>3901</v>
      </c>
      <c r="E997" s="1" t="str">
        <v>rebecca73@gmail.com</v>
      </c>
      <c r="F997" t="str">
        <f t="shared" si="197"/>
        <v>Valid</v>
      </c>
      <c r="G997" s="1" t="s">
        <v>57</v>
      </c>
      <c r="H997" s="1" t="str">
        <f t="shared" si="198"/>
        <v>Female</v>
      </c>
      <c r="I997" s="1" t="s">
        <v>96</v>
      </c>
      <c r="J997" t="str">
        <f t="shared" si="199"/>
        <v>INDIA</v>
      </c>
      <c r="L997" s="1">
        <f t="shared" si="200"/>
        <v>19</v>
      </c>
      <c r="M997" s="1" t="str">
        <f t="shared" si="201"/>
        <v>Student</v>
      </c>
      <c r="N997" s="9">
        <v>45729</v>
      </c>
      <c r="O997" s="1" t="s">
        <v>19</v>
      </c>
      <c r="P997" s="1" t="s">
        <v>20</v>
      </c>
      <c r="Q997" s="4">
        <v>84</v>
      </c>
      <c r="R997" s="13">
        <f t="shared" si="202"/>
        <v>84</v>
      </c>
      <c r="S997" s="6">
        <f t="shared" si="196"/>
        <v>0.84</v>
      </c>
      <c r="T997" s="1">
        <v>1.5</v>
      </c>
      <c r="U997" s="1">
        <f t="shared" si="203"/>
        <v>1.5</v>
      </c>
      <c r="V997" s="1">
        <f t="shared" si="204"/>
        <v>59.25</v>
      </c>
      <c r="W997" s="10" t="str">
        <f t="shared" si="205"/>
        <v>Medium</v>
      </c>
      <c r="X997" s="1" t="s">
        <v>38</v>
      </c>
      <c r="Y997" s="1" t="str">
        <f t="shared" si="206"/>
        <v>No</v>
      </c>
      <c r="Z997" s="14">
        <v>4</v>
      </c>
      <c r="AA997" s="18">
        <f t="shared" si="207"/>
        <v>4</v>
      </c>
      <c r="AB997" s="18" t="str">
        <f t="shared" si="208"/>
        <v>No</v>
      </c>
      <c r="AC997" s="9" t="s">
        <v>3902</v>
      </c>
      <c r="AD997">
        <f>IF(AC997="",0,LEN(AC997)-LEN(SUBSTITUTE(AC997,",",""))+1)</f>
        <v>2</v>
      </c>
    </row>
    <row r="998" spans="1:30" ht="12.5" x14ac:dyDescent="0.25">
      <c r="A998" s="1" t="s">
        <v>3903</v>
      </c>
      <c r="B998" s="1" t="s">
        <v>3904</v>
      </c>
      <c r="C998" s="1" t="str">
        <v>Michael Padilla</v>
      </c>
      <c r="D998" s="1" t="s">
        <v>3905</v>
      </c>
      <c r="E998" s="1" t="str">
        <v>taylordawn@yahoo.com</v>
      </c>
      <c r="F998" t="str">
        <f t="shared" si="197"/>
        <v>Valid</v>
      </c>
      <c r="G998" s="1" t="s">
        <v>95</v>
      </c>
      <c r="H998" s="1" t="str">
        <f t="shared" si="198"/>
        <v>Male</v>
      </c>
      <c r="I998" s="1" t="s">
        <v>89</v>
      </c>
      <c r="J998" t="str">
        <f t="shared" si="199"/>
        <v>GERMANY</v>
      </c>
      <c r="K998" s="14">
        <v>35</v>
      </c>
      <c r="L998" s="1">
        <f t="shared" si="200"/>
        <v>35</v>
      </c>
      <c r="M998" s="1" t="str">
        <f t="shared" si="201"/>
        <v>Mid Career</v>
      </c>
      <c r="N998" s="9">
        <v>45157</v>
      </c>
      <c r="O998" s="1" t="s">
        <v>45</v>
      </c>
      <c r="P998" s="1" t="s">
        <v>20</v>
      </c>
      <c r="Q998" s="4">
        <v>0.1</v>
      </c>
      <c r="R998" s="13">
        <f t="shared" si="202"/>
        <v>10</v>
      </c>
      <c r="S998" s="6">
        <f t="shared" si="196"/>
        <v>0.1</v>
      </c>
      <c r="T998" s="1">
        <v>45</v>
      </c>
      <c r="U998" s="1">
        <f t="shared" si="203"/>
        <v>45</v>
      </c>
      <c r="V998" s="1">
        <f t="shared" si="204"/>
        <v>20.5</v>
      </c>
      <c r="W998" s="10" t="str">
        <f t="shared" si="205"/>
        <v>Low</v>
      </c>
      <c r="X998" s="1" t="s">
        <v>32</v>
      </c>
      <c r="Y998" s="1" t="str">
        <f t="shared" si="206"/>
        <v>Yes</v>
      </c>
      <c r="Z998" s="14">
        <v>3</v>
      </c>
      <c r="AA998" s="18">
        <f t="shared" si="207"/>
        <v>3</v>
      </c>
      <c r="AB998" s="18" t="str">
        <f t="shared" si="208"/>
        <v>No</v>
      </c>
      <c r="AC998" s="9" t="s">
        <v>3906</v>
      </c>
      <c r="AD998">
        <f>IF(AC998="",0,LEN(AC998)-LEN(SUBSTITUTE(AC998,",",""))+1)</f>
        <v>5</v>
      </c>
    </row>
    <row r="999" spans="1:30" ht="12.5" x14ac:dyDescent="0.25">
      <c r="A999" s="1" t="s">
        <v>3907</v>
      </c>
      <c r="B999" s="1" t="s">
        <v>3908</v>
      </c>
      <c r="C999" s="1" t="str">
        <v>Amy Mayo</v>
      </c>
      <c r="D999" s="1" t="s">
        <v>3909</v>
      </c>
      <c r="E999" s="1" t="str">
        <v>knightwendy@hotmail.com</v>
      </c>
      <c r="F999" t="str">
        <f t="shared" si="197"/>
        <v>Valid</v>
      </c>
      <c r="G999" s="1" t="s">
        <v>109</v>
      </c>
      <c r="H999" s="1" t="str">
        <f t="shared" si="198"/>
        <v>Male</v>
      </c>
      <c r="I999" s="1" t="s">
        <v>28</v>
      </c>
      <c r="J999" t="str">
        <f t="shared" si="199"/>
        <v>INDIA</v>
      </c>
      <c r="K999" s="14">
        <v>27</v>
      </c>
      <c r="L999" s="1">
        <f t="shared" si="200"/>
        <v>27</v>
      </c>
      <c r="M999" s="1" t="str">
        <f t="shared" si="201"/>
        <v>Early Career</v>
      </c>
      <c r="N999" s="9">
        <v>45273</v>
      </c>
      <c r="O999" s="1" t="s">
        <v>301</v>
      </c>
      <c r="P999" s="1" t="s">
        <v>20</v>
      </c>
      <c r="Q999" s="4">
        <v>31</v>
      </c>
      <c r="R999" s="13">
        <f t="shared" si="202"/>
        <v>31</v>
      </c>
      <c r="S999" s="6">
        <f t="shared" si="196"/>
        <v>0.31</v>
      </c>
      <c r="T999" s="1" t="s">
        <v>46</v>
      </c>
      <c r="U999" s="1">
        <f t="shared" si="203"/>
        <v>1</v>
      </c>
      <c r="V999" s="1">
        <f t="shared" si="204"/>
        <v>22</v>
      </c>
      <c r="W999" s="10" t="str">
        <f t="shared" si="205"/>
        <v>Low</v>
      </c>
      <c r="X999" s="1">
        <v>1</v>
      </c>
      <c r="Y999" s="1" t="str">
        <f t="shared" si="206"/>
        <v>Yes</v>
      </c>
      <c r="Z999" s="14">
        <v>2</v>
      </c>
      <c r="AA999" s="18">
        <f t="shared" si="207"/>
        <v>2</v>
      </c>
      <c r="AB999" s="18" t="str">
        <f t="shared" si="208"/>
        <v>No</v>
      </c>
      <c r="AC999" s="9" t="s">
        <v>3910</v>
      </c>
      <c r="AD999">
        <f>IF(AC999="",0,LEN(AC999)-LEN(SUBSTITUTE(AC999,",",""))+1)</f>
        <v>4</v>
      </c>
    </row>
    <row r="1000" spans="1:30" ht="12.5" x14ac:dyDescent="0.25">
      <c r="A1000" s="1" t="s">
        <v>3911</v>
      </c>
      <c r="B1000" s="1" t="s">
        <v>3912</v>
      </c>
      <c r="C1000" s="1" t="str">
        <v>Madison Navarro</v>
      </c>
      <c r="D1000" s="1" t="s">
        <v>3913</v>
      </c>
      <c r="E1000" s="1" t="str">
        <v>schmidtlauren@berry.org</v>
      </c>
      <c r="F1000" t="str">
        <f t="shared" si="197"/>
        <v>Valid</v>
      </c>
      <c r="G1000" s="1" t="s">
        <v>88</v>
      </c>
      <c r="H1000" s="1" t="str">
        <f t="shared" si="198"/>
        <v>Male</v>
      </c>
      <c r="I1000" s="1" t="s">
        <v>18</v>
      </c>
      <c r="J1000" t="str">
        <f t="shared" si="199"/>
        <v>US</v>
      </c>
      <c r="L1000" s="1">
        <f t="shared" si="200"/>
        <v>19</v>
      </c>
      <c r="M1000" s="1" t="str">
        <f t="shared" si="201"/>
        <v>Student</v>
      </c>
      <c r="N1000" s="9">
        <v>45166</v>
      </c>
      <c r="O1000" s="1" t="s">
        <v>58</v>
      </c>
      <c r="P1000" s="1" t="s">
        <v>59</v>
      </c>
      <c r="Q1000" s="4">
        <v>0.72</v>
      </c>
      <c r="R1000" s="13">
        <f t="shared" si="202"/>
        <v>72</v>
      </c>
      <c r="S1000" s="6">
        <f t="shared" si="196"/>
        <v>0.72</v>
      </c>
      <c r="T1000" s="1">
        <v>45</v>
      </c>
      <c r="U1000" s="1">
        <f t="shared" si="203"/>
        <v>45</v>
      </c>
      <c r="V1000" s="1">
        <f t="shared" si="204"/>
        <v>63.9</v>
      </c>
      <c r="W1000" s="10" t="str">
        <f t="shared" si="205"/>
        <v>Medium</v>
      </c>
      <c r="X1000" s="1" t="s">
        <v>32</v>
      </c>
      <c r="Y1000" s="1" t="str">
        <f t="shared" si="206"/>
        <v>Yes</v>
      </c>
      <c r="Z1000" s="14">
        <v>2</v>
      </c>
      <c r="AA1000" s="18">
        <f t="shared" si="207"/>
        <v>2</v>
      </c>
      <c r="AB1000" s="18" t="str">
        <f t="shared" si="208"/>
        <v>No</v>
      </c>
      <c r="AC1000" s="9" t="s">
        <v>3914</v>
      </c>
      <c r="AD1000">
        <f>IF(AC1000="",0,LEN(AC1000)-LEN(SUBSTITUTE(AC1000,",",""))+1)</f>
        <v>7</v>
      </c>
    </row>
    <row r="1001" spans="1:30" ht="12.5" x14ac:dyDescent="0.25">
      <c r="A1001" s="1" t="s">
        <v>3915</v>
      </c>
      <c r="B1001" s="1" t="s">
        <v>3916</v>
      </c>
      <c r="C1001" s="1" t="str">
        <v>Jessica Hill</v>
      </c>
      <c r="D1001" s="1" t="s">
        <v>3917</v>
      </c>
      <c r="E1001" s="1" t="str">
        <v>debrajones@hotmail.com</v>
      </c>
      <c r="F1001" t="str">
        <f t="shared" si="197"/>
        <v>Valid</v>
      </c>
      <c r="G1001" s="1" t="s">
        <v>109</v>
      </c>
      <c r="H1001" s="1" t="str">
        <f t="shared" si="198"/>
        <v>Male</v>
      </c>
      <c r="I1001" s="1" t="s">
        <v>156</v>
      </c>
      <c r="J1001" t="str">
        <f t="shared" si="199"/>
        <v>IN</v>
      </c>
      <c r="K1001" s="14">
        <v>0</v>
      </c>
      <c r="L1001" s="1">
        <f t="shared" si="200"/>
        <v>19</v>
      </c>
      <c r="M1001" s="1" t="str">
        <f t="shared" si="201"/>
        <v>Student</v>
      </c>
      <c r="N1001" s="2">
        <v>45962</v>
      </c>
      <c r="O1001" s="1" t="s">
        <v>52</v>
      </c>
      <c r="P1001" s="1" t="s">
        <v>37</v>
      </c>
      <c r="Q1001" s="4">
        <v>30</v>
      </c>
      <c r="R1001" s="13">
        <f t="shared" si="202"/>
        <v>30</v>
      </c>
      <c r="S1001" s="6">
        <f t="shared" si="196"/>
        <v>0.3</v>
      </c>
      <c r="T1001" s="1">
        <v>2</v>
      </c>
      <c r="U1001" s="1">
        <f t="shared" si="203"/>
        <v>2</v>
      </c>
      <c r="V1001" s="1">
        <f t="shared" si="204"/>
        <v>21.6</v>
      </c>
      <c r="W1001" s="10" t="str">
        <f t="shared" si="205"/>
        <v>Low</v>
      </c>
      <c r="X1001" s="1">
        <v>1</v>
      </c>
      <c r="Y1001" s="1" t="str">
        <f t="shared" si="206"/>
        <v>Yes</v>
      </c>
      <c r="Z1001" s="14">
        <v>3</v>
      </c>
      <c r="AA1001" s="18">
        <f t="shared" si="207"/>
        <v>3</v>
      </c>
      <c r="AB1001" s="18" t="str">
        <f t="shared" si="208"/>
        <v>No</v>
      </c>
      <c r="AC1001" s="9" t="s">
        <v>3918</v>
      </c>
      <c r="AD1001">
        <f>IF(AC1001="",0,LEN(AC1001)-LEN(SUBSTITUTE(AC1001,",",""))+1)</f>
        <v>6</v>
      </c>
    </row>
    <row r="1002" spans="1:30" ht="12.5" x14ac:dyDescent="0.25">
      <c r="A1002" s="1" t="s">
        <v>3919</v>
      </c>
      <c r="B1002" s="1" t="s">
        <v>3920</v>
      </c>
      <c r="C1002" s="1" t="str">
        <v>Samantha Reynolds</v>
      </c>
      <c r="D1002" s="1" t="s">
        <v>3921</v>
      </c>
      <c r="E1002" s="1" t="str">
        <v>aandrews@clayton.biz</v>
      </c>
      <c r="F1002" t="str">
        <f t="shared" si="197"/>
        <v>Valid</v>
      </c>
      <c r="G1002" s="1" t="s">
        <v>43</v>
      </c>
      <c r="H1002" s="1" t="str">
        <f t="shared" si="198"/>
        <v>Female</v>
      </c>
      <c r="I1002" s="1" t="s">
        <v>156</v>
      </c>
      <c r="J1002" t="str">
        <f t="shared" si="199"/>
        <v>IN</v>
      </c>
      <c r="K1002" s="14">
        <v>0</v>
      </c>
      <c r="L1002" s="1">
        <f t="shared" si="200"/>
        <v>19</v>
      </c>
      <c r="M1002" s="1" t="str">
        <f t="shared" si="201"/>
        <v>Student</v>
      </c>
      <c r="N1002" s="9">
        <v>45551</v>
      </c>
      <c r="O1002" s="1" t="s">
        <v>90</v>
      </c>
      <c r="P1002" s="1" t="s">
        <v>31</v>
      </c>
      <c r="Q1002" s="4">
        <v>68</v>
      </c>
      <c r="R1002" s="13">
        <f t="shared" si="202"/>
        <v>68</v>
      </c>
      <c r="S1002" s="6">
        <f t="shared" si="196"/>
        <v>0.68</v>
      </c>
      <c r="T1002" s="1">
        <v>45</v>
      </c>
      <c r="U1002" s="1">
        <f t="shared" si="203"/>
        <v>45</v>
      </c>
      <c r="V1002" s="1">
        <f t="shared" si="204"/>
        <v>61.099999999999994</v>
      </c>
      <c r="W1002" s="10" t="str">
        <f t="shared" si="205"/>
        <v>Medium</v>
      </c>
      <c r="X1002" s="1">
        <v>1</v>
      </c>
      <c r="Y1002" s="1" t="str">
        <f t="shared" si="206"/>
        <v>Yes</v>
      </c>
      <c r="Z1002" s="14">
        <v>3</v>
      </c>
      <c r="AA1002" s="18">
        <f t="shared" si="207"/>
        <v>3</v>
      </c>
      <c r="AB1002" s="18" t="str">
        <f t="shared" si="208"/>
        <v>No</v>
      </c>
      <c r="AC1002" s="9" t="s">
        <v>3922</v>
      </c>
      <c r="AD1002">
        <f>IF(AC1002="",0,LEN(AC1002)-LEN(SUBSTITUTE(AC1002,",",""))+1)</f>
        <v>2</v>
      </c>
    </row>
    <row r="1003" spans="1:30" ht="12.5" x14ac:dyDescent="0.25">
      <c r="A1003" s="1" t="s">
        <v>3923</v>
      </c>
      <c r="B1003" s="1" t="s">
        <v>3924</v>
      </c>
      <c r="C1003" s="1" t="str">
        <v>Erin Ellis</v>
      </c>
      <c r="D1003" s="1" t="s">
        <v>3925</v>
      </c>
      <c r="E1003" s="1" t="str">
        <v>patricia92@mejia.com</v>
      </c>
      <c r="F1003" t="str">
        <f t="shared" si="197"/>
        <v>Valid</v>
      </c>
      <c r="G1003" s="1" t="s">
        <v>17</v>
      </c>
      <c r="H1003" s="1" t="str">
        <f t="shared" si="198"/>
        <v>Female</v>
      </c>
      <c r="I1003" s="1" t="s">
        <v>51</v>
      </c>
      <c r="J1003" t="str">
        <f t="shared" si="199"/>
        <v>UK</v>
      </c>
      <c r="K1003" s="14">
        <v>0</v>
      </c>
      <c r="L1003" s="1">
        <f t="shared" si="200"/>
        <v>19</v>
      </c>
      <c r="M1003" s="1" t="str">
        <f t="shared" si="201"/>
        <v>Student</v>
      </c>
      <c r="N1003" s="9">
        <v>44891</v>
      </c>
      <c r="O1003" s="1" t="s">
        <v>170</v>
      </c>
      <c r="P1003" s="1" t="s">
        <v>147</v>
      </c>
      <c r="Q1003" s="4">
        <v>58</v>
      </c>
      <c r="R1003" s="13">
        <f t="shared" si="202"/>
        <v>58</v>
      </c>
      <c r="S1003" s="6">
        <f t="shared" si="196"/>
        <v>0.57999999999999996</v>
      </c>
      <c r="T1003" s="1">
        <v>45</v>
      </c>
      <c r="U1003" s="1">
        <f t="shared" si="203"/>
        <v>45</v>
      </c>
      <c r="V1003" s="1">
        <f t="shared" si="204"/>
        <v>54.099999999999994</v>
      </c>
      <c r="W1003" s="10" t="str">
        <f t="shared" si="205"/>
        <v>Medium</v>
      </c>
      <c r="X1003" s="1">
        <v>0</v>
      </c>
      <c r="Y1003" s="1" t="str">
        <f t="shared" si="206"/>
        <v>No</v>
      </c>
      <c r="Z1003" s="14">
        <v>5</v>
      </c>
      <c r="AA1003" s="18">
        <f t="shared" si="207"/>
        <v>5</v>
      </c>
      <c r="AB1003" s="18" t="str">
        <f t="shared" si="208"/>
        <v>No</v>
      </c>
      <c r="AC1003" s="9" t="s">
        <v>3926</v>
      </c>
      <c r="AD1003">
        <f>IF(AC1003="",0,LEN(AC1003)-LEN(SUBSTITUTE(AC1003,",",""))+1)</f>
        <v>5</v>
      </c>
    </row>
    <row r="1004" spans="1:30" ht="12.5" x14ac:dyDescent="0.25">
      <c r="A1004" s="1" t="s">
        <v>3927</v>
      </c>
      <c r="B1004" s="1" t="s">
        <v>3928</v>
      </c>
      <c r="C1004" s="1" t="str">
        <v>Amanda Anderson</v>
      </c>
      <c r="D1004" s="1" t="s">
        <v>3929</v>
      </c>
      <c r="E1004" s="1" t="str">
        <v>murphyleslie@gmail.com</v>
      </c>
      <c r="F1004" t="str">
        <f t="shared" si="197"/>
        <v>Valid</v>
      </c>
      <c r="G1004" s="1" t="s">
        <v>27</v>
      </c>
      <c r="H1004" s="1" t="str">
        <f t="shared" si="198"/>
        <v>Male</v>
      </c>
      <c r="I1004" s="1" t="s">
        <v>28</v>
      </c>
      <c r="J1004" t="str">
        <f t="shared" si="199"/>
        <v>INDIA</v>
      </c>
      <c r="K1004" s="14">
        <v>0</v>
      </c>
      <c r="L1004" s="1">
        <f t="shared" si="200"/>
        <v>19</v>
      </c>
      <c r="M1004" s="1" t="str">
        <f t="shared" si="201"/>
        <v>Student</v>
      </c>
      <c r="N1004" s="9">
        <v>44940</v>
      </c>
      <c r="O1004" s="1" t="s">
        <v>301</v>
      </c>
      <c r="P1004" s="1" t="s">
        <v>20</v>
      </c>
      <c r="Q1004" s="4">
        <v>0.87</v>
      </c>
      <c r="R1004" s="13">
        <f t="shared" si="202"/>
        <v>87</v>
      </c>
      <c r="S1004" s="6">
        <f t="shared" si="196"/>
        <v>0.87</v>
      </c>
      <c r="T1004" s="1" t="s">
        <v>46</v>
      </c>
      <c r="U1004" s="1">
        <f t="shared" si="203"/>
        <v>1</v>
      </c>
      <c r="V1004" s="1">
        <f t="shared" si="204"/>
        <v>61.199999999999996</v>
      </c>
      <c r="W1004" s="10" t="str">
        <f t="shared" si="205"/>
        <v>Medium</v>
      </c>
      <c r="X1004" s="1">
        <v>0</v>
      </c>
      <c r="Y1004" s="1" t="str">
        <f t="shared" si="206"/>
        <v>No</v>
      </c>
      <c r="Z1004" s="14">
        <v>3</v>
      </c>
      <c r="AA1004" s="18">
        <f t="shared" si="207"/>
        <v>3</v>
      </c>
      <c r="AB1004" s="18" t="str">
        <f t="shared" si="208"/>
        <v>No</v>
      </c>
      <c r="AC1004" s="9" t="s">
        <v>3930</v>
      </c>
      <c r="AD1004">
        <f>IF(AC1004="",0,LEN(AC1004)-LEN(SUBSTITUTE(AC1004,",",""))+1)</f>
        <v>8</v>
      </c>
    </row>
    <row r="1005" spans="1:30" ht="12.5" x14ac:dyDescent="0.25">
      <c r="A1005" s="1" t="s">
        <v>3931</v>
      </c>
      <c r="B1005" s="1" t="s">
        <v>3932</v>
      </c>
      <c r="C1005" s="1" t="str">
        <v>Devin Mayer</v>
      </c>
      <c r="D1005" s="1" t="s">
        <v>3933</v>
      </c>
      <c r="E1005" s="1" t="str">
        <v>anthony71@johnson-dillon.com</v>
      </c>
      <c r="F1005" t="str">
        <f t="shared" si="197"/>
        <v>Valid</v>
      </c>
      <c r="G1005" s="1" t="s">
        <v>88</v>
      </c>
      <c r="H1005" s="1" t="str">
        <f t="shared" si="198"/>
        <v>Male</v>
      </c>
      <c r="I1005" s="1" t="s">
        <v>51</v>
      </c>
      <c r="J1005" t="str">
        <f t="shared" si="199"/>
        <v>UK</v>
      </c>
      <c r="K1005" s="14">
        <v>0</v>
      </c>
      <c r="L1005" s="1">
        <f t="shared" si="200"/>
        <v>19</v>
      </c>
      <c r="M1005" s="1" t="str">
        <f t="shared" si="201"/>
        <v>Student</v>
      </c>
      <c r="N1005" s="9">
        <v>45680</v>
      </c>
      <c r="O1005" s="1" t="s">
        <v>170</v>
      </c>
      <c r="P1005" s="1" t="s">
        <v>147</v>
      </c>
      <c r="Q1005" s="4">
        <v>0.68</v>
      </c>
      <c r="R1005" s="13">
        <f t="shared" si="202"/>
        <v>68</v>
      </c>
      <c r="S1005" s="6">
        <f t="shared" si="196"/>
        <v>0.68</v>
      </c>
      <c r="T1005" s="1" t="s">
        <v>46</v>
      </c>
      <c r="U1005" s="1">
        <f t="shared" si="203"/>
        <v>1</v>
      </c>
      <c r="V1005" s="1">
        <f t="shared" si="204"/>
        <v>47.899999999999991</v>
      </c>
      <c r="W1005" s="10" t="str">
        <f t="shared" si="205"/>
        <v>Medium</v>
      </c>
      <c r="X1005" s="1">
        <v>1</v>
      </c>
      <c r="Y1005" s="1" t="str">
        <f t="shared" si="206"/>
        <v>Yes</v>
      </c>
      <c r="AA1005" s="18" t="str">
        <f t="shared" si="207"/>
        <v>Invalid</v>
      </c>
      <c r="AB1005" s="18" t="str">
        <f t="shared" si="208"/>
        <v>High Performer</v>
      </c>
      <c r="AC1005" s="9" t="s">
        <v>3934</v>
      </c>
      <c r="AD1005">
        <f>IF(AC1005="",0,LEN(AC1005)-LEN(SUBSTITUTE(AC1005,",",""))+1)</f>
        <v>4</v>
      </c>
    </row>
    <row r="1006" spans="1:30" ht="12.5" x14ac:dyDescent="0.25">
      <c r="A1006" s="1" t="s">
        <v>3935</v>
      </c>
      <c r="B1006" s="1" t="s">
        <v>3936</v>
      </c>
      <c r="C1006" s="1" t="str">
        <v>Ray Lawrence</v>
      </c>
      <c r="D1006" s="1" t="s">
        <v>3937</v>
      </c>
      <c r="E1006" s="1" t="str">
        <v>costawilliam@ramsey.com</v>
      </c>
      <c r="F1006" t="str">
        <f t="shared" si="197"/>
        <v>Valid</v>
      </c>
      <c r="G1006" s="1" t="s">
        <v>17</v>
      </c>
      <c r="H1006" s="1" t="str">
        <f t="shared" si="198"/>
        <v>Female</v>
      </c>
      <c r="I1006" s="1" t="s">
        <v>96</v>
      </c>
      <c r="J1006" t="str">
        <f t="shared" si="199"/>
        <v>INDIA</v>
      </c>
      <c r="K1006" s="14">
        <v>0</v>
      </c>
      <c r="L1006" s="1">
        <f t="shared" si="200"/>
        <v>19</v>
      </c>
      <c r="M1006" s="1" t="str">
        <f t="shared" si="201"/>
        <v>Student</v>
      </c>
      <c r="N1006" s="9">
        <v>45248</v>
      </c>
      <c r="O1006" s="1" t="s">
        <v>36</v>
      </c>
      <c r="P1006" s="1" t="s">
        <v>37</v>
      </c>
      <c r="Q1006" s="4">
        <v>75</v>
      </c>
      <c r="R1006" s="13">
        <f t="shared" si="202"/>
        <v>75</v>
      </c>
      <c r="S1006" s="6">
        <f t="shared" si="196"/>
        <v>0.75</v>
      </c>
      <c r="T1006" s="1" t="s">
        <v>46</v>
      </c>
      <c r="U1006" s="1">
        <f t="shared" si="203"/>
        <v>1</v>
      </c>
      <c r="V1006" s="1">
        <f t="shared" si="204"/>
        <v>52.8</v>
      </c>
      <c r="W1006" s="10" t="str">
        <f t="shared" si="205"/>
        <v>Medium</v>
      </c>
      <c r="X1006" s="1" t="s">
        <v>22</v>
      </c>
      <c r="Y1006" s="1" t="str">
        <f t="shared" si="206"/>
        <v>No</v>
      </c>
      <c r="Z1006" s="14">
        <v>1</v>
      </c>
      <c r="AA1006" s="18">
        <f t="shared" si="207"/>
        <v>1</v>
      </c>
      <c r="AB1006" s="18" t="str">
        <f t="shared" si="208"/>
        <v>No</v>
      </c>
      <c r="AC1006" s="9" t="s">
        <v>226</v>
      </c>
      <c r="AD1006">
        <f>IF(AC1006="",0,LEN(AC1006)-LEN(SUBSTITUTE(AC1006,",",""))+1)</f>
        <v>1</v>
      </c>
    </row>
    <row r="1007" spans="1:30" ht="12.5" x14ac:dyDescent="0.25">
      <c r="A1007" s="1" t="s">
        <v>3938</v>
      </c>
      <c r="B1007" s="1" t="s">
        <v>3939</v>
      </c>
      <c r="C1007" s="1" t="str">
        <v>Jennifer Clark Md</v>
      </c>
      <c r="D1007" s="1" t="s">
        <v>3940</v>
      </c>
      <c r="E1007" s="1" t="str">
        <v>hscott@yahoo.com</v>
      </c>
      <c r="F1007" t="str">
        <f t="shared" si="197"/>
        <v>Valid</v>
      </c>
      <c r="G1007" s="1" t="s">
        <v>88</v>
      </c>
      <c r="H1007" s="1" t="str">
        <f t="shared" si="198"/>
        <v>Male</v>
      </c>
      <c r="I1007" s="1" t="s">
        <v>18</v>
      </c>
      <c r="J1007" t="str">
        <f t="shared" si="199"/>
        <v>US</v>
      </c>
      <c r="L1007" s="1">
        <f t="shared" si="200"/>
        <v>19</v>
      </c>
      <c r="M1007" s="1" t="str">
        <f t="shared" si="201"/>
        <v>Student</v>
      </c>
      <c r="N1007" s="2">
        <v>45417</v>
      </c>
      <c r="O1007" s="1" t="s">
        <v>146</v>
      </c>
      <c r="P1007" s="1" t="s">
        <v>147</v>
      </c>
      <c r="Q1007" s="4">
        <v>0.63</v>
      </c>
      <c r="R1007" s="13">
        <f t="shared" si="202"/>
        <v>63</v>
      </c>
      <c r="S1007" s="6">
        <f t="shared" si="196"/>
        <v>0.63</v>
      </c>
      <c r="T1007" s="1" t="s">
        <v>21</v>
      </c>
      <c r="U1007" s="1">
        <f t="shared" si="203"/>
        <v>1.5</v>
      </c>
      <c r="V1007" s="1">
        <f t="shared" si="204"/>
        <v>44.55</v>
      </c>
      <c r="W1007" s="10" t="str">
        <f t="shared" si="205"/>
        <v>Medium</v>
      </c>
      <c r="X1007" s="1" t="s">
        <v>38</v>
      </c>
      <c r="Y1007" s="1" t="str">
        <f t="shared" si="206"/>
        <v>No</v>
      </c>
      <c r="AA1007" s="18" t="str">
        <f t="shared" si="207"/>
        <v>Invalid</v>
      </c>
      <c r="AB1007" s="18" t="str">
        <f t="shared" si="208"/>
        <v>No</v>
      </c>
      <c r="AC1007" s="9" t="s">
        <v>3941</v>
      </c>
      <c r="AD1007">
        <f>IF(AC1007="",0,LEN(AC1007)-LEN(SUBSTITUTE(AC1007,",",""))+1)</f>
        <v>3</v>
      </c>
    </row>
    <row r="1008" spans="1:30" ht="12.5" x14ac:dyDescent="0.25">
      <c r="A1008" s="1" t="s">
        <v>3942</v>
      </c>
      <c r="B1008" s="1" t="s">
        <v>3943</v>
      </c>
      <c r="C1008" s="1" t="str">
        <v>Scott Gomez</v>
      </c>
      <c r="D1008" s="1" t="s">
        <v>3944</v>
      </c>
      <c r="E1008" s="1" t="str">
        <v>hamiltonmelanie@yahoo.com</v>
      </c>
      <c r="F1008" t="str">
        <f t="shared" si="197"/>
        <v>Valid</v>
      </c>
      <c r="G1008" s="1" t="s">
        <v>17</v>
      </c>
      <c r="H1008" s="1" t="str">
        <f t="shared" si="198"/>
        <v>Female</v>
      </c>
      <c r="I1008" s="1" t="s">
        <v>51</v>
      </c>
      <c r="J1008" t="str">
        <f t="shared" si="199"/>
        <v>UK</v>
      </c>
      <c r="L1008" s="1">
        <f t="shared" si="200"/>
        <v>19</v>
      </c>
      <c r="M1008" s="1" t="str">
        <f t="shared" si="201"/>
        <v>Student</v>
      </c>
      <c r="N1008" s="2">
        <v>44597</v>
      </c>
      <c r="O1008" s="1" t="s">
        <v>170</v>
      </c>
      <c r="P1008" s="1" t="s">
        <v>147</v>
      </c>
      <c r="Q1008" s="4">
        <v>0.22</v>
      </c>
      <c r="R1008" s="13">
        <f t="shared" si="202"/>
        <v>22</v>
      </c>
      <c r="S1008" s="6">
        <f t="shared" si="196"/>
        <v>0.22</v>
      </c>
      <c r="T1008" s="1">
        <v>1.5</v>
      </c>
      <c r="U1008" s="1">
        <f t="shared" si="203"/>
        <v>1.5</v>
      </c>
      <c r="V1008" s="1">
        <f t="shared" si="204"/>
        <v>15.849999999999998</v>
      </c>
      <c r="W1008" s="10" t="str">
        <f t="shared" si="205"/>
        <v>Low</v>
      </c>
      <c r="X1008" s="1" t="s">
        <v>32</v>
      </c>
      <c r="Y1008" s="1" t="str">
        <f t="shared" si="206"/>
        <v>Yes</v>
      </c>
      <c r="AA1008" s="18" t="str">
        <f t="shared" si="207"/>
        <v>Invalid</v>
      </c>
      <c r="AB1008" s="18" t="str">
        <f t="shared" si="208"/>
        <v>High Performer</v>
      </c>
      <c r="AC1008" s="9" t="s">
        <v>3945</v>
      </c>
      <c r="AD1008">
        <f>IF(AC1008="",0,LEN(AC1008)-LEN(SUBSTITUTE(AC1008,",",""))+1)</f>
        <v>3</v>
      </c>
    </row>
    <row r="1009" spans="1:30" ht="12.5" x14ac:dyDescent="0.25">
      <c r="A1009" s="1" t="s">
        <v>3946</v>
      </c>
      <c r="B1009" s="1" t="s">
        <v>3947</v>
      </c>
      <c r="C1009" s="1" t="str">
        <v>Jean Ruiz</v>
      </c>
      <c r="D1009" s="1" t="s">
        <v>3948</v>
      </c>
      <c r="E1009" s="1" t="str">
        <v>brandon32@hotmail.com</v>
      </c>
      <c r="F1009" t="str">
        <f t="shared" si="197"/>
        <v>Valid</v>
      </c>
      <c r="G1009" s="1" t="s">
        <v>57</v>
      </c>
      <c r="H1009" s="1" t="str">
        <f t="shared" si="198"/>
        <v>Female</v>
      </c>
      <c r="I1009" s="1" t="s">
        <v>74</v>
      </c>
      <c r="J1009" t="str">
        <f t="shared" si="199"/>
        <v>USA</v>
      </c>
      <c r="K1009" s="14">
        <v>23</v>
      </c>
      <c r="L1009" s="1">
        <f t="shared" si="200"/>
        <v>23</v>
      </c>
      <c r="M1009" s="1" t="str">
        <f t="shared" si="201"/>
        <v>Early Career</v>
      </c>
      <c r="N1009" s="9">
        <v>45014</v>
      </c>
      <c r="O1009" s="1" t="s">
        <v>301</v>
      </c>
      <c r="P1009" s="1" t="s">
        <v>20</v>
      </c>
      <c r="Q1009" s="4">
        <v>0.02</v>
      </c>
      <c r="R1009" s="13">
        <f t="shared" si="202"/>
        <v>2</v>
      </c>
      <c r="S1009" s="6">
        <f t="shared" si="196"/>
        <v>0.02</v>
      </c>
      <c r="T1009" s="1">
        <v>1.5</v>
      </c>
      <c r="U1009" s="1">
        <f t="shared" si="203"/>
        <v>1.5</v>
      </c>
      <c r="V1009" s="1">
        <f t="shared" si="204"/>
        <v>1.8499999999999999</v>
      </c>
      <c r="W1009" s="10" t="str">
        <f t="shared" si="205"/>
        <v>Low</v>
      </c>
      <c r="X1009" s="1">
        <v>1</v>
      </c>
      <c r="Y1009" s="1" t="str">
        <f t="shared" si="206"/>
        <v>Yes</v>
      </c>
      <c r="Z1009" s="14">
        <v>5</v>
      </c>
      <c r="AA1009" s="18">
        <f t="shared" si="207"/>
        <v>5</v>
      </c>
      <c r="AB1009" s="18" t="str">
        <f t="shared" si="208"/>
        <v>High Performer</v>
      </c>
      <c r="AC1009" s="9" t="s">
        <v>3949</v>
      </c>
      <c r="AD1009">
        <f>IF(AC1009="",0,LEN(AC1009)-LEN(SUBSTITUTE(AC1009,",",""))+1)</f>
        <v>8</v>
      </c>
    </row>
    <row r="1010" spans="1:30" ht="12.5" x14ac:dyDescent="0.25">
      <c r="A1010" s="1" t="s">
        <v>3950</v>
      </c>
      <c r="B1010" s="1" t="s">
        <v>3951</v>
      </c>
      <c r="C1010" s="1" t="str">
        <v>Pamela Brown</v>
      </c>
      <c r="D1010" s="1" t="s">
        <v>3952</v>
      </c>
      <c r="E1010" s="1" t="str">
        <v>nathan62@thompson-mayer.com</v>
      </c>
      <c r="F1010" t="str">
        <f t="shared" si="197"/>
        <v>Valid</v>
      </c>
      <c r="G1010" s="1" t="s">
        <v>109</v>
      </c>
      <c r="H1010" s="1" t="str">
        <f t="shared" si="198"/>
        <v>Male</v>
      </c>
      <c r="I1010" s="1" t="s">
        <v>89</v>
      </c>
      <c r="J1010" t="str">
        <f t="shared" si="199"/>
        <v>GERMANY</v>
      </c>
      <c r="K1010" s="14">
        <v>0</v>
      </c>
      <c r="L1010" s="1">
        <f t="shared" si="200"/>
        <v>19</v>
      </c>
      <c r="M1010" s="1" t="str">
        <f t="shared" si="201"/>
        <v>Student</v>
      </c>
      <c r="N1010" s="9">
        <v>44672</v>
      </c>
      <c r="O1010" s="1" t="s">
        <v>19</v>
      </c>
      <c r="P1010" s="1" t="s">
        <v>20</v>
      </c>
      <c r="Q1010" s="4">
        <v>0.72</v>
      </c>
      <c r="R1010" s="13">
        <f t="shared" si="202"/>
        <v>72</v>
      </c>
      <c r="S1010" s="6">
        <f t="shared" si="196"/>
        <v>0.72</v>
      </c>
      <c r="T1010" s="1" t="s">
        <v>64</v>
      </c>
      <c r="U1010" s="1">
        <f t="shared" si="203"/>
        <v>2</v>
      </c>
      <c r="V1010" s="1">
        <f t="shared" si="204"/>
        <v>51</v>
      </c>
      <c r="W1010" s="10" t="str">
        <f t="shared" si="205"/>
        <v>Medium</v>
      </c>
      <c r="X1010" s="1">
        <v>1</v>
      </c>
      <c r="Y1010" s="1" t="str">
        <f t="shared" si="206"/>
        <v>Yes</v>
      </c>
      <c r="Z1010" s="14">
        <v>5</v>
      </c>
      <c r="AA1010" s="18">
        <f t="shared" si="207"/>
        <v>5</v>
      </c>
      <c r="AB1010" s="18" t="str">
        <f t="shared" si="208"/>
        <v>High Performer</v>
      </c>
      <c r="AC1010" s="9" t="s">
        <v>3953</v>
      </c>
      <c r="AD1010">
        <f>IF(AC1010="",0,LEN(AC1010)-LEN(SUBSTITUTE(AC1010,",",""))+1)</f>
        <v>6</v>
      </c>
    </row>
    <row r="1011" spans="1:30" ht="12.5" x14ac:dyDescent="0.25">
      <c r="A1011" s="1" t="s">
        <v>3954</v>
      </c>
      <c r="B1011" s="1" t="s">
        <v>3955</v>
      </c>
      <c r="C1011" s="1" t="str">
        <v>Christopher Jimenez</v>
      </c>
      <c r="D1011" s="1" t="s">
        <v>3956</v>
      </c>
      <c r="E1011" s="1" t="str">
        <v>qgarrett@hotmail.com</v>
      </c>
      <c r="F1011" t="str">
        <f t="shared" si="197"/>
        <v>Valid</v>
      </c>
      <c r="G1011" s="1" t="s">
        <v>109</v>
      </c>
      <c r="H1011" s="1" t="str">
        <f t="shared" si="198"/>
        <v>Male</v>
      </c>
      <c r="I1011" s="1" t="s">
        <v>96</v>
      </c>
      <c r="J1011" t="str">
        <f t="shared" si="199"/>
        <v>INDIA</v>
      </c>
      <c r="L1011" s="1">
        <f t="shared" si="200"/>
        <v>19</v>
      </c>
      <c r="M1011" s="1" t="str">
        <f t="shared" si="201"/>
        <v>Student</v>
      </c>
      <c r="N1011" s="2">
        <v>45871</v>
      </c>
      <c r="O1011" s="1" t="s">
        <v>170</v>
      </c>
      <c r="P1011" s="1" t="s">
        <v>147</v>
      </c>
      <c r="Q1011" s="4">
        <v>76</v>
      </c>
      <c r="R1011" s="13">
        <f t="shared" si="202"/>
        <v>76</v>
      </c>
      <c r="S1011" s="6">
        <f t="shared" si="196"/>
        <v>0.76</v>
      </c>
      <c r="T1011" s="1" t="s">
        <v>46</v>
      </c>
      <c r="U1011" s="1">
        <f t="shared" si="203"/>
        <v>1</v>
      </c>
      <c r="V1011" s="1">
        <f t="shared" si="204"/>
        <v>53.499999999999993</v>
      </c>
      <c r="W1011" s="10" t="str">
        <f t="shared" si="205"/>
        <v>Medium</v>
      </c>
      <c r="X1011" s="1" t="s">
        <v>76</v>
      </c>
      <c r="Y1011" s="1" t="str">
        <f t="shared" si="206"/>
        <v>Yes</v>
      </c>
      <c r="Z1011" s="14">
        <v>3</v>
      </c>
      <c r="AA1011" s="18">
        <f t="shared" si="207"/>
        <v>3</v>
      </c>
      <c r="AB1011" s="18" t="str">
        <f t="shared" si="208"/>
        <v>No</v>
      </c>
      <c r="AC1011" s="9" t="s">
        <v>3957</v>
      </c>
      <c r="AD1011">
        <f>IF(AC1011="",0,LEN(AC1011)-LEN(SUBSTITUTE(AC1011,",",""))+1)</f>
        <v>2</v>
      </c>
    </row>
    <row r="1012" spans="1:30" ht="12.5" x14ac:dyDescent="0.25">
      <c r="A1012" s="1" t="s">
        <v>3958</v>
      </c>
      <c r="B1012" s="1" t="s">
        <v>3959</v>
      </c>
      <c r="C1012" s="1" t="str">
        <v>John Moss</v>
      </c>
      <c r="D1012" s="1" t="s">
        <v>3960</v>
      </c>
      <c r="E1012" s="1" t="str">
        <v>ywilliams@sharp.com</v>
      </c>
      <c r="F1012" t="str">
        <f t="shared" si="197"/>
        <v>Valid</v>
      </c>
      <c r="G1012" s="1" t="s">
        <v>17</v>
      </c>
      <c r="H1012" s="1" t="str">
        <f t="shared" si="198"/>
        <v>Female</v>
      </c>
      <c r="I1012" s="1" t="s">
        <v>136</v>
      </c>
      <c r="J1012" t="str">
        <f t="shared" si="199"/>
        <v>UK</v>
      </c>
      <c r="K1012" s="14">
        <v>0</v>
      </c>
      <c r="L1012" s="1">
        <f t="shared" si="200"/>
        <v>19</v>
      </c>
      <c r="M1012" s="1" t="str">
        <f t="shared" si="201"/>
        <v>Student</v>
      </c>
      <c r="N1012" s="9">
        <v>45156</v>
      </c>
      <c r="O1012" s="1" t="s">
        <v>90</v>
      </c>
      <c r="P1012" s="1" t="s">
        <v>31</v>
      </c>
      <c r="Q1012" s="4">
        <v>0.87</v>
      </c>
      <c r="R1012" s="13">
        <f t="shared" si="202"/>
        <v>87</v>
      </c>
      <c r="S1012" s="6">
        <f t="shared" si="196"/>
        <v>0.87</v>
      </c>
      <c r="T1012" s="1">
        <v>2</v>
      </c>
      <c r="U1012" s="1">
        <f t="shared" si="203"/>
        <v>2</v>
      </c>
      <c r="V1012" s="1">
        <f t="shared" si="204"/>
        <v>61.5</v>
      </c>
      <c r="W1012" s="10" t="str">
        <f t="shared" si="205"/>
        <v>Medium</v>
      </c>
      <c r="X1012" s="1">
        <v>1</v>
      </c>
      <c r="Y1012" s="1" t="str">
        <f t="shared" si="206"/>
        <v>Yes</v>
      </c>
      <c r="Z1012" s="14">
        <v>2</v>
      </c>
      <c r="AA1012" s="18">
        <f t="shared" si="207"/>
        <v>2</v>
      </c>
      <c r="AB1012" s="18" t="str">
        <f t="shared" si="208"/>
        <v>No</v>
      </c>
      <c r="AC1012" s="9" t="s">
        <v>1779</v>
      </c>
      <c r="AD1012">
        <f>IF(AC1012="",0,LEN(AC1012)-LEN(SUBSTITUTE(AC1012,",",""))+1)</f>
        <v>5</v>
      </c>
    </row>
    <row r="1013" spans="1:30" ht="12.5" x14ac:dyDescent="0.25">
      <c r="A1013" s="1" t="s">
        <v>3961</v>
      </c>
      <c r="B1013" s="1" t="s">
        <v>3962</v>
      </c>
      <c r="C1013" s="1" t="str">
        <v>John Lucero</v>
      </c>
      <c r="D1013" s="1" t="s">
        <v>3963</v>
      </c>
      <c r="E1013" s="1" t="str">
        <v>melodypacheco@gmail.com</v>
      </c>
      <c r="F1013" t="str">
        <f t="shared" si="197"/>
        <v>Valid</v>
      </c>
      <c r="G1013" s="1" t="s">
        <v>109</v>
      </c>
      <c r="H1013" s="1" t="str">
        <f t="shared" si="198"/>
        <v>Male</v>
      </c>
      <c r="I1013" s="1" t="s">
        <v>89</v>
      </c>
      <c r="J1013" t="str">
        <f t="shared" si="199"/>
        <v>GERMANY</v>
      </c>
      <c r="L1013" s="1">
        <f t="shared" si="200"/>
        <v>19</v>
      </c>
      <c r="M1013" s="1" t="str">
        <f t="shared" si="201"/>
        <v>Student</v>
      </c>
      <c r="N1013" s="9">
        <v>45003</v>
      </c>
      <c r="O1013" s="1" t="s">
        <v>52</v>
      </c>
      <c r="P1013" s="1" t="s">
        <v>37</v>
      </c>
      <c r="Q1013" s="4">
        <v>85</v>
      </c>
      <c r="R1013" s="13">
        <f t="shared" si="202"/>
        <v>85</v>
      </c>
      <c r="S1013" s="6">
        <f t="shared" si="196"/>
        <v>0.85</v>
      </c>
      <c r="T1013" s="1" t="s">
        <v>64</v>
      </c>
      <c r="U1013" s="1">
        <f t="shared" si="203"/>
        <v>2</v>
      </c>
      <c r="V1013" s="1">
        <f t="shared" si="204"/>
        <v>60.099999999999994</v>
      </c>
      <c r="W1013" s="10" t="str">
        <f t="shared" si="205"/>
        <v>Medium</v>
      </c>
      <c r="X1013" s="1" t="s">
        <v>38</v>
      </c>
      <c r="Y1013" s="1" t="str">
        <f t="shared" si="206"/>
        <v>No</v>
      </c>
      <c r="Z1013" s="14">
        <v>5</v>
      </c>
      <c r="AA1013" s="18">
        <f t="shared" si="207"/>
        <v>5</v>
      </c>
      <c r="AB1013" s="18" t="str">
        <f t="shared" si="208"/>
        <v>No</v>
      </c>
      <c r="AC1013" s="9" t="s">
        <v>3964</v>
      </c>
      <c r="AD1013">
        <f>IF(AC1013="",0,LEN(AC1013)-LEN(SUBSTITUTE(AC1013,",",""))+1)</f>
        <v>7</v>
      </c>
    </row>
    <row r="1014" spans="1:30" ht="12.5" x14ac:dyDescent="0.25">
      <c r="A1014" s="1" t="s">
        <v>3965</v>
      </c>
      <c r="B1014" s="1" t="s">
        <v>3966</v>
      </c>
      <c r="C1014" s="1" t="str">
        <v>Frank Fernandez</v>
      </c>
      <c r="D1014" s="1" t="s">
        <v>3967</v>
      </c>
      <c r="E1014" s="1" t="str">
        <v>kvasquez@martinez.com</v>
      </c>
      <c r="F1014" t="str">
        <f t="shared" si="197"/>
        <v>Valid</v>
      </c>
      <c r="G1014" s="1" t="s">
        <v>17</v>
      </c>
      <c r="H1014" s="1" t="str">
        <f t="shared" si="198"/>
        <v>Female</v>
      </c>
      <c r="I1014" s="1" t="s">
        <v>156</v>
      </c>
      <c r="J1014" t="str">
        <f t="shared" si="199"/>
        <v>IN</v>
      </c>
      <c r="K1014" s="14">
        <v>0</v>
      </c>
      <c r="L1014" s="1">
        <f t="shared" si="200"/>
        <v>19</v>
      </c>
      <c r="M1014" s="1" t="str">
        <f t="shared" si="201"/>
        <v>Student</v>
      </c>
      <c r="N1014" s="2">
        <v>44993</v>
      </c>
      <c r="O1014" s="1" t="s">
        <v>301</v>
      </c>
      <c r="P1014" s="1" t="s">
        <v>20</v>
      </c>
      <c r="Q1014" s="4">
        <v>84</v>
      </c>
      <c r="R1014" s="13">
        <f t="shared" si="202"/>
        <v>84</v>
      </c>
      <c r="S1014" s="6">
        <f t="shared" si="196"/>
        <v>0.84</v>
      </c>
      <c r="T1014" s="1" t="s">
        <v>64</v>
      </c>
      <c r="U1014" s="1">
        <f t="shared" si="203"/>
        <v>2</v>
      </c>
      <c r="V1014" s="1">
        <f t="shared" si="204"/>
        <v>59.4</v>
      </c>
      <c r="W1014" s="10" t="str">
        <f t="shared" si="205"/>
        <v>Medium</v>
      </c>
      <c r="X1014" s="1">
        <v>1</v>
      </c>
      <c r="Y1014" s="1" t="str">
        <f t="shared" si="206"/>
        <v>Yes</v>
      </c>
      <c r="AA1014" s="18" t="str">
        <f t="shared" si="207"/>
        <v>Invalid</v>
      </c>
      <c r="AB1014" s="18" t="str">
        <f t="shared" si="208"/>
        <v>High Performer</v>
      </c>
      <c r="AC1014" s="9">
        <v>44993</v>
      </c>
      <c r="AD1014">
        <f>IF(AC1014="",0,LEN(AC1014)-LEN(SUBSTITUTE(AC1014,",",""))+1)</f>
        <v>1</v>
      </c>
    </row>
    <row r="1015" spans="1:30" ht="12.5" x14ac:dyDescent="0.25">
      <c r="A1015" s="1" t="s">
        <v>3968</v>
      </c>
      <c r="B1015" s="1" t="s">
        <v>3969</v>
      </c>
      <c r="C1015" s="1" t="str">
        <v>Jared Eaton</v>
      </c>
      <c r="D1015" s="1" t="s">
        <v>3970</v>
      </c>
      <c r="E1015" s="1" t="str">
        <v>jeremylopez@turner.org</v>
      </c>
      <c r="F1015" t="str">
        <f t="shared" si="197"/>
        <v>Valid</v>
      </c>
      <c r="G1015" s="1" t="s">
        <v>88</v>
      </c>
      <c r="H1015" s="1" t="str">
        <f t="shared" si="198"/>
        <v>Male</v>
      </c>
      <c r="I1015" s="1" t="s">
        <v>18</v>
      </c>
      <c r="J1015" t="str">
        <f t="shared" si="199"/>
        <v>US</v>
      </c>
      <c r="L1015" s="1">
        <f t="shared" si="200"/>
        <v>19</v>
      </c>
      <c r="M1015" s="1" t="str">
        <f t="shared" si="201"/>
        <v>Student</v>
      </c>
      <c r="N1015" s="9">
        <v>44879</v>
      </c>
      <c r="O1015" s="1" t="s">
        <v>69</v>
      </c>
      <c r="P1015" s="1" t="s">
        <v>31</v>
      </c>
      <c r="Q1015" s="4">
        <v>0.56999999999999995</v>
      </c>
      <c r="R1015" s="13">
        <f t="shared" si="202"/>
        <v>56.999999999999993</v>
      </c>
      <c r="S1015" s="6">
        <f t="shared" si="196"/>
        <v>0.56999999999999995</v>
      </c>
      <c r="T1015" s="1">
        <v>2</v>
      </c>
      <c r="U1015" s="1">
        <f t="shared" si="203"/>
        <v>2</v>
      </c>
      <c r="V1015" s="1">
        <f t="shared" si="204"/>
        <v>40.499999999999993</v>
      </c>
      <c r="W1015" s="10" t="str">
        <f t="shared" si="205"/>
        <v>Low</v>
      </c>
      <c r="X1015" s="1" t="s">
        <v>76</v>
      </c>
      <c r="Y1015" s="1" t="str">
        <f t="shared" si="206"/>
        <v>Yes</v>
      </c>
      <c r="Z1015" s="14">
        <v>6</v>
      </c>
      <c r="AA1015" s="18">
        <f t="shared" si="207"/>
        <v>6</v>
      </c>
      <c r="AB1015" s="18" t="str">
        <f t="shared" si="208"/>
        <v>High Performer</v>
      </c>
      <c r="AC1015" s="9" t="s">
        <v>3971</v>
      </c>
      <c r="AD1015">
        <f>IF(AC1015="",0,LEN(AC1015)-LEN(SUBSTITUTE(AC1015,",",""))+1)</f>
        <v>4</v>
      </c>
    </row>
    <row r="1016" spans="1:30" ht="12.5" x14ac:dyDescent="0.25">
      <c r="A1016" s="1" t="s">
        <v>3972</v>
      </c>
      <c r="B1016" s="1" t="s">
        <v>3973</v>
      </c>
      <c r="C1016" s="1" t="str">
        <v>Steven Murphy</v>
      </c>
      <c r="D1016" s="1" t="s">
        <v>3974</v>
      </c>
      <c r="E1016" s="1" t="str">
        <v>bethmichael@gmail.com</v>
      </c>
      <c r="F1016" t="str">
        <f t="shared" si="197"/>
        <v>Valid</v>
      </c>
      <c r="G1016" s="1" t="s">
        <v>27</v>
      </c>
      <c r="H1016" s="1" t="str">
        <f t="shared" si="198"/>
        <v>Male</v>
      </c>
      <c r="I1016" s="1" t="s">
        <v>28</v>
      </c>
      <c r="J1016" t="str">
        <f t="shared" si="199"/>
        <v>INDIA</v>
      </c>
      <c r="K1016" s="14">
        <v>34</v>
      </c>
      <c r="L1016" s="1">
        <f t="shared" si="200"/>
        <v>34</v>
      </c>
      <c r="M1016" s="1" t="str">
        <f t="shared" si="201"/>
        <v>Mid Career</v>
      </c>
      <c r="N1016" s="9">
        <v>45465</v>
      </c>
      <c r="O1016" s="1" t="s">
        <v>158</v>
      </c>
      <c r="P1016" s="1" t="s">
        <v>59</v>
      </c>
      <c r="Q1016" s="4">
        <v>0.49</v>
      </c>
      <c r="R1016" s="13">
        <f t="shared" si="202"/>
        <v>49</v>
      </c>
      <c r="S1016" s="6">
        <f t="shared" si="196"/>
        <v>0.49</v>
      </c>
      <c r="T1016" s="1">
        <v>45</v>
      </c>
      <c r="U1016" s="1">
        <f t="shared" si="203"/>
        <v>45</v>
      </c>
      <c r="V1016" s="1">
        <f t="shared" si="204"/>
        <v>47.8</v>
      </c>
      <c r="W1016" s="10" t="str">
        <f t="shared" si="205"/>
        <v>Medium</v>
      </c>
      <c r="X1016" s="1" t="s">
        <v>76</v>
      </c>
      <c r="Y1016" s="1" t="str">
        <f t="shared" si="206"/>
        <v>Yes</v>
      </c>
      <c r="Z1016" s="14">
        <v>3</v>
      </c>
      <c r="AA1016" s="18">
        <f t="shared" si="207"/>
        <v>3</v>
      </c>
      <c r="AB1016" s="18" t="str">
        <f t="shared" si="208"/>
        <v>No</v>
      </c>
      <c r="AC1016" s="9" t="s">
        <v>3975</v>
      </c>
      <c r="AD1016">
        <f>IF(AC1016="",0,LEN(AC1016)-LEN(SUBSTITUTE(AC1016,",",""))+1)</f>
        <v>6</v>
      </c>
    </row>
    <row r="1017" spans="1:30" ht="12.5" x14ac:dyDescent="0.25">
      <c r="A1017" s="1" t="s">
        <v>3976</v>
      </c>
      <c r="B1017" s="1" t="s">
        <v>3977</v>
      </c>
      <c r="C1017" s="1" t="str">
        <v>Alexis Walters</v>
      </c>
      <c r="D1017" s="1" t="s">
        <v>3978</v>
      </c>
      <c r="E1017" s="1" t="str">
        <v>randysmith@webb-cooper.org</v>
      </c>
      <c r="F1017" t="str">
        <f t="shared" si="197"/>
        <v>Valid</v>
      </c>
      <c r="G1017" s="1" t="s">
        <v>88</v>
      </c>
      <c r="H1017" s="1" t="str">
        <f t="shared" si="198"/>
        <v>Male</v>
      </c>
      <c r="I1017" s="1" t="s">
        <v>89</v>
      </c>
      <c r="J1017" t="str">
        <f t="shared" si="199"/>
        <v>GERMANY</v>
      </c>
      <c r="K1017" s="14">
        <v>0</v>
      </c>
      <c r="L1017" s="1">
        <f t="shared" si="200"/>
        <v>19</v>
      </c>
      <c r="M1017" s="1" t="str">
        <f t="shared" si="201"/>
        <v>Student</v>
      </c>
      <c r="N1017" s="9">
        <v>45256</v>
      </c>
      <c r="O1017" s="1" t="s">
        <v>75</v>
      </c>
      <c r="P1017" s="1" t="s">
        <v>37</v>
      </c>
      <c r="Q1017" s="4">
        <v>0.06</v>
      </c>
      <c r="R1017" s="13">
        <f t="shared" si="202"/>
        <v>6</v>
      </c>
      <c r="S1017" s="6">
        <f t="shared" si="196"/>
        <v>0.06</v>
      </c>
      <c r="T1017" s="1" t="s">
        <v>46</v>
      </c>
      <c r="U1017" s="1">
        <f t="shared" si="203"/>
        <v>1</v>
      </c>
      <c r="V1017" s="1">
        <f t="shared" si="204"/>
        <v>4.4999999999999991</v>
      </c>
      <c r="W1017" s="10" t="str">
        <f t="shared" si="205"/>
        <v>Low</v>
      </c>
      <c r="X1017" s="1">
        <v>0</v>
      </c>
      <c r="Y1017" s="1" t="str">
        <f t="shared" si="206"/>
        <v>No</v>
      </c>
      <c r="Z1017" s="14">
        <v>5</v>
      </c>
      <c r="AA1017" s="18">
        <f t="shared" si="207"/>
        <v>5</v>
      </c>
      <c r="AB1017" s="18" t="str">
        <f t="shared" si="208"/>
        <v>No</v>
      </c>
      <c r="AC1017" s="9" t="s">
        <v>3979</v>
      </c>
      <c r="AD1017">
        <f>IF(AC1017="",0,LEN(AC1017)-LEN(SUBSTITUTE(AC1017,",",""))+1)</f>
        <v>3</v>
      </c>
    </row>
    <row r="1018" spans="1:30" ht="12.5" x14ac:dyDescent="0.25">
      <c r="A1018" s="1" t="s">
        <v>3980</v>
      </c>
      <c r="B1018" s="1" t="s">
        <v>3981</v>
      </c>
      <c r="C1018" s="1" t="str">
        <v>Kimberly Wilson</v>
      </c>
      <c r="D1018" s="1" t="s">
        <v>3982</v>
      </c>
      <c r="E1018" s="1" t="str">
        <v>matthew24@yahoo.com</v>
      </c>
      <c r="F1018" t="str">
        <f t="shared" si="197"/>
        <v>Valid</v>
      </c>
      <c r="G1018" s="1" t="s">
        <v>109</v>
      </c>
      <c r="H1018" s="1" t="str">
        <f t="shared" si="198"/>
        <v>Male</v>
      </c>
      <c r="I1018" s="1" t="s">
        <v>89</v>
      </c>
      <c r="J1018" t="str">
        <f t="shared" si="199"/>
        <v>GERMANY</v>
      </c>
      <c r="L1018" s="1">
        <f t="shared" si="200"/>
        <v>19</v>
      </c>
      <c r="M1018" s="1" t="str">
        <f t="shared" si="201"/>
        <v>Student</v>
      </c>
      <c r="N1018" s="9">
        <v>45288</v>
      </c>
      <c r="O1018" s="1" t="s">
        <v>114</v>
      </c>
      <c r="P1018" s="1" t="s">
        <v>59</v>
      </c>
      <c r="Q1018" s="4">
        <v>0.89</v>
      </c>
      <c r="R1018" s="13">
        <f t="shared" si="202"/>
        <v>89</v>
      </c>
      <c r="S1018" s="6">
        <f t="shared" si="196"/>
        <v>0.89</v>
      </c>
      <c r="T1018" s="1">
        <v>45</v>
      </c>
      <c r="U1018" s="1">
        <f t="shared" si="203"/>
        <v>45</v>
      </c>
      <c r="V1018" s="1">
        <f t="shared" si="204"/>
        <v>75.8</v>
      </c>
      <c r="W1018" s="10" t="str">
        <f t="shared" si="205"/>
        <v>High</v>
      </c>
      <c r="X1018" s="1" t="s">
        <v>22</v>
      </c>
      <c r="Y1018" s="1" t="str">
        <f t="shared" si="206"/>
        <v>No</v>
      </c>
      <c r="Z1018" s="14">
        <v>1</v>
      </c>
      <c r="AA1018" s="18">
        <f t="shared" si="207"/>
        <v>1</v>
      </c>
      <c r="AB1018" s="18" t="str">
        <f t="shared" si="208"/>
        <v>No</v>
      </c>
      <c r="AC1018" s="9" t="s">
        <v>3983</v>
      </c>
      <c r="AD1018">
        <f>IF(AC1018="",0,LEN(AC1018)-LEN(SUBSTITUTE(AC1018,",",""))+1)</f>
        <v>3</v>
      </c>
    </row>
    <row r="1019" spans="1:30" ht="12.5" x14ac:dyDescent="0.25">
      <c r="A1019" s="1" t="s">
        <v>3984</v>
      </c>
      <c r="B1019" s="1" t="s">
        <v>3985</v>
      </c>
      <c r="C1019" s="1" t="str">
        <v>Scott Hines</v>
      </c>
      <c r="D1019" s="1" t="s">
        <v>3986</v>
      </c>
      <c r="E1019" s="1" t="str">
        <v>caseyronald@gmail.com</v>
      </c>
      <c r="F1019" t="str">
        <f t="shared" si="197"/>
        <v>Valid</v>
      </c>
      <c r="G1019" s="1" t="s">
        <v>43</v>
      </c>
      <c r="H1019" s="1" t="str">
        <f t="shared" si="198"/>
        <v>Female</v>
      </c>
      <c r="I1019" s="1" t="s">
        <v>156</v>
      </c>
      <c r="J1019" t="str">
        <f t="shared" si="199"/>
        <v>IN</v>
      </c>
      <c r="L1019" s="1">
        <f t="shared" si="200"/>
        <v>19</v>
      </c>
      <c r="M1019" s="1" t="str">
        <f t="shared" si="201"/>
        <v>Student</v>
      </c>
      <c r="N1019" s="2">
        <v>45356</v>
      </c>
      <c r="O1019" s="1" t="s">
        <v>158</v>
      </c>
      <c r="P1019" s="1" t="s">
        <v>59</v>
      </c>
      <c r="Q1019" s="4">
        <v>26</v>
      </c>
      <c r="R1019" s="13">
        <f t="shared" si="202"/>
        <v>26</v>
      </c>
      <c r="S1019" s="6">
        <f t="shared" si="196"/>
        <v>0.26</v>
      </c>
      <c r="T1019" s="1">
        <v>1.5</v>
      </c>
      <c r="U1019" s="1">
        <f t="shared" si="203"/>
        <v>1.5</v>
      </c>
      <c r="V1019" s="1">
        <f t="shared" si="204"/>
        <v>18.649999999999999</v>
      </c>
      <c r="W1019" s="10" t="str">
        <f t="shared" si="205"/>
        <v>Low</v>
      </c>
      <c r="X1019" s="1" t="s">
        <v>32</v>
      </c>
      <c r="Y1019" s="1" t="str">
        <f t="shared" si="206"/>
        <v>Yes</v>
      </c>
      <c r="AA1019" s="18" t="str">
        <f t="shared" si="207"/>
        <v>Invalid</v>
      </c>
      <c r="AB1019" s="18" t="str">
        <f t="shared" si="208"/>
        <v>High Performer</v>
      </c>
      <c r="AC1019" s="9">
        <v>45356</v>
      </c>
      <c r="AD1019">
        <f>IF(AC1019="",0,LEN(AC1019)-LEN(SUBSTITUTE(AC1019,",",""))+1)</f>
        <v>1</v>
      </c>
    </row>
    <row r="1020" spans="1:30" ht="12.5" x14ac:dyDescent="0.25">
      <c r="A1020" s="1" t="s">
        <v>3987</v>
      </c>
      <c r="B1020" s="1" t="s">
        <v>3988</v>
      </c>
      <c r="C1020" s="1" t="str">
        <v>Brian Pierce</v>
      </c>
      <c r="D1020" s="1" t="s">
        <v>3989</v>
      </c>
      <c r="E1020" s="1" t="str">
        <v>morganparker@yahoo.com</v>
      </c>
      <c r="F1020" t="str">
        <f t="shared" si="197"/>
        <v>Valid</v>
      </c>
      <c r="G1020" s="1" t="s">
        <v>27</v>
      </c>
      <c r="H1020" s="1" t="str">
        <f t="shared" si="198"/>
        <v>Male</v>
      </c>
      <c r="I1020" s="1" t="s">
        <v>89</v>
      </c>
      <c r="J1020" t="str">
        <f t="shared" si="199"/>
        <v>GERMANY</v>
      </c>
      <c r="K1020" s="14">
        <v>0</v>
      </c>
      <c r="L1020" s="1">
        <f t="shared" si="200"/>
        <v>19</v>
      </c>
      <c r="M1020" s="1" t="str">
        <f t="shared" si="201"/>
        <v>Student</v>
      </c>
      <c r="N1020" s="9">
        <v>45502</v>
      </c>
      <c r="O1020" s="1" t="s">
        <v>158</v>
      </c>
      <c r="P1020" s="1" t="s">
        <v>59</v>
      </c>
      <c r="Q1020" s="4">
        <v>0.79</v>
      </c>
      <c r="R1020" s="13">
        <f t="shared" si="202"/>
        <v>79</v>
      </c>
      <c r="S1020" s="6">
        <f t="shared" si="196"/>
        <v>0.79</v>
      </c>
      <c r="T1020" s="1" t="s">
        <v>21</v>
      </c>
      <c r="U1020" s="1">
        <f t="shared" si="203"/>
        <v>1.5</v>
      </c>
      <c r="V1020" s="1">
        <f t="shared" si="204"/>
        <v>55.75</v>
      </c>
      <c r="W1020" s="10" t="str">
        <f t="shared" si="205"/>
        <v>Medium</v>
      </c>
      <c r="X1020" s="1" t="s">
        <v>38</v>
      </c>
      <c r="Y1020" s="1" t="str">
        <f t="shared" si="206"/>
        <v>No</v>
      </c>
      <c r="AA1020" s="18" t="str">
        <f t="shared" si="207"/>
        <v>Invalid</v>
      </c>
      <c r="AB1020" s="18" t="str">
        <f t="shared" si="208"/>
        <v>No</v>
      </c>
      <c r="AC1020" s="9" t="s">
        <v>3990</v>
      </c>
      <c r="AD1020">
        <f>IF(AC1020="",0,LEN(AC1020)-LEN(SUBSTITUTE(AC1020,",",""))+1)</f>
        <v>3</v>
      </c>
    </row>
    <row r="1021" spans="1:30" ht="12.5" x14ac:dyDescent="0.25">
      <c r="A1021" s="1" t="s">
        <v>3991</v>
      </c>
      <c r="B1021" s="1" t="s">
        <v>3992</v>
      </c>
      <c r="C1021" s="1" t="str">
        <v>Kathy Sanders</v>
      </c>
      <c r="D1021" s="1" t="s">
        <v>3993</v>
      </c>
      <c r="E1021" s="1" t="str">
        <v>marywalker@gonzalez.com</v>
      </c>
      <c r="F1021" t="str">
        <f t="shared" si="197"/>
        <v>Valid</v>
      </c>
      <c r="G1021" s="1" t="s">
        <v>95</v>
      </c>
      <c r="H1021" s="1" t="str">
        <f t="shared" si="198"/>
        <v>Male</v>
      </c>
      <c r="I1021" s="1" t="s">
        <v>18</v>
      </c>
      <c r="J1021" t="str">
        <f t="shared" si="199"/>
        <v>US</v>
      </c>
      <c r="K1021" s="14">
        <v>0</v>
      </c>
      <c r="L1021" s="1">
        <f t="shared" si="200"/>
        <v>19</v>
      </c>
      <c r="M1021" s="1" t="str">
        <f t="shared" si="201"/>
        <v>Student</v>
      </c>
      <c r="N1021" s="9">
        <v>45517</v>
      </c>
      <c r="O1021" s="1" t="s">
        <v>301</v>
      </c>
      <c r="P1021" s="1" t="s">
        <v>20</v>
      </c>
      <c r="Q1021" s="4">
        <v>0.24</v>
      </c>
      <c r="R1021" s="13">
        <f t="shared" si="202"/>
        <v>24</v>
      </c>
      <c r="S1021" s="6">
        <f t="shared" si="196"/>
        <v>0.24</v>
      </c>
      <c r="T1021" s="1" t="s">
        <v>64</v>
      </c>
      <c r="U1021" s="1">
        <f t="shared" si="203"/>
        <v>2</v>
      </c>
      <c r="V1021" s="1">
        <f t="shared" si="204"/>
        <v>17.399999999999999</v>
      </c>
      <c r="W1021" s="10" t="str">
        <f t="shared" si="205"/>
        <v>Low</v>
      </c>
      <c r="X1021" s="1" t="s">
        <v>22</v>
      </c>
      <c r="Y1021" s="1" t="str">
        <f t="shared" si="206"/>
        <v>No</v>
      </c>
      <c r="Z1021" s="14">
        <v>6</v>
      </c>
      <c r="AA1021" s="18">
        <f t="shared" si="207"/>
        <v>6</v>
      </c>
      <c r="AB1021" s="18" t="str">
        <f t="shared" si="208"/>
        <v>No</v>
      </c>
      <c r="AC1021" s="9" t="s">
        <v>3994</v>
      </c>
      <c r="AD1021">
        <f>IF(AC1021="",0,LEN(AC1021)-LEN(SUBSTITUTE(AC1021,",",""))+1)</f>
        <v>7</v>
      </c>
    </row>
    <row r="1022" spans="1:30" ht="12.5" x14ac:dyDescent="0.25">
      <c r="A1022" s="1" t="s">
        <v>3995</v>
      </c>
      <c r="B1022" s="1" t="s">
        <v>3996</v>
      </c>
      <c r="C1022" s="1" t="str">
        <v>Kelly Mcbride</v>
      </c>
      <c r="D1022" s="1" t="s">
        <v>3997</v>
      </c>
      <c r="E1022" s="1" t="str">
        <v>heatherosborn@gmail.com</v>
      </c>
      <c r="F1022" t="str">
        <f t="shared" si="197"/>
        <v>Valid</v>
      </c>
      <c r="G1022" s="1" t="s">
        <v>27</v>
      </c>
      <c r="H1022" s="1" t="str">
        <f t="shared" si="198"/>
        <v>Male</v>
      </c>
      <c r="I1022" s="1" t="s">
        <v>18</v>
      </c>
      <c r="J1022" t="str">
        <f t="shared" si="199"/>
        <v>US</v>
      </c>
      <c r="K1022" s="14">
        <v>0</v>
      </c>
      <c r="L1022" s="1">
        <f t="shared" si="200"/>
        <v>19</v>
      </c>
      <c r="M1022" s="1" t="str">
        <f t="shared" si="201"/>
        <v>Student</v>
      </c>
      <c r="N1022" s="2">
        <v>45298</v>
      </c>
      <c r="O1022" s="1" t="s">
        <v>235</v>
      </c>
      <c r="P1022" s="1" t="s">
        <v>147</v>
      </c>
      <c r="Q1022" s="4">
        <v>0.62</v>
      </c>
      <c r="R1022" s="13">
        <f t="shared" si="202"/>
        <v>62</v>
      </c>
      <c r="S1022" s="6">
        <f t="shared" si="196"/>
        <v>0.62</v>
      </c>
      <c r="T1022" s="1">
        <v>1.5</v>
      </c>
      <c r="U1022" s="1">
        <f t="shared" si="203"/>
        <v>1.5</v>
      </c>
      <c r="V1022" s="1">
        <f t="shared" si="204"/>
        <v>43.85</v>
      </c>
      <c r="W1022" s="10" t="str">
        <f t="shared" si="205"/>
        <v>Medium</v>
      </c>
      <c r="X1022" s="1">
        <v>1</v>
      </c>
      <c r="Y1022" s="1" t="str">
        <f t="shared" si="206"/>
        <v>Yes</v>
      </c>
      <c r="Z1022" s="14">
        <v>1</v>
      </c>
      <c r="AA1022" s="18">
        <f t="shared" si="207"/>
        <v>1</v>
      </c>
      <c r="AB1022" s="18" t="str">
        <f t="shared" si="208"/>
        <v>No</v>
      </c>
      <c r="AC1022" s="9" t="s">
        <v>3998</v>
      </c>
      <c r="AD1022">
        <f>IF(AC1022="",0,LEN(AC1022)-LEN(SUBSTITUTE(AC1022,",",""))+1)</f>
        <v>2</v>
      </c>
    </row>
    <row r="1023" spans="1:30" ht="12.5" x14ac:dyDescent="0.25">
      <c r="A1023" s="1" t="s">
        <v>3999</v>
      </c>
      <c r="B1023" s="1" t="s">
        <v>4000</v>
      </c>
      <c r="C1023" s="1" t="str">
        <v>Shannon Perez</v>
      </c>
      <c r="D1023" s="1" t="s">
        <v>4001</v>
      </c>
      <c r="E1023" s="1" t="str">
        <v>rgarrison@haley.com</v>
      </c>
      <c r="F1023" t="str">
        <f t="shared" si="197"/>
        <v>Valid</v>
      </c>
      <c r="G1023" s="1" t="s">
        <v>109</v>
      </c>
      <c r="H1023" s="1" t="str">
        <f t="shared" si="198"/>
        <v>Male</v>
      </c>
      <c r="I1023" s="1" t="s">
        <v>96</v>
      </c>
      <c r="J1023" t="str">
        <f t="shared" si="199"/>
        <v>INDIA</v>
      </c>
      <c r="L1023" s="1">
        <f t="shared" si="200"/>
        <v>19</v>
      </c>
      <c r="M1023" s="1" t="str">
        <f t="shared" si="201"/>
        <v>Student</v>
      </c>
      <c r="N1023" s="2">
        <v>45180</v>
      </c>
      <c r="O1023" s="1" t="s">
        <v>36</v>
      </c>
      <c r="P1023" s="1" t="s">
        <v>37</v>
      </c>
      <c r="Q1023" s="4">
        <v>25</v>
      </c>
      <c r="R1023" s="13">
        <f t="shared" si="202"/>
        <v>25</v>
      </c>
      <c r="S1023" s="6">
        <f t="shared" si="196"/>
        <v>0.25</v>
      </c>
      <c r="T1023" s="1" t="s">
        <v>64</v>
      </c>
      <c r="U1023" s="1">
        <f t="shared" si="203"/>
        <v>2</v>
      </c>
      <c r="V1023" s="1">
        <f t="shared" si="204"/>
        <v>18.100000000000001</v>
      </c>
      <c r="W1023" s="10" t="str">
        <f t="shared" si="205"/>
        <v>Low</v>
      </c>
      <c r="X1023" s="1" t="s">
        <v>76</v>
      </c>
      <c r="Y1023" s="1" t="str">
        <f t="shared" si="206"/>
        <v>Yes</v>
      </c>
      <c r="Z1023" s="14">
        <v>1</v>
      </c>
      <c r="AA1023" s="18">
        <f t="shared" si="207"/>
        <v>1</v>
      </c>
      <c r="AB1023" s="18" t="str">
        <f t="shared" si="208"/>
        <v>No</v>
      </c>
      <c r="AC1023" s="9" t="s">
        <v>4002</v>
      </c>
      <c r="AD1023">
        <f>IF(AC1023="",0,LEN(AC1023)-LEN(SUBSTITUTE(AC1023,",",""))+1)</f>
        <v>2</v>
      </c>
    </row>
    <row r="1024" spans="1:30" ht="12.5" x14ac:dyDescent="0.25">
      <c r="A1024" s="1" t="s">
        <v>4003</v>
      </c>
      <c r="B1024" s="1" t="s">
        <v>4004</v>
      </c>
      <c r="C1024" s="1" t="str">
        <v>Julie Taylor</v>
      </c>
      <c r="D1024" s="1" t="s">
        <v>4005</v>
      </c>
      <c r="E1024" s="1" t="str">
        <v>jonesjeanette@hotmail.com</v>
      </c>
      <c r="F1024" t="str">
        <f t="shared" si="197"/>
        <v>Valid</v>
      </c>
      <c r="G1024" s="1" t="s">
        <v>57</v>
      </c>
      <c r="H1024" s="1" t="str">
        <f t="shared" si="198"/>
        <v>Female</v>
      </c>
      <c r="I1024" s="1" t="s">
        <v>136</v>
      </c>
      <c r="J1024" t="str">
        <f t="shared" si="199"/>
        <v>UK</v>
      </c>
      <c r="K1024" s="14">
        <v>41</v>
      </c>
      <c r="L1024" s="1">
        <f t="shared" si="200"/>
        <v>41</v>
      </c>
      <c r="M1024" s="1" t="str">
        <f t="shared" si="201"/>
        <v>Senior</v>
      </c>
      <c r="N1024" s="2">
        <v>44997</v>
      </c>
      <c r="O1024" s="1" t="s">
        <v>235</v>
      </c>
      <c r="P1024" s="1" t="s">
        <v>147</v>
      </c>
      <c r="Q1024" s="4">
        <v>0.88</v>
      </c>
      <c r="R1024" s="13">
        <f t="shared" si="202"/>
        <v>88</v>
      </c>
      <c r="S1024" s="6">
        <f t="shared" si="196"/>
        <v>0.88</v>
      </c>
      <c r="T1024" s="1" t="s">
        <v>21</v>
      </c>
      <c r="U1024" s="1">
        <f t="shared" si="203"/>
        <v>1.5</v>
      </c>
      <c r="V1024" s="1">
        <f t="shared" si="204"/>
        <v>62.05</v>
      </c>
      <c r="W1024" s="10" t="str">
        <f t="shared" si="205"/>
        <v>Medium</v>
      </c>
      <c r="X1024" s="1" t="s">
        <v>76</v>
      </c>
      <c r="Y1024" s="1" t="str">
        <f t="shared" si="206"/>
        <v>Yes</v>
      </c>
      <c r="Z1024" s="14">
        <v>6</v>
      </c>
      <c r="AA1024" s="18">
        <f t="shared" si="207"/>
        <v>6</v>
      </c>
      <c r="AB1024" s="18" t="str">
        <f t="shared" si="208"/>
        <v>High Performer</v>
      </c>
      <c r="AC1024" s="9" t="s">
        <v>4006</v>
      </c>
      <c r="AD1024">
        <f>IF(AC1024="",0,LEN(AC1024)-LEN(SUBSTITUTE(AC1024,",",""))+1)</f>
        <v>7</v>
      </c>
    </row>
    <row r="1025" spans="1:30" ht="12.5" x14ac:dyDescent="0.25">
      <c r="A1025" s="1" t="s">
        <v>4007</v>
      </c>
      <c r="B1025" s="1" t="s">
        <v>4008</v>
      </c>
      <c r="C1025" s="1" t="str">
        <v>Andrea Fischer</v>
      </c>
      <c r="D1025" s="1" t="s">
        <v>4009</v>
      </c>
      <c r="E1025" s="1" t="str">
        <v>timothymartin@myers.biz</v>
      </c>
      <c r="F1025" t="str">
        <f t="shared" si="197"/>
        <v>Valid</v>
      </c>
      <c r="G1025" s="1" t="s">
        <v>27</v>
      </c>
      <c r="H1025" s="1" t="str">
        <f t="shared" si="198"/>
        <v>Male</v>
      </c>
      <c r="I1025" s="1" t="s">
        <v>51</v>
      </c>
      <c r="J1025" t="str">
        <f t="shared" si="199"/>
        <v>UK</v>
      </c>
      <c r="L1025" s="1">
        <f t="shared" si="200"/>
        <v>19</v>
      </c>
      <c r="M1025" s="1" t="str">
        <f t="shared" si="201"/>
        <v>Student</v>
      </c>
      <c r="N1025" s="2">
        <v>45024</v>
      </c>
      <c r="O1025" s="1" t="s">
        <v>90</v>
      </c>
      <c r="P1025" s="1" t="s">
        <v>31</v>
      </c>
      <c r="Q1025" s="4">
        <v>0.72</v>
      </c>
      <c r="R1025" s="13">
        <f t="shared" si="202"/>
        <v>72</v>
      </c>
      <c r="S1025" s="6">
        <f t="shared" si="196"/>
        <v>0.72</v>
      </c>
      <c r="T1025" s="1" t="s">
        <v>46</v>
      </c>
      <c r="U1025" s="1">
        <f t="shared" si="203"/>
        <v>1</v>
      </c>
      <c r="V1025" s="1">
        <f t="shared" si="204"/>
        <v>50.699999999999996</v>
      </c>
      <c r="W1025" s="10" t="str">
        <f t="shared" si="205"/>
        <v>Medium</v>
      </c>
      <c r="X1025" s="1">
        <v>0</v>
      </c>
      <c r="Y1025" s="1" t="str">
        <f t="shared" si="206"/>
        <v>No</v>
      </c>
      <c r="Z1025" s="14">
        <v>1</v>
      </c>
      <c r="AA1025" s="18">
        <f t="shared" si="207"/>
        <v>1</v>
      </c>
      <c r="AB1025" s="18" t="str">
        <f t="shared" si="208"/>
        <v>No</v>
      </c>
      <c r="AC1025" s="9" t="s">
        <v>4010</v>
      </c>
      <c r="AD1025">
        <f>IF(AC1025="",0,LEN(AC1025)-LEN(SUBSTITUTE(AC1025,",",""))+1)</f>
        <v>4</v>
      </c>
    </row>
    <row r="1026" spans="1:30" ht="12.5" x14ac:dyDescent="0.25">
      <c r="A1026" s="1" t="s">
        <v>4011</v>
      </c>
      <c r="B1026" s="1" t="s">
        <v>4012</v>
      </c>
      <c r="C1026" s="1" t="str">
        <v>Darrell Rush</v>
      </c>
      <c r="D1026" s="1" t="s">
        <v>4013</v>
      </c>
      <c r="E1026" s="1" t="str">
        <v>vmartinez@blackburn.com</v>
      </c>
      <c r="F1026" t="str">
        <f t="shared" si="197"/>
        <v>Valid</v>
      </c>
      <c r="G1026" s="1" t="s">
        <v>57</v>
      </c>
      <c r="H1026" s="1" t="str">
        <f t="shared" si="198"/>
        <v>Female</v>
      </c>
      <c r="I1026" s="1" t="s">
        <v>136</v>
      </c>
      <c r="J1026" t="str">
        <f t="shared" si="199"/>
        <v>UK</v>
      </c>
      <c r="L1026" s="1">
        <f t="shared" si="200"/>
        <v>19</v>
      </c>
      <c r="M1026" s="1" t="str">
        <f t="shared" si="201"/>
        <v>Student</v>
      </c>
      <c r="N1026" s="2">
        <v>45058</v>
      </c>
      <c r="O1026" s="1" t="s">
        <v>301</v>
      </c>
      <c r="P1026" s="1" t="s">
        <v>20</v>
      </c>
      <c r="Q1026" s="4">
        <v>64</v>
      </c>
      <c r="R1026" s="13">
        <f t="shared" si="202"/>
        <v>64</v>
      </c>
      <c r="S1026" s="6">
        <f t="shared" ref="S1026:S1089" si="209">R1026/100</f>
        <v>0.64</v>
      </c>
      <c r="T1026" s="1" t="s">
        <v>21</v>
      </c>
      <c r="U1026" s="1">
        <f t="shared" si="203"/>
        <v>1.5</v>
      </c>
      <c r="V1026" s="1">
        <f t="shared" si="204"/>
        <v>45.25</v>
      </c>
      <c r="W1026" s="10" t="str">
        <f t="shared" si="205"/>
        <v>Medium</v>
      </c>
      <c r="X1026" s="1" t="s">
        <v>22</v>
      </c>
      <c r="Y1026" s="1" t="str">
        <f t="shared" si="206"/>
        <v>No</v>
      </c>
      <c r="Z1026" s="14">
        <v>1</v>
      </c>
      <c r="AA1026" s="18">
        <f t="shared" si="207"/>
        <v>1</v>
      </c>
      <c r="AB1026" s="18" t="str">
        <f t="shared" si="208"/>
        <v>No</v>
      </c>
      <c r="AC1026" s="9" t="s">
        <v>4014</v>
      </c>
      <c r="AD1026">
        <f>IF(AC1026="",0,LEN(AC1026)-LEN(SUBSTITUTE(AC1026,",",""))+1)</f>
        <v>7</v>
      </c>
    </row>
    <row r="1027" spans="1:30" ht="12.5" x14ac:dyDescent="0.25">
      <c r="A1027" s="1" t="s">
        <v>4015</v>
      </c>
      <c r="B1027" s="1" t="s">
        <v>4016</v>
      </c>
      <c r="C1027" s="1" t="str">
        <v>Brian Fuller</v>
      </c>
      <c r="D1027" s="1" t="s">
        <v>4017</v>
      </c>
      <c r="E1027" s="1" t="str">
        <v>donnaevans@gmail.com</v>
      </c>
      <c r="F1027" t="str">
        <f t="shared" ref="F1027:F1090" si="210">IF(ISNUMBER(SEARCH("@", E1027)), "Valid", "Invalid")</f>
        <v>Valid</v>
      </c>
      <c r="G1027" s="1" t="s">
        <v>88</v>
      </c>
      <c r="H1027" s="1" t="str">
        <f t="shared" ref="H1027:H1090" si="211">IF(OR(LOWER(G1027)="m", LOWER(G1027)="male"), "Male", IF(OR(LOWER(G1027)="f", LOWER(G1027)="female"), "Female","Other"))</f>
        <v>Male</v>
      </c>
      <c r="I1027" s="1" t="s">
        <v>96</v>
      </c>
      <c r="J1027" t="str">
        <f t="shared" ref="J1027:J1090" si="212">UPPER(TRIM(I1027))</f>
        <v>INDIA</v>
      </c>
      <c r="K1027" s="14">
        <v>35</v>
      </c>
      <c r="L1027" s="1">
        <f t="shared" ref="L1027:L1090" si="213">IF(OR(K1027=0,K1027&lt;10,K1027&gt;100), $L$1202, K1027)</f>
        <v>35</v>
      </c>
      <c r="M1027" s="1" t="str">
        <f t="shared" ref="M1027:M1090" si="214">IF(K1027&lt;22,"Student",
IF(K1027&lt;=30,"Early Career",
IF(K1027&lt;=40,"Mid Career",
IF(K1027&lt;=50,"Senior","Expert"))))</f>
        <v>Mid Career</v>
      </c>
      <c r="N1027" s="9">
        <v>45166</v>
      </c>
      <c r="O1027" s="1" t="s">
        <v>30</v>
      </c>
      <c r="P1027" s="1" t="s">
        <v>31</v>
      </c>
      <c r="Q1027" s="4">
        <v>0.7</v>
      </c>
      <c r="R1027" s="13">
        <f t="shared" ref="R1027:R1090" si="215">IF(Q1027&lt;=1, Q1027*100, Q1027)</f>
        <v>70</v>
      </c>
      <c r="S1027" s="6">
        <f t="shared" si="209"/>
        <v>0.7</v>
      </c>
      <c r="T1027" s="1">
        <v>45</v>
      </c>
      <c r="U1027" s="1">
        <f t="shared" ref="U1027:U1090" si="216">IF(ISNUMBER(T1027), T1027,
IF(ISNUMBER(SEARCH("min", T1027)), VALUE(LEFT(T1027, FIND(" ", T1027)-1))/60,
IF(ISNUMBER(SEARCH("hour", T1027)), VALUE(LEFT(T1027, FIND(" ", T1027)-1)),
"")))</f>
        <v>45</v>
      </c>
      <c r="V1027" s="1">
        <f t="shared" ref="V1027:V1090" si="217">MIN( (0.7*R1027 + 0.3*(U1027)), 100 )</f>
        <v>62.5</v>
      </c>
      <c r="W1027" s="10" t="str">
        <f t="shared" ref="W1027:W1090" si="218">IF(V1027&lt;41,"Low",IF(V1027&lt;71,"Medium","High"))</f>
        <v>Medium</v>
      </c>
      <c r="X1027" s="1" t="s">
        <v>22</v>
      </c>
      <c r="Y1027" s="1" t="str">
        <f t="shared" ref="Y1027:Y1090" si="219">IF(OR(X1027="Yes", X1027="Y", X1027=1), "Yes", "No")</f>
        <v>No</v>
      </c>
      <c r="Z1027" s="14">
        <v>3</v>
      </c>
      <c r="AA1027" s="18">
        <f t="shared" ref="AA1027:AA1090" si="220">IF(AND(Z1027&gt;=1,Z1027&lt;=6),Z1027,"Invalid")</f>
        <v>3</v>
      </c>
      <c r="AB1027" s="18" t="str">
        <f t="shared" ref="AB1027:AB1090" si="221">IF(AND(Y1027="Yes",AA1027&gt;=4),"High Performer","No")</f>
        <v>No</v>
      </c>
      <c r="AC1027" s="9" t="s">
        <v>3711</v>
      </c>
      <c r="AD1027">
        <f>IF(AC1027="",0,LEN(AC1027)-LEN(SUBSTITUTE(AC1027,",",""))+1)</f>
        <v>5</v>
      </c>
    </row>
    <row r="1028" spans="1:30" ht="12.5" x14ac:dyDescent="0.25">
      <c r="A1028" s="1" t="s">
        <v>4018</v>
      </c>
      <c r="B1028" s="1" t="s">
        <v>4019</v>
      </c>
      <c r="C1028" s="1" t="str">
        <v>William Lozano</v>
      </c>
      <c r="D1028" s="1" t="s">
        <v>127</v>
      </c>
      <c r="E1028" s="1" t="str">
        <v>invalid-email</v>
      </c>
      <c r="F1028" t="str">
        <f t="shared" si="210"/>
        <v>Invalid</v>
      </c>
      <c r="G1028" s="1" t="s">
        <v>95</v>
      </c>
      <c r="H1028" s="1" t="str">
        <f t="shared" si="211"/>
        <v>Male</v>
      </c>
      <c r="I1028" s="1" t="s">
        <v>18</v>
      </c>
      <c r="J1028" t="str">
        <f t="shared" si="212"/>
        <v>US</v>
      </c>
      <c r="K1028" s="14">
        <v>0</v>
      </c>
      <c r="L1028" s="1">
        <f t="shared" si="213"/>
        <v>19</v>
      </c>
      <c r="M1028" s="1" t="str">
        <f t="shared" si="214"/>
        <v>Student</v>
      </c>
      <c r="N1028" s="9">
        <v>45498</v>
      </c>
      <c r="O1028" s="1" t="s">
        <v>52</v>
      </c>
      <c r="P1028" s="1" t="s">
        <v>37</v>
      </c>
      <c r="Q1028" s="4">
        <v>87</v>
      </c>
      <c r="R1028" s="13">
        <f t="shared" si="215"/>
        <v>87</v>
      </c>
      <c r="S1028" s="6">
        <f t="shared" si="209"/>
        <v>0.87</v>
      </c>
      <c r="T1028" s="1" t="s">
        <v>21</v>
      </c>
      <c r="U1028" s="1">
        <f t="shared" si="216"/>
        <v>1.5</v>
      </c>
      <c r="V1028" s="1">
        <f t="shared" si="217"/>
        <v>61.35</v>
      </c>
      <c r="W1028" s="10" t="str">
        <f t="shared" si="218"/>
        <v>Medium</v>
      </c>
      <c r="X1028" s="1" t="s">
        <v>22</v>
      </c>
      <c r="Y1028" s="1" t="str">
        <f t="shared" si="219"/>
        <v>No</v>
      </c>
      <c r="Z1028" s="14">
        <v>2</v>
      </c>
      <c r="AA1028" s="18">
        <f t="shared" si="220"/>
        <v>2</v>
      </c>
      <c r="AB1028" s="18" t="str">
        <f t="shared" si="221"/>
        <v>No</v>
      </c>
      <c r="AC1028" s="9" t="s">
        <v>1290</v>
      </c>
      <c r="AD1028">
        <f>IF(AC1028="",0,LEN(AC1028)-LEN(SUBSTITUTE(AC1028,",",""))+1)</f>
        <v>1</v>
      </c>
    </row>
    <row r="1029" spans="1:30" ht="12.5" x14ac:dyDescent="0.25">
      <c r="A1029" s="1" t="s">
        <v>4020</v>
      </c>
      <c r="B1029" s="1" t="s">
        <v>4021</v>
      </c>
      <c r="C1029" s="1" t="str">
        <v>Ryan Scott</v>
      </c>
      <c r="D1029" s="1" t="s">
        <v>4022</v>
      </c>
      <c r="E1029" s="1" t="str">
        <v>trichards@hotmail.com</v>
      </c>
      <c r="F1029" t="str">
        <f t="shared" si="210"/>
        <v>Valid</v>
      </c>
      <c r="G1029" s="1" t="s">
        <v>88</v>
      </c>
      <c r="H1029" s="1" t="str">
        <f t="shared" si="211"/>
        <v>Male</v>
      </c>
      <c r="I1029" s="1" t="s">
        <v>136</v>
      </c>
      <c r="J1029" t="str">
        <f t="shared" si="212"/>
        <v>UK</v>
      </c>
      <c r="K1029" s="14">
        <v>41</v>
      </c>
      <c r="L1029" s="1">
        <f t="shared" si="213"/>
        <v>41</v>
      </c>
      <c r="M1029" s="1" t="str">
        <f t="shared" si="214"/>
        <v>Senior</v>
      </c>
      <c r="N1029" s="9">
        <v>45188</v>
      </c>
      <c r="O1029" s="1" t="s">
        <v>45</v>
      </c>
      <c r="P1029" s="1" t="s">
        <v>20</v>
      </c>
      <c r="Q1029" s="4">
        <v>0.6</v>
      </c>
      <c r="R1029" s="13">
        <f t="shared" si="215"/>
        <v>60</v>
      </c>
      <c r="S1029" s="6">
        <f t="shared" si="209"/>
        <v>0.6</v>
      </c>
      <c r="T1029" s="1">
        <v>1.5</v>
      </c>
      <c r="U1029" s="1">
        <f t="shared" si="216"/>
        <v>1.5</v>
      </c>
      <c r="V1029" s="1">
        <f t="shared" si="217"/>
        <v>42.45</v>
      </c>
      <c r="W1029" s="10" t="str">
        <f t="shared" si="218"/>
        <v>Medium</v>
      </c>
      <c r="X1029" s="1">
        <v>1</v>
      </c>
      <c r="Y1029" s="1" t="str">
        <f t="shared" si="219"/>
        <v>Yes</v>
      </c>
      <c r="Z1029" s="14">
        <v>5</v>
      </c>
      <c r="AA1029" s="18">
        <f t="shared" si="220"/>
        <v>5</v>
      </c>
      <c r="AB1029" s="18" t="str">
        <f t="shared" si="221"/>
        <v>High Performer</v>
      </c>
      <c r="AC1029" s="9" t="s">
        <v>4023</v>
      </c>
      <c r="AD1029">
        <f>IF(AC1029="",0,LEN(AC1029)-LEN(SUBSTITUTE(AC1029,",",""))+1)</f>
        <v>2</v>
      </c>
    </row>
    <row r="1030" spans="1:30" ht="12.5" x14ac:dyDescent="0.25">
      <c r="A1030" s="1" t="s">
        <v>4024</v>
      </c>
      <c r="B1030" s="1" t="s">
        <v>4025</v>
      </c>
      <c r="C1030" s="1" t="str">
        <v>Zachary Morrison</v>
      </c>
      <c r="D1030" s="1" t="s">
        <v>4026</v>
      </c>
      <c r="E1030" s="1" t="str">
        <v>mollyortega@hotmail.com</v>
      </c>
      <c r="F1030" t="str">
        <f t="shared" si="210"/>
        <v>Valid</v>
      </c>
      <c r="G1030" s="1" t="s">
        <v>109</v>
      </c>
      <c r="H1030" s="1" t="str">
        <f t="shared" si="211"/>
        <v>Male</v>
      </c>
      <c r="I1030" s="1" t="s">
        <v>44</v>
      </c>
      <c r="J1030" t="str">
        <f t="shared" si="212"/>
        <v>CANADA</v>
      </c>
      <c r="K1030" s="14">
        <v>0</v>
      </c>
      <c r="L1030" s="1">
        <f t="shared" si="213"/>
        <v>19</v>
      </c>
      <c r="M1030" s="1" t="str">
        <f t="shared" si="214"/>
        <v>Student</v>
      </c>
      <c r="N1030" s="2">
        <v>45356</v>
      </c>
      <c r="O1030" s="1" t="s">
        <v>52</v>
      </c>
      <c r="P1030" s="1" t="s">
        <v>37</v>
      </c>
      <c r="Q1030" s="4">
        <v>19</v>
      </c>
      <c r="R1030" s="13">
        <f t="shared" si="215"/>
        <v>19</v>
      </c>
      <c r="S1030" s="6">
        <f t="shared" si="209"/>
        <v>0.19</v>
      </c>
      <c r="T1030" s="1" t="s">
        <v>64</v>
      </c>
      <c r="U1030" s="1">
        <f t="shared" si="216"/>
        <v>2</v>
      </c>
      <c r="V1030" s="1">
        <f t="shared" si="217"/>
        <v>13.899999999999999</v>
      </c>
      <c r="W1030" s="10" t="str">
        <f t="shared" si="218"/>
        <v>Low</v>
      </c>
      <c r="X1030" s="1" t="s">
        <v>38</v>
      </c>
      <c r="Y1030" s="1" t="str">
        <f t="shared" si="219"/>
        <v>No</v>
      </c>
      <c r="Z1030" s="14">
        <v>4</v>
      </c>
      <c r="AA1030" s="18">
        <f t="shared" si="220"/>
        <v>4</v>
      </c>
      <c r="AB1030" s="18" t="str">
        <f t="shared" si="221"/>
        <v>No</v>
      </c>
      <c r="AC1030" s="9" t="s">
        <v>4027</v>
      </c>
      <c r="AD1030">
        <f>IF(AC1030="",0,LEN(AC1030)-LEN(SUBSTITUTE(AC1030,",",""))+1)</f>
        <v>8</v>
      </c>
    </row>
    <row r="1031" spans="1:30" ht="12.5" x14ac:dyDescent="0.25">
      <c r="A1031" s="1" t="s">
        <v>4028</v>
      </c>
      <c r="B1031" s="1" t="s">
        <v>4029</v>
      </c>
      <c r="C1031" s="1" t="str">
        <v>Diana Ramsey</v>
      </c>
      <c r="D1031" s="1" t="s">
        <v>4030</v>
      </c>
      <c r="E1031" s="1" t="str">
        <v>danielle56@hotmail.com</v>
      </c>
      <c r="F1031" t="str">
        <f t="shared" si="210"/>
        <v>Valid</v>
      </c>
      <c r="G1031" s="1" t="s">
        <v>43</v>
      </c>
      <c r="H1031" s="1" t="str">
        <f t="shared" si="211"/>
        <v>Female</v>
      </c>
      <c r="I1031" s="1" t="s">
        <v>18</v>
      </c>
      <c r="J1031" t="str">
        <f t="shared" si="212"/>
        <v>US</v>
      </c>
      <c r="K1031" s="14">
        <v>0</v>
      </c>
      <c r="L1031" s="1">
        <f t="shared" si="213"/>
        <v>19</v>
      </c>
      <c r="M1031" s="1" t="str">
        <f t="shared" si="214"/>
        <v>Student</v>
      </c>
      <c r="N1031" s="2">
        <v>45475</v>
      </c>
      <c r="O1031" s="1" t="s">
        <v>36</v>
      </c>
      <c r="P1031" s="1" t="s">
        <v>37</v>
      </c>
      <c r="Q1031" s="4">
        <v>0.38</v>
      </c>
      <c r="R1031" s="13">
        <f t="shared" si="215"/>
        <v>38</v>
      </c>
      <c r="S1031" s="6">
        <f t="shared" si="209"/>
        <v>0.38</v>
      </c>
      <c r="T1031" s="1" t="s">
        <v>46</v>
      </c>
      <c r="U1031" s="1">
        <f t="shared" si="216"/>
        <v>1</v>
      </c>
      <c r="V1031" s="1">
        <f t="shared" si="217"/>
        <v>26.9</v>
      </c>
      <c r="W1031" s="10" t="str">
        <f t="shared" si="218"/>
        <v>Low</v>
      </c>
      <c r="X1031" s="1" t="s">
        <v>38</v>
      </c>
      <c r="Y1031" s="1" t="str">
        <f t="shared" si="219"/>
        <v>No</v>
      </c>
      <c r="Z1031" s="14">
        <v>2</v>
      </c>
      <c r="AA1031" s="18">
        <f t="shared" si="220"/>
        <v>2</v>
      </c>
      <c r="AB1031" s="18" t="str">
        <f t="shared" si="221"/>
        <v>No</v>
      </c>
      <c r="AC1031" s="9" t="s">
        <v>4031</v>
      </c>
      <c r="AD1031">
        <f>IF(AC1031="",0,LEN(AC1031)-LEN(SUBSTITUTE(AC1031,",",""))+1)</f>
        <v>6</v>
      </c>
    </row>
    <row r="1032" spans="1:30" ht="12.5" x14ac:dyDescent="0.25">
      <c r="A1032" s="1" t="s">
        <v>4032</v>
      </c>
      <c r="B1032" s="1" t="s">
        <v>4033</v>
      </c>
      <c r="C1032" s="1" t="str">
        <v>Robert Sanchez</v>
      </c>
      <c r="D1032" s="1" t="s">
        <v>4034</v>
      </c>
      <c r="E1032" s="1" t="str">
        <v>brittanywade@gmail.com</v>
      </c>
      <c r="F1032" t="str">
        <f t="shared" si="210"/>
        <v>Valid</v>
      </c>
      <c r="G1032" s="1" t="s">
        <v>88</v>
      </c>
      <c r="H1032" s="1" t="str">
        <f t="shared" si="211"/>
        <v>Male</v>
      </c>
      <c r="I1032" s="1" t="s">
        <v>51</v>
      </c>
      <c r="J1032" t="str">
        <f t="shared" si="212"/>
        <v>UK</v>
      </c>
      <c r="K1032" s="14">
        <v>0</v>
      </c>
      <c r="L1032" s="1">
        <f t="shared" si="213"/>
        <v>19</v>
      </c>
      <c r="M1032" s="1" t="str">
        <f t="shared" si="214"/>
        <v>Student</v>
      </c>
      <c r="N1032" s="2">
        <v>44962</v>
      </c>
      <c r="O1032" s="1" t="s">
        <v>58</v>
      </c>
      <c r="P1032" s="1" t="s">
        <v>59</v>
      </c>
      <c r="Q1032" s="4">
        <v>0.49</v>
      </c>
      <c r="R1032" s="13">
        <f t="shared" si="215"/>
        <v>49</v>
      </c>
      <c r="S1032" s="6">
        <f t="shared" si="209"/>
        <v>0.49</v>
      </c>
      <c r="T1032" s="1" t="s">
        <v>46</v>
      </c>
      <c r="U1032" s="1">
        <f t="shared" si="216"/>
        <v>1</v>
      </c>
      <c r="V1032" s="1">
        <f t="shared" si="217"/>
        <v>34.599999999999994</v>
      </c>
      <c r="W1032" s="10" t="str">
        <f t="shared" si="218"/>
        <v>Low</v>
      </c>
      <c r="X1032" s="1" t="s">
        <v>22</v>
      </c>
      <c r="Y1032" s="1" t="str">
        <f t="shared" si="219"/>
        <v>No</v>
      </c>
      <c r="Z1032" s="14">
        <v>4</v>
      </c>
      <c r="AA1032" s="18">
        <f t="shared" si="220"/>
        <v>4</v>
      </c>
      <c r="AB1032" s="18" t="str">
        <f t="shared" si="221"/>
        <v>No</v>
      </c>
      <c r="AC1032" s="9" t="s">
        <v>4035</v>
      </c>
      <c r="AD1032">
        <f>IF(AC1032="",0,LEN(AC1032)-LEN(SUBSTITUTE(AC1032,",",""))+1)</f>
        <v>8</v>
      </c>
    </row>
    <row r="1033" spans="1:30" ht="12.5" x14ac:dyDescent="0.25">
      <c r="A1033" s="1" t="s">
        <v>4036</v>
      </c>
      <c r="B1033" s="1" t="s">
        <v>4037</v>
      </c>
      <c r="C1033" s="1" t="str">
        <v>Joseph Schaefer</v>
      </c>
      <c r="D1033" s="1" t="s">
        <v>4038</v>
      </c>
      <c r="E1033" s="1" t="str">
        <v>guzmanbrittany@hotmail.com</v>
      </c>
      <c r="F1033" t="str">
        <f t="shared" si="210"/>
        <v>Valid</v>
      </c>
      <c r="G1033" s="1" t="s">
        <v>88</v>
      </c>
      <c r="H1033" s="1" t="str">
        <f t="shared" si="211"/>
        <v>Male</v>
      </c>
      <c r="I1033" s="1" t="s">
        <v>156</v>
      </c>
      <c r="J1033" t="str">
        <f t="shared" si="212"/>
        <v>IN</v>
      </c>
      <c r="L1033" s="1">
        <f t="shared" si="213"/>
        <v>19</v>
      </c>
      <c r="M1033" s="1" t="str">
        <f t="shared" si="214"/>
        <v>Student</v>
      </c>
      <c r="N1033" s="2">
        <v>45356</v>
      </c>
      <c r="O1033" s="1" t="s">
        <v>146</v>
      </c>
      <c r="P1033" s="1" t="s">
        <v>147</v>
      </c>
      <c r="Q1033" s="4">
        <v>0.79</v>
      </c>
      <c r="R1033" s="13">
        <f t="shared" si="215"/>
        <v>79</v>
      </c>
      <c r="S1033" s="6">
        <f t="shared" si="209"/>
        <v>0.79</v>
      </c>
      <c r="T1033" s="1" t="s">
        <v>46</v>
      </c>
      <c r="U1033" s="1">
        <f t="shared" si="216"/>
        <v>1</v>
      </c>
      <c r="V1033" s="1">
        <f t="shared" si="217"/>
        <v>55.599999999999994</v>
      </c>
      <c r="W1033" s="10" t="str">
        <f t="shared" si="218"/>
        <v>Medium</v>
      </c>
      <c r="X1033" s="1" t="s">
        <v>22</v>
      </c>
      <c r="Y1033" s="1" t="str">
        <f t="shared" si="219"/>
        <v>No</v>
      </c>
      <c r="Z1033" s="14">
        <v>3</v>
      </c>
      <c r="AA1033" s="18">
        <f t="shared" si="220"/>
        <v>3</v>
      </c>
      <c r="AB1033" s="18" t="str">
        <f t="shared" si="221"/>
        <v>No</v>
      </c>
      <c r="AC1033" s="9" t="s">
        <v>4039</v>
      </c>
      <c r="AD1033">
        <f>IF(AC1033="",0,LEN(AC1033)-LEN(SUBSTITUTE(AC1033,",",""))+1)</f>
        <v>4</v>
      </c>
    </row>
    <row r="1034" spans="1:30" ht="12.5" x14ac:dyDescent="0.25">
      <c r="A1034" s="1" t="s">
        <v>4040</v>
      </c>
      <c r="B1034" s="1" t="s">
        <v>4041</v>
      </c>
      <c r="C1034" s="1" t="str">
        <v>Heather Chambers</v>
      </c>
      <c r="D1034" s="1" t="s">
        <v>4042</v>
      </c>
      <c r="E1034" s="1" t="str">
        <v>chiggins@yahoo.com</v>
      </c>
      <c r="F1034" t="str">
        <f t="shared" si="210"/>
        <v>Valid</v>
      </c>
      <c r="G1034" s="1" t="s">
        <v>43</v>
      </c>
      <c r="H1034" s="1" t="str">
        <f t="shared" si="211"/>
        <v>Female</v>
      </c>
      <c r="I1034" s="1" t="s">
        <v>156</v>
      </c>
      <c r="J1034" t="str">
        <f t="shared" si="212"/>
        <v>IN</v>
      </c>
      <c r="K1034" s="14">
        <v>35</v>
      </c>
      <c r="L1034" s="1">
        <f t="shared" si="213"/>
        <v>35</v>
      </c>
      <c r="M1034" s="1" t="str">
        <f t="shared" si="214"/>
        <v>Mid Career</v>
      </c>
      <c r="N1034" s="2">
        <v>44751</v>
      </c>
      <c r="O1034" s="1" t="s">
        <v>158</v>
      </c>
      <c r="P1034" s="1" t="s">
        <v>59</v>
      </c>
      <c r="Q1034" s="4">
        <v>99</v>
      </c>
      <c r="R1034" s="13">
        <f t="shared" si="215"/>
        <v>99</v>
      </c>
      <c r="S1034" s="6">
        <f t="shared" si="209"/>
        <v>0.99</v>
      </c>
      <c r="T1034" s="1">
        <v>2</v>
      </c>
      <c r="U1034" s="1">
        <f t="shared" si="216"/>
        <v>2</v>
      </c>
      <c r="V1034" s="1">
        <f t="shared" si="217"/>
        <v>69.899999999999991</v>
      </c>
      <c r="W1034" s="10" t="str">
        <f t="shared" si="218"/>
        <v>Medium</v>
      </c>
      <c r="X1034" s="1">
        <v>1</v>
      </c>
      <c r="Y1034" s="1" t="str">
        <f t="shared" si="219"/>
        <v>Yes</v>
      </c>
      <c r="Z1034" s="14">
        <v>6</v>
      </c>
      <c r="AA1034" s="18">
        <f t="shared" si="220"/>
        <v>6</v>
      </c>
      <c r="AB1034" s="18" t="str">
        <f t="shared" si="221"/>
        <v>High Performer</v>
      </c>
      <c r="AC1034" s="9" t="s">
        <v>4043</v>
      </c>
      <c r="AD1034">
        <f>IF(AC1034="",0,LEN(AC1034)-LEN(SUBSTITUTE(AC1034,",",""))+1)</f>
        <v>8</v>
      </c>
    </row>
    <row r="1035" spans="1:30" ht="12.5" x14ac:dyDescent="0.25">
      <c r="A1035" s="1" t="s">
        <v>4044</v>
      </c>
      <c r="B1035" s="1" t="s">
        <v>4045</v>
      </c>
      <c r="C1035" s="1" t="str">
        <v>Kelly Bentley</v>
      </c>
      <c r="D1035" s="1" t="s">
        <v>4046</v>
      </c>
      <c r="E1035" s="1" t="str">
        <v>robinsonhenry@hotmail.com</v>
      </c>
      <c r="F1035" t="str">
        <f t="shared" si="210"/>
        <v>Valid</v>
      </c>
      <c r="G1035" s="1" t="s">
        <v>109</v>
      </c>
      <c r="H1035" s="1" t="str">
        <f t="shared" si="211"/>
        <v>Male</v>
      </c>
      <c r="I1035" s="1" t="s">
        <v>18</v>
      </c>
      <c r="J1035" t="str">
        <f t="shared" si="212"/>
        <v>US</v>
      </c>
      <c r="K1035" s="14">
        <v>36</v>
      </c>
      <c r="L1035" s="1">
        <f t="shared" si="213"/>
        <v>36</v>
      </c>
      <c r="M1035" s="1" t="str">
        <f t="shared" si="214"/>
        <v>Mid Career</v>
      </c>
      <c r="N1035" s="2">
        <v>45809</v>
      </c>
      <c r="O1035" s="1" t="s">
        <v>158</v>
      </c>
      <c r="P1035" s="1" t="s">
        <v>59</v>
      </c>
      <c r="Q1035" s="4">
        <v>0.49</v>
      </c>
      <c r="R1035" s="13">
        <f t="shared" si="215"/>
        <v>49</v>
      </c>
      <c r="S1035" s="6">
        <f t="shared" si="209"/>
        <v>0.49</v>
      </c>
      <c r="T1035" s="1">
        <v>1.5</v>
      </c>
      <c r="U1035" s="1">
        <f t="shared" si="216"/>
        <v>1.5</v>
      </c>
      <c r="V1035" s="1">
        <f t="shared" si="217"/>
        <v>34.75</v>
      </c>
      <c r="W1035" s="10" t="str">
        <f t="shared" si="218"/>
        <v>Low</v>
      </c>
      <c r="X1035" s="1" t="s">
        <v>32</v>
      </c>
      <c r="Y1035" s="1" t="str">
        <f t="shared" si="219"/>
        <v>Yes</v>
      </c>
      <c r="Z1035" s="14">
        <v>5</v>
      </c>
      <c r="AA1035" s="18">
        <f t="shared" si="220"/>
        <v>5</v>
      </c>
      <c r="AB1035" s="18" t="str">
        <f t="shared" si="221"/>
        <v>High Performer</v>
      </c>
      <c r="AC1035" s="9" t="s">
        <v>2239</v>
      </c>
      <c r="AD1035">
        <f>IF(AC1035="",0,LEN(AC1035)-LEN(SUBSTITUTE(AC1035,",",""))+1)</f>
        <v>8</v>
      </c>
    </row>
    <row r="1036" spans="1:30" ht="12.5" x14ac:dyDescent="0.25">
      <c r="A1036" s="1" t="s">
        <v>4047</v>
      </c>
      <c r="B1036" s="1" t="s">
        <v>4048</v>
      </c>
      <c r="C1036" s="1" t="str">
        <v>Monica Atkinson</v>
      </c>
      <c r="D1036" s="1" t="s">
        <v>4049</v>
      </c>
      <c r="E1036" s="1" t="str">
        <v>loretta55@gmail.com</v>
      </c>
      <c r="F1036" t="str">
        <f t="shared" si="210"/>
        <v>Valid</v>
      </c>
      <c r="G1036" s="1" t="s">
        <v>95</v>
      </c>
      <c r="H1036" s="1" t="str">
        <f t="shared" si="211"/>
        <v>Male</v>
      </c>
      <c r="I1036" s="1" t="s">
        <v>74</v>
      </c>
      <c r="J1036" t="str">
        <f t="shared" si="212"/>
        <v>USA</v>
      </c>
      <c r="K1036" s="14">
        <v>43</v>
      </c>
      <c r="L1036" s="1">
        <f t="shared" si="213"/>
        <v>43</v>
      </c>
      <c r="M1036" s="1" t="str">
        <f t="shared" si="214"/>
        <v>Senior</v>
      </c>
      <c r="N1036" s="9">
        <v>45169</v>
      </c>
      <c r="O1036" s="1" t="s">
        <v>158</v>
      </c>
      <c r="P1036" s="1" t="s">
        <v>59</v>
      </c>
      <c r="Q1036" s="4">
        <v>0.97</v>
      </c>
      <c r="R1036" s="13">
        <f t="shared" si="215"/>
        <v>97</v>
      </c>
      <c r="S1036" s="6">
        <f t="shared" si="209"/>
        <v>0.97</v>
      </c>
      <c r="T1036" s="1" t="s">
        <v>64</v>
      </c>
      <c r="U1036" s="1">
        <f t="shared" si="216"/>
        <v>2</v>
      </c>
      <c r="V1036" s="1">
        <f t="shared" si="217"/>
        <v>68.499999999999986</v>
      </c>
      <c r="W1036" s="10" t="str">
        <f t="shared" si="218"/>
        <v>Medium</v>
      </c>
      <c r="X1036" s="1" t="s">
        <v>76</v>
      </c>
      <c r="Y1036" s="1" t="str">
        <f t="shared" si="219"/>
        <v>Yes</v>
      </c>
      <c r="Z1036" s="14">
        <v>5</v>
      </c>
      <c r="AA1036" s="18">
        <f t="shared" si="220"/>
        <v>5</v>
      </c>
      <c r="AB1036" s="18" t="str">
        <f t="shared" si="221"/>
        <v>High Performer</v>
      </c>
      <c r="AC1036" s="9" t="s">
        <v>4050</v>
      </c>
      <c r="AD1036">
        <f>IF(AC1036="",0,LEN(AC1036)-LEN(SUBSTITUTE(AC1036,",",""))+1)</f>
        <v>3</v>
      </c>
    </row>
    <row r="1037" spans="1:30" ht="12.5" x14ac:dyDescent="0.25">
      <c r="A1037" s="1" t="s">
        <v>4051</v>
      </c>
      <c r="B1037" s="1" t="s">
        <v>4052</v>
      </c>
      <c r="C1037" s="1" t="str">
        <v>William Baker</v>
      </c>
      <c r="D1037" s="1" t="s">
        <v>4053</v>
      </c>
      <c r="E1037" s="1" t="str">
        <v>angelaboyer@morris.com</v>
      </c>
      <c r="F1037" t="str">
        <f t="shared" si="210"/>
        <v>Valid</v>
      </c>
      <c r="G1037" s="1" t="s">
        <v>27</v>
      </c>
      <c r="H1037" s="1" t="str">
        <f t="shared" si="211"/>
        <v>Male</v>
      </c>
      <c r="I1037" s="1" t="s">
        <v>74</v>
      </c>
      <c r="J1037" t="str">
        <f t="shared" si="212"/>
        <v>USA</v>
      </c>
      <c r="K1037" s="14">
        <v>0</v>
      </c>
      <c r="L1037" s="1">
        <f t="shared" si="213"/>
        <v>19</v>
      </c>
      <c r="M1037" s="1" t="str">
        <f t="shared" si="214"/>
        <v>Student</v>
      </c>
      <c r="N1037" s="2">
        <v>45205</v>
      </c>
      <c r="O1037" s="1" t="s">
        <v>301</v>
      </c>
      <c r="P1037" s="1" t="s">
        <v>20</v>
      </c>
      <c r="Q1037" s="4">
        <v>45</v>
      </c>
      <c r="R1037" s="13">
        <f t="shared" si="215"/>
        <v>45</v>
      </c>
      <c r="S1037" s="6">
        <f t="shared" si="209"/>
        <v>0.45</v>
      </c>
      <c r="T1037" s="1">
        <v>2</v>
      </c>
      <c r="U1037" s="1">
        <f t="shared" si="216"/>
        <v>2</v>
      </c>
      <c r="V1037" s="1">
        <f t="shared" si="217"/>
        <v>32.099999999999994</v>
      </c>
      <c r="W1037" s="10" t="str">
        <f t="shared" si="218"/>
        <v>Low</v>
      </c>
      <c r="X1037" s="1">
        <v>1</v>
      </c>
      <c r="Y1037" s="1" t="str">
        <f t="shared" si="219"/>
        <v>Yes</v>
      </c>
      <c r="Z1037" s="14">
        <v>2</v>
      </c>
      <c r="AA1037" s="18">
        <f t="shared" si="220"/>
        <v>2</v>
      </c>
      <c r="AB1037" s="18" t="str">
        <f t="shared" si="221"/>
        <v>No</v>
      </c>
      <c r="AC1037" s="9" t="s">
        <v>4054</v>
      </c>
      <c r="AD1037">
        <f>IF(AC1037="",0,LEN(AC1037)-LEN(SUBSTITUTE(AC1037,",",""))+1)</f>
        <v>2</v>
      </c>
    </row>
    <row r="1038" spans="1:30" ht="12.5" x14ac:dyDescent="0.25">
      <c r="A1038" s="1" t="s">
        <v>4055</v>
      </c>
      <c r="B1038" s="1" t="s">
        <v>4056</v>
      </c>
      <c r="C1038" s="1" t="str">
        <v>Natalie Huff</v>
      </c>
      <c r="D1038" s="1" t="s">
        <v>4057</v>
      </c>
      <c r="E1038" s="1" t="str">
        <v>maria11@sullivan.biz</v>
      </c>
      <c r="F1038" t="str">
        <f t="shared" si="210"/>
        <v>Valid</v>
      </c>
      <c r="G1038" s="1" t="s">
        <v>109</v>
      </c>
      <c r="H1038" s="1" t="str">
        <f t="shared" si="211"/>
        <v>Male</v>
      </c>
      <c r="I1038" s="1" t="s">
        <v>51</v>
      </c>
      <c r="J1038" t="str">
        <f t="shared" si="212"/>
        <v>UK</v>
      </c>
      <c r="K1038" s="14">
        <v>31</v>
      </c>
      <c r="L1038" s="1">
        <f t="shared" si="213"/>
        <v>31</v>
      </c>
      <c r="M1038" s="1" t="str">
        <f t="shared" si="214"/>
        <v>Mid Career</v>
      </c>
      <c r="N1038" s="9">
        <v>45434</v>
      </c>
      <c r="O1038" s="1" t="s">
        <v>58</v>
      </c>
      <c r="P1038" s="1" t="s">
        <v>59</v>
      </c>
      <c r="Q1038" s="4">
        <v>0.38</v>
      </c>
      <c r="R1038" s="13">
        <f t="shared" si="215"/>
        <v>38</v>
      </c>
      <c r="S1038" s="6">
        <f t="shared" si="209"/>
        <v>0.38</v>
      </c>
      <c r="T1038" s="1" t="s">
        <v>46</v>
      </c>
      <c r="U1038" s="1">
        <f t="shared" si="216"/>
        <v>1</v>
      </c>
      <c r="V1038" s="1">
        <f t="shared" si="217"/>
        <v>26.9</v>
      </c>
      <c r="W1038" s="10" t="str">
        <f t="shared" si="218"/>
        <v>Low</v>
      </c>
      <c r="X1038" s="1">
        <v>1</v>
      </c>
      <c r="Y1038" s="1" t="str">
        <f t="shared" si="219"/>
        <v>Yes</v>
      </c>
      <c r="Z1038" s="14">
        <v>1</v>
      </c>
      <c r="AA1038" s="18">
        <f t="shared" si="220"/>
        <v>1</v>
      </c>
      <c r="AB1038" s="18" t="str">
        <f t="shared" si="221"/>
        <v>No</v>
      </c>
      <c r="AC1038" s="9" t="s">
        <v>4058</v>
      </c>
      <c r="AD1038">
        <f>IF(AC1038="",0,LEN(AC1038)-LEN(SUBSTITUTE(AC1038,",",""))+1)</f>
        <v>6</v>
      </c>
    </row>
    <row r="1039" spans="1:30" ht="12.5" x14ac:dyDescent="0.25">
      <c r="A1039" s="1" t="s">
        <v>4059</v>
      </c>
      <c r="B1039" s="1" t="s">
        <v>4060</v>
      </c>
      <c r="C1039" s="1" t="str">
        <v>Robert Huang</v>
      </c>
      <c r="D1039" s="1" t="s">
        <v>4061</v>
      </c>
      <c r="E1039" s="1" t="str">
        <v>marcusrodriguez@collins.com</v>
      </c>
      <c r="F1039" t="str">
        <f t="shared" si="210"/>
        <v>Valid</v>
      </c>
      <c r="G1039" s="1" t="s">
        <v>109</v>
      </c>
      <c r="H1039" s="1" t="str">
        <f t="shared" si="211"/>
        <v>Male</v>
      </c>
      <c r="I1039" s="1" t="s">
        <v>136</v>
      </c>
      <c r="J1039" t="str">
        <f t="shared" si="212"/>
        <v>UK</v>
      </c>
      <c r="K1039" s="14">
        <v>21</v>
      </c>
      <c r="L1039" s="1">
        <f t="shared" si="213"/>
        <v>21</v>
      </c>
      <c r="M1039" s="1" t="str">
        <f t="shared" si="214"/>
        <v>Student</v>
      </c>
      <c r="N1039" s="9">
        <v>44972</v>
      </c>
      <c r="O1039" s="1" t="s">
        <v>158</v>
      </c>
      <c r="P1039" s="1" t="s">
        <v>59</v>
      </c>
      <c r="Q1039" s="4">
        <v>88</v>
      </c>
      <c r="R1039" s="13">
        <f t="shared" si="215"/>
        <v>88</v>
      </c>
      <c r="S1039" s="6">
        <f t="shared" si="209"/>
        <v>0.88</v>
      </c>
      <c r="T1039" s="1" t="s">
        <v>46</v>
      </c>
      <c r="U1039" s="1">
        <f t="shared" si="216"/>
        <v>1</v>
      </c>
      <c r="V1039" s="1">
        <f t="shared" si="217"/>
        <v>61.899999999999991</v>
      </c>
      <c r="W1039" s="10" t="str">
        <f t="shared" si="218"/>
        <v>Medium</v>
      </c>
      <c r="X1039" s="1" t="s">
        <v>38</v>
      </c>
      <c r="Y1039" s="1" t="str">
        <f t="shared" si="219"/>
        <v>No</v>
      </c>
      <c r="Z1039" s="14">
        <v>6</v>
      </c>
      <c r="AA1039" s="18">
        <f t="shared" si="220"/>
        <v>6</v>
      </c>
      <c r="AB1039" s="18" t="str">
        <f t="shared" si="221"/>
        <v>No</v>
      </c>
      <c r="AC1039" s="9" t="s">
        <v>4062</v>
      </c>
      <c r="AD1039">
        <f>IF(AC1039="",0,LEN(AC1039)-LEN(SUBSTITUTE(AC1039,",",""))+1)</f>
        <v>8</v>
      </c>
    </row>
    <row r="1040" spans="1:30" ht="12.5" x14ac:dyDescent="0.25">
      <c r="A1040" s="1" t="s">
        <v>4063</v>
      </c>
      <c r="B1040" s="1" t="s">
        <v>4064</v>
      </c>
      <c r="C1040" s="1" t="str">
        <v>Christina Davis</v>
      </c>
      <c r="D1040" s="1" t="s">
        <v>4065</v>
      </c>
      <c r="E1040" s="1" t="str">
        <v>dustin58@yahoo.com</v>
      </c>
      <c r="F1040" t="str">
        <f t="shared" si="210"/>
        <v>Valid</v>
      </c>
      <c r="G1040" s="1" t="s">
        <v>119</v>
      </c>
      <c r="H1040" s="1" t="str">
        <f t="shared" si="211"/>
        <v>Female</v>
      </c>
      <c r="I1040" s="1" t="s">
        <v>51</v>
      </c>
      <c r="J1040" t="str">
        <f t="shared" si="212"/>
        <v>UK</v>
      </c>
      <c r="K1040" s="14">
        <v>32</v>
      </c>
      <c r="L1040" s="1">
        <f t="shared" si="213"/>
        <v>32</v>
      </c>
      <c r="M1040" s="1" t="str">
        <f t="shared" si="214"/>
        <v>Mid Career</v>
      </c>
      <c r="N1040" s="9">
        <v>45527</v>
      </c>
      <c r="O1040" s="1" t="s">
        <v>58</v>
      </c>
      <c r="P1040" s="1" t="s">
        <v>59</v>
      </c>
      <c r="Q1040" s="4">
        <v>75</v>
      </c>
      <c r="R1040" s="13">
        <f t="shared" si="215"/>
        <v>75</v>
      </c>
      <c r="S1040" s="6">
        <f t="shared" si="209"/>
        <v>0.75</v>
      </c>
      <c r="T1040" s="1" t="s">
        <v>21</v>
      </c>
      <c r="U1040" s="1">
        <f t="shared" si="216"/>
        <v>1.5</v>
      </c>
      <c r="V1040" s="1">
        <f t="shared" si="217"/>
        <v>52.95</v>
      </c>
      <c r="W1040" s="10" t="str">
        <f t="shared" si="218"/>
        <v>Medium</v>
      </c>
      <c r="X1040" s="1">
        <v>0</v>
      </c>
      <c r="Y1040" s="1" t="str">
        <f t="shared" si="219"/>
        <v>No</v>
      </c>
      <c r="AA1040" s="18" t="str">
        <f t="shared" si="220"/>
        <v>Invalid</v>
      </c>
      <c r="AB1040" s="18" t="str">
        <f t="shared" si="221"/>
        <v>No</v>
      </c>
      <c r="AC1040" s="9" t="s">
        <v>4066</v>
      </c>
      <c r="AD1040">
        <f>IF(AC1040="",0,LEN(AC1040)-LEN(SUBSTITUTE(AC1040,",",""))+1)</f>
        <v>8</v>
      </c>
    </row>
    <row r="1041" spans="1:30" ht="12.5" x14ac:dyDescent="0.25">
      <c r="A1041" s="1" t="s">
        <v>4067</v>
      </c>
      <c r="B1041" s="1" t="s">
        <v>4068</v>
      </c>
      <c r="C1041" s="1" t="str">
        <v>Nancy Walter</v>
      </c>
      <c r="D1041" s="1" t="s">
        <v>4069</v>
      </c>
      <c r="E1041" s="1" t="str">
        <v>nguyenjeffrey@gmail.com</v>
      </c>
      <c r="F1041" t="str">
        <f t="shared" si="210"/>
        <v>Valid</v>
      </c>
      <c r="G1041" s="1" t="s">
        <v>88</v>
      </c>
      <c r="H1041" s="1" t="str">
        <f t="shared" si="211"/>
        <v>Male</v>
      </c>
      <c r="I1041" s="1" t="s">
        <v>51</v>
      </c>
      <c r="J1041" t="str">
        <f t="shared" si="212"/>
        <v>UK</v>
      </c>
      <c r="K1041" s="14">
        <v>0</v>
      </c>
      <c r="L1041" s="1">
        <f t="shared" si="213"/>
        <v>19</v>
      </c>
      <c r="M1041" s="1" t="str">
        <f t="shared" si="214"/>
        <v>Student</v>
      </c>
      <c r="N1041" s="9">
        <v>45274</v>
      </c>
      <c r="O1041" s="1" t="s">
        <v>69</v>
      </c>
      <c r="P1041" s="1" t="s">
        <v>31</v>
      </c>
      <c r="Q1041" s="4">
        <v>8</v>
      </c>
      <c r="R1041" s="13">
        <f t="shared" si="215"/>
        <v>8</v>
      </c>
      <c r="S1041" s="6">
        <f t="shared" si="209"/>
        <v>0.08</v>
      </c>
      <c r="T1041" s="1">
        <v>1.5</v>
      </c>
      <c r="U1041" s="1">
        <f t="shared" si="216"/>
        <v>1.5</v>
      </c>
      <c r="V1041" s="1">
        <f t="shared" si="217"/>
        <v>6.05</v>
      </c>
      <c r="W1041" s="10" t="str">
        <f t="shared" si="218"/>
        <v>Low</v>
      </c>
      <c r="X1041" s="1">
        <v>0</v>
      </c>
      <c r="Y1041" s="1" t="str">
        <f t="shared" si="219"/>
        <v>No</v>
      </c>
      <c r="Z1041" s="14">
        <v>2</v>
      </c>
      <c r="AA1041" s="18">
        <f t="shared" si="220"/>
        <v>2</v>
      </c>
      <c r="AB1041" s="18" t="str">
        <f t="shared" si="221"/>
        <v>No</v>
      </c>
      <c r="AC1041" s="9" t="s">
        <v>4070</v>
      </c>
      <c r="AD1041">
        <f>IF(AC1041="",0,LEN(AC1041)-LEN(SUBSTITUTE(AC1041,",",""))+1)</f>
        <v>6</v>
      </c>
    </row>
    <row r="1042" spans="1:30" ht="12.5" x14ac:dyDescent="0.25">
      <c r="A1042" s="1" t="s">
        <v>4071</v>
      </c>
      <c r="B1042" s="1" t="s">
        <v>4072</v>
      </c>
      <c r="C1042" s="1" t="str">
        <v>Johnny Whitaker</v>
      </c>
      <c r="D1042" s="1" t="s">
        <v>4073</v>
      </c>
      <c r="E1042" s="1" t="str">
        <v>nancyalexander@thomas.com</v>
      </c>
      <c r="F1042" t="str">
        <f t="shared" si="210"/>
        <v>Valid</v>
      </c>
      <c r="G1042" s="1" t="s">
        <v>109</v>
      </c>
      <c r="H1042" s="1" t="str">
        <f t="shared" si="211"/>
        <v>Male</v>
      </c>
      <c r="I1042" s="1" t="s">
        <v>156</v>
      </c>
      <c r="J1042" t="str">
        <f t="shared" si="212"/>
        <v>IN</v>
      </c>
      <c r="L1042" s="1">
        <f t="shared" si="213"/>
        <v>19</v>
      </c>
      <c r="M1042" s="1" t="str">
        <f t="shared" si="214"/>
        <v>Student</v>
      </c>
      <c r="N1042" s="9">
        <v>45039</v>
      </c>
      <c r="O1042" s="1" t="s">
        <v>52</v>
      </c>
      <c r="P1042" s="1" t="s">
        <v>37</v>
      </c>
      <c r="Q1042" s="4">
        <v>0.63</v>
      </c>
      <c r="R1042" s="13">
        <f t="shared" si="215"/>
        <v>63</v>
      </c>
      <c r="S1042" s="6">
        <f t="shared" si="209"/>
        <v>0.63</v>
      </c>
      <c r="T1042" s="1">
        <v>2</v>
      </c>
      <c r="U1042" s="1">
        <f t="shared" si="216"/>
        <v>2</v>
      </c>
      <c r="V1042" s="1">
        <f t="shared" si="217"/>
        <v>44.699999999999996</v>
      </c>
      <c r="W1042" s="10" t="str">
        <f t="shared" si="218"/>
        <v>Medium</v>
      </c>
      <c r="X1042" s="1" t="s">
        <v>32</v>
      </c>
      <c r="Y1042" s="1" t="str">
        <f t="shared" si="219"/>
        <v>Yes</v>
      </c>
      <c r="Z1042" s="14">
        <v>1</v>
      </c>
      <c r="AA1042" s="18">
        <f t="shared" si="220"/>
        <v>1</v>
      </c>
      <c r="AB1042" s="18" t="str">
        <f t="shared" si="221"/>
        <v>No</v>
      </c>
      <c r="AC1042" s="9" t="s">
        <v>4075</v>
      </c>
      <c r="AD1042">
        <f>IF(AC1042="",0,LEN(AC1042)-LEN(SUBSTITUTE(AC1042,",",""))+1)</f>
        <v>2</v>
      </c>
    </row>
    <row r="1043" spans="1:30" ht="12.5" x14ac:dyDescent="0.25">
      <c r="A1043" s="1" t="s">
        <v>4076</v>
      </c>
      <c r="B1043" s="1" t="s">
        <v>4077</v>
      </c>
      <c r="C1043" s="1" t="str">
        <v>Justin Murillo</v>
      </c>
      <c r="D1043" s="1" t="s">
        <v>4078</v>
      </c>
      <c r="E1043" s="1" t="str">
        <v>hlopez@ross.biz</v>
      </c>
      <c r="F1043" t="str">
        <f t="shared" si="210"/>
        <v>Valid</v>
      </c>
      <c r="G1043" s="1" t="s">
        <v>119</v>
      </c>
      <c r="H1043" s="1" t="str">
        <f t="shared" si="211"/>
        <v>Female</v>
      </c>
      <c r="I1043" s="1" t="s">
        <v>18</v>
      </c>
      <c r="J1043" t="str">
        <f t="shared" si="212"/>
        <v>US</v>
      </c>
      <c r="K1043" s="14">
        <v>28</v>
      </c>
      <c r="L1043" s="1">
        <f t="shared" si="213"/>
        <v>28</v>
      </c>
      <c r="M1043" s="1" t="str">
        <f t="shared" si="214"/>
        <v>Early Career</v>
      </c>
      <c r="N1043" s="2">
        <v>44809</v>
      </c>
      <c r="O1043" s="1" t="s">
        <v>90</v>
      </c>
      <c r="P1043" s="1" t="s">
        <v>31</v>
      </c>
      <c r="Q1043" s="4">
        <v>6</v>
      </c>
      <c r="R1043" s="13">
        <f t="shared" si="215"/>
        <v>6</v>
      </c>
      <c r="S1043" s="6">
        <f t="shared" si="209"/>
        <v>0.06</v>
      </c>
      <c r="T1043" s="1">
        <v>2</v>
      </c>
      <c r="U1043" s="1">
        <f t="shared" si="216"/>
        <v>2</v>
      </c>
      <c r="V1043" s="1">
        <f t="shared" si="217"/>
        <v>4.7999999999999989</v>
      </c>
      <c r="W1043" s="10" t="str">
        <f t="shared" si="218"/>
        <v>Low</v>
      </c>
      <c r="X1043" s="1">
        <v>0</v>
      </c>
      <c r="Y1043" s="1" t="str">
        <f t="shared" si="219"/>
        <v>No</v>
      </c>
      <c r="AA1043" s="18" t="str">
        <f t="shared" si="220"/>
        <v>Invalid</v>
      </c>
      <c r="AB1043" s="18" t="str">
        <f t="shared" si="221"/>
        <v>No</v>
      </c>
      <c r="AC1043" s="9" t="s">
        <v>4079</v>
      </c>
      <c r="AD1043">
        <f>IF(AC1043="",0,LEN(AC1043)-LEN(SUBSTITUTE(AC1043,",",""))+1)</f>
        <v>8</v>
      </c>
    </row>
    <row r="1044" spans="1:30" ht="12.5" x14ac:dyDescent="0.25">
      <c r="A1044" s="1" t="s">
        <v>4080</v>
      </c>
      <c r="B1044" s="1" t="s">
        <v>4081</v>
      </c>
      <c r="C1044" s="1" t="str">
        <v>Deborah Wood</v>
      </c>
      <c r="D1044" s="1" t="s">
        <v>4082</v>
      </c>
      <c r="E1044" s="1" t="str">
        <v>amber12@heath-andersen.com</v>
      </c>
      <c r="F1044" t="str">
        <f t="shared" si="210"/>
        <v>Valid</v>
      </c>
      <c r="G1044" s="1" t="s">
        <v>95</v>
      </c>
      <c r="H1044" s="1" t="str">
        <f t="shared" si="211"/>
        <v>Male</v>
      </c>
      <c r="I1044" s="1" t="s">
        <v>44</v>
      </c>
      <c r="J1044" t="str">
        <f t="shared" si="212"/>
        <v>CANADA</v>
      </c>
      <c r="K1044" s="14">
        <v>30</v>
      </c>
      <c r="L1044" s="1">
        <f t="shared" si="213"/>
        <v>30</v>
      </c>
      <c r="M1044" s="1" t="str">
        <f t="shared" si="214"/>
        <v>Early Career</v>
      </c>
      <c r="N1044" s="9">
        <v>45064</v>
      </c>
      <c r="O1044" s="1" t="s">
        <v>114</v>
      </c>
      <c r="P1044" s="1" t="s">
        <v>59</v>
      </c>
      <c r="Q1044" s="4">
        <v>0.16</v>
      </c>
      <c r="R1044" s="13">
        <f t="shared" si="215"/>
        <v>16</v>
      </c>
      <c r="S1044" s="6">
        <f t="shared" si="209"/>
        <v>0.16</v>
      </c>
      <c r="T1044" s="1">
        <v>2</v>
      </c>
      <c r="U1044" s="1">
        <f t="shared" si="216"/>
        <v>2</v>
      </c>
      <c r="V1044" s="1">
        <f t="shared" si="217"/>
        <v>11.799999999999999</v>
      </c>
      <c r="W1044" s="10" t="str">
        <f t="shared" si="218"/>
        <v>Low</v>
      </c>
      <c r="X1044" s="1" t="s">
        <v>38</v>
      </c>
      <c r="Y1044" s="1" t="str">
        <f t="shared" si="219"/>
        <v>No</v>
      </c>
      <c r="Z1044" s="14">
        <v>6</v>
      </c>
      <c r="AA1044" s="18">
        <f t="shared" si="220"/>
        <v>6</v>
      </c>
      <c r="AB1044" s="18" t="str">
        <f t="shared" si="221"/>
        <v>No</v>
      </c>
      <c r="AC1044" s="9" t="s">
        <v>4083</v>
      </c>
      <c r="AD1044">
        <f>IF(AC1044="",0,LEN(AC1044)-LEN(SUBSTITUTE(AC1044,",",""))+1)</f>
        <v>2</v>
      </c>
    </row>
    <row r="1045" spans="1:30" ht="12.5" x14ac:dyDescent="0.25">
      <c r="A1045" s="1" t="s">
        <v>4084</v>
      </c>
      <c r="B1045" s="1" t="s">
        <v>4085</v>
      </c>
      <c r="C1045" s="1" t="str">
        <v>Victoria Erickson</v>
      </c>
      <c r="D1045" s="1" t="s">
        <v>4086</v>
      </c>
      <c r="E1045" s="1" t="str">
        <v>aguirrecassandra@hotmail.com</v>
      </c>
      <c r="F1045" t="str">
        <f t="shared" si="210"/>
        <v>Valid</v>
      </c>
      <c r="G1045" s="1" t="s">
        <v>88</v>
      </c>
      <c r="H1045" s="1" t="str">
        <f t="shared" si="211"/>
        <v>Male</v>
      </c>
      <c r="I1045" s="1" t="s">
        <v>18</v>
      </c>
      <c r="J1045" t="str">
        <f t="shared" si="212"/>
        <v>US</v>
      </c>
      <c r="L1045" s="1">
        <f t="shared" si="213"/>
        <v>19</v>
      </c>
      <c r="M1045" s="1" t="str">
        <f t="shared" si="214"/>
        <v>Student</v>
      </c>
      <c r="N1045" s="9">
        <v>45494</v>
      </c>
      <c r="O1045" s="1" t="s">
        <v>158</v>
      </c>
      <c r="P1045" s="1" t="s">
        <v>59</v>
      </c>
      <c r="Q1045" s="4">
        <v>0.46</v>
      </c>
      <c r="R1045" s="13">
        <f t="shared" si="215"/>
        <v>46</v>
      </c>
      <c r="S1045" s="6">
        <f t="shared" si="209"/>
        <v>0.46</v>
      </c>
      <c r="T1045" s="1" t="s">
        <v>46</v>
      </c>
      <c r="U1045" s="1">
        <f t="shared" si="216"/>
        <v>1</v>
      </c>
      <c r="V1045" s="1">
        <f t="shared" si="217"/>
        <v>32.499999999999993</v>
      </c>
      <c r="W1045" s="10" t="str">
        <f t="shared" si="218"/>
        <v>Low</v>
      </c>
      <c r="X1045" s="1" t="s">
        <v>32</v>
      </c>
      <c r="Y1045" s="1" t="str">
        <f t="shared" si="219"/>
        <v>Yes</v>
      </c>
      <c r="Z1045" s="14">
        <v>6</v>
      </c>
      <c r="AA1045" s="18">
        <f t="shared" si="220"/>
        <v>6</v>
      </c>
      <c r="AB1045" s="18" t="str">
        <f t="shared" si="221"/>
        <v>High Performer</v>
      </c>
      <c r="AC1045" s="9" t="s">
        <v>4087</v>
      </c>
      <c r="AD1045">
        <f>IF(AC1045="",0,LEN(AC1045)-LEN(SUBSTITUTE(AC1045,",",""))+1)</f>
        <v>5</v>
      </c>
    </row>
    <row r="1046" spans="1:30" ht="12.5" x14ac:dyDescent="0.25">
      <c r="A1046" s="1" t="s">
        <v>4088</v>
      </c>
      <c r="B1046" s="1" t="s">
        <v>4089</v>
      </c>
      <c r="C1046" s="1" t="str">
        <v>Victoria Marshall</v>
      </c>
      <c r="D1046" s="1" t="s">
        <v>4090</v>
      </c>
      <c r="E1046" s="1" t="str">
        <v>fmontgomery@graham.net</v>
      </c>
      <c r="F1046" t="str">
        <f t="shared" si="210"/>
        <v>Valid</v>
      </c>
      <c r="G1046" s="1" t="s">
        <v>57</v>
      </c>
      <c r="H1046" s="1" t="str">
        <f t="shared" si="211"/>
        <v>Female</v>
      </c>
      <c r="I1046" s="1" t="s">
        <v>96</v>
      </c>
      <c r="J1046" t="str">
        <f t="shared" si="212"/>
        <v>INDIA</v>
      </c>
      <c r="K1046" s="14">
        <v>21</v>
      </c>
      <c r="L1046" s="1">
        <f t="shared" si="213"/>
        <v>21</v>
      </c>
      <c r="M1046" s="1" t="str">
        <f t="shared" si="214"/>
        <v>Student</v>
      </c>
      <c r="N1046" s="9">
        <v>45199</v>
      </c>
      <c r="O1046" s="1" t="s">
        <v>75</v>
      </c>
      <c r="P1046" s="1" t="s">
        <v>37</v>
      </c>
      <c r="Q1046" s="4">
        <v>0.1</v>
      </c>
      <c r="R1046" s="13">
        <f t="shared" si="215"/>
        <v>10</v>
      </c>
      <c r="S1046" s="6">
        <f t="shared" si="209"/>
        <v>0.1</v>
      </c>
      <c r="T1046" s="1" t="s">
        <v>64</v>
      </c>
      <c r="U1046" s="1">
        <f t="shared" si="216"/>
        <v>2</v>
      </c>
      <c r="V1046" s="1">
        <f t="shared" si="217"/>
        <v>7.6</v>
      </c>
      <c r="W1046" s="10" t="str">
        <f t="shared" si="218"/>
        <v>Low</v>
      </c>
      <c r="X1046" s="1" t="s">
        <v>76</v>
      </c>
      <c r="Y1046" s="1" t="str">
        <f t="shared" si="219"/>
        <v>Yes</v>
      </c>
      <c r="Z1046" s="14">
        <v>4</v>
      </c>
      <c r="AA1046" s="18">
        <f t="shared" si="220"/>
        <v>4</v>
      </c>
      <c r="AB1046" s="18" t="str">
        <f t="shared" si="221"/>
        <v>High Performer</v>
      </c>
      <c r="AC1046" s="9" t="s">
        <v>4091</v>
      </c>
      <c r="AD1046">
        <f>IF(AC1046="",0,LEN(AC1046)-LEN(SUBSTITUTE(AC1046,",",""))+1)</f>
        <v>4</v>
      </c>
    </row>
    <row r="1047" spans="1:30" ht="12.5" x14ac:dyDescent="0.25">
      <c r="A1047" s="1" t="s">
        <v>4092</v>
      </c>
      <c r="B1047" s="1" t="s">
        <v>4093</v>
      </c>
      <c r="C1047" s="1" t="str">
        <v>Sean Hernandez</v>
      </c>
      <c r="D1047" s="1" t="s">
        <v>4094</v>
      </c>
      <c r="E1047" s="1" t="str">
        <v>blevinsjoshua@yahoo.com</v>
      </c>
      <c r="F1047" t="str">
        <f t="shared" si="210"/>
        <v>Valid</v>
      </c>
      <c r="G1047" s="1" t="s">
        <v>17</v>
      </c>
      <c r="H1047" s="1" t="str">
        <f t="shared" si="211"/>
        <v>Female</v>
      </c>
      <c r="I1047" s="1" t="s">
        <v>28</v>
      </c>
      <c r="J1047" t="str">
        <f t="shared" si="212"/>
        <v>INDIA</v>
      </c>
      <c r="K1047" s="14">
        <v>41</v>
      </c>
      <c r="L1047" s="1">
        <f t="shared" si="213"/>
        <v>41</v>
      </c>
      <c r="M1047" s="1" t="str">
        <f t="shared" si="214"/>
        <v>Senior</v>
      </c>
      <c r="N1047" s="2">
        <v>45354</v>
      </c>
      <c r="O1047" s="1" t="s">
        <v>235</v>
      </c>
      <c r="P1047" s="1" t="s">
        <v>147</v>
      </c>
      <c r="Q1047" s="4">
        <v>0.73</v>
      </c>
      <c r="R1047" s="13">
        <f t="shared" si="215"/>
        <v>73</v>
      </c>
      <c r="S1047" s="6">
        <f t="shared" si="209"/>
        <v>0.73</v>
      </c>
      <c r="T1047" s="1">
        <v>2</v>
      </c>
      <c r="U1047" s="1">
        <f t="shared" si="216"/>
        <v>2</v>
      </c>
      <c r="V1047" s="1">
        <f t="shared" si="217"/>
        <v>51.699999999999996</v>
      </c>
      <c r="W1047" s="10" t="str">
        <f t="shared" si="218"/>
        <v>Medium</v>
      </c>
      <c r="X1047" s="1" t="s">
        <v>32</v>
      </c>
      <c r="Y1047" s="1" t="str">
        <f t="shared" si="219"/>
        <v>Yes</v>
      </c>
      <c r="Z1047" s="14">
        <v>6</v>
      </c>
      <c r="AA1047" s="18">
        <f t="shared" si="220"/>
        <v>6</v>
      </c>
      <c r="AB1047" s="18" t="str">
        <f t="shared" si="221"/>
        <v>High Performer</v>
      </c>
      <c r="AC1047" s="9" t="s">
        <v>4095</v>
      </c>
      <c r="AD1047">
        <f>IF(AC1047="",0,LEN(AC1047)-LEN(SUBSTITUTE(AC1047,",",""))+1)</f>
        <v>3</v>
      </c>
    </row>
    <row r="1048" spans="1:30" ht="12.5" x14ac:dyDescent="0.25">
      <c r="A1048" s="1" t="s">
        <v>4096</v>
      </c>
      <c r="B1048" s="1" t="s">
        <v>4097</v>
      </c>
      <c r="C1048" s="1" t="str">
        <v>Terri Andersen</v>
      </c>
      <c r="D1048" s="1" t="s">
        <v>4098</v>
      </c>
      <c r="E1048" s="1" t="str">
        <v>scollins@torres.net</v>
      </c>
      <c r="F1048" t="str">
        <f t="shared" si="210"/>
        <v>Valid</v>
      </c>
      <c r="G1048" s="1" t="s">
        <v>17</v>
      </c>
      <c r="H1048" s="1" t="str">
        <f t="shared" si="211"/>
        <v>Female</v>
      </c>
      <c r="I1048" s="1" t="s">
        <v>74</v>
      </c>
      <c r="J1048" t="str">
        <f t="shared" si="212"/>
        <v>USA</v>
      </c>
      <c r="K1048" s="14">
        <v>0</v>
      </c>
      <c r="L1048" s="1">
        <f t="shared" si="213"/>
        <v>19</v>
      </c>
      <c r="M1048" s="1" t="str">
        <f t="shared" si="214"/>
        <v>Student</v>
      </c>
      <c r="N1048" s="9">
        <v>44700</v>
      </c>
      <c r="O1048" s="1" t="s">
        <v>90</v>
      </c>
      <c r="P1048" s="1" t="s">
        <v>31</v>
      </c>
      <c r="Q1048" s="4">
        <v>0.57999999999999996</v>
      </c>
      <c r="R1048" s="13">
        <f t="shared" si="215"/>
        <v>57.999999999999993</v>
      </c>
      <c r="S1048" s="6">
        <f t="shared" si="209"/>
        <v>0.57999999999999996</v>
      </c>
      <c r="T1048" s="1">
        <v>45</v>
      </c>
      <c r="U1048" s="1">
        <f t="shared" si="216"/>
        <v>45</v>
      </c>
      <c r="V1048" s="1">
        <f t="shared" si="217"/>
        <v>54.099999999999994</v>
      </c>
      <c r="W1048" s="10" t="str">
        <f t="shared" si="218"/>
        <v>Medium</v>
      </c>
      <c r="X1048" s="1">
        <v>0</v>
      </c>
      <c r="Y1048" s="1" t="str">
        <f t="shared" si="219"/>
        <v>No</v>
      </c>
      <c r="AA1048" s="18" t="str">
        <f t="shared" si="220"/>
        <v>Invalid</v>
      </c>
      <c r="AB1048" s="18" t="str">
        <f t="shared" si="221"/>
        <v>No</v>
      </c>
      <c r="AC1048" s="9" t="s">
        <v>4099</v>
      </c>
      <c r="AD1048">
        <f>IF(AC1048="",0,LEN(AC1048)-LEN(SUBSTITUTE(AC1048,",",""))+1)</f>
        <v>3</v>
      </c>
    </row>
    <row r="1049" spans="1:30" ht="12.5" x14ac:dyDescent="0.25">
      <c r="A1049" s="1" t="s">
        <v>4100</v>
      </c>
      <c r="B1049" s="1" t="s">
        <v>4101</v>
      </c>
      <c r="C1049" s="1" t="str">
        <v>Emily Smith</v>
      </c>
      <c r="D1049" s="1" t="s">
        <v>4102</v>
      </c>
      <c r="E1049" s="1" t="str">
        <v>briana19@moreno.com</v>
      </c>
      <c r="F1049" t="str">
        <f t="shared" si="210"/>
        <v>Valid</v>
      </c>
      <c r="G1049" s="1" t="s">
        <v>95</v>
      </c>
      <c r="H1049" s="1" t="str">
        <f t="shared" si="211"/>
        <v>Male</v>
      </c>
      <c r="I1049" s="1" t="s">
        <v>74</v>
      </c>
      <c r="J1049" t="str">
        <f t="shared" si="212"/>
        <v>USA</v>
      </c>
      <c r="L1049" s="1">
        <f t="shared" si="213"/>
        <v>19</v>
      </c>
      <c r="M1049" s="1" t="str">
        <f t="shared" si="214"/>
        <v>Student</v>
      </c>
      <c r="N1049" s="9">
        <v>45290</v>
      </c>
      <c r="O1049" s="1" t="s">
        <v>19</v>
      </c>
      <c r="P1049" s="1" t="s">
        <v>20</v>
      </c>
      <c r="Q1049" s="4">
        <v>0</v>
      </c>
      <c r="R1049" s="13">
        <f t="shared" si="215"/>
        <v>0</v>
      </c>
      <c r="S1049" s="6">
        <f t="shared" si="209"/>
        <v>0</v>
      </c>
      <c r="T1049" s="1" t="s">
        <v>46</v>
      </c>
      <c r="U1049" s="1">
        <f t="shared" si="216"/>
        <v>1</v>
      </c>
      <c r="V1049" s="1">
        <f t="shared" si="217"/>
        <v>0.3</v>
      </c>
      <c r="W1049" s="10" t="str">
        <f t="shared" si="218"/>
        <v>Low</v>
      </c>
      <c r="X1049" s="1" t="s">
        <v>22</v>
      </c>
      <c r="Y1049" s="1" t="str">
        <f t="shared" si="219"/>
        <v>No</v>
      </c>
      <c r="Z1049" s="14">
        <v>4</v>
      </c>
      <c r="AA1049" s="18">
        <f t="shared" si="220"/>
        <v>4</v>
      </c>
      <c r="AB1049" s="18" t="str">
        <f t="shared" si="221"/>
        <v>No</v>
      </c>
      <c r="AC1049" s="9" t="s">
        <v>4103</v>
      </c>
      <c r="AD1049">
        <f>IF(AC1049="",0,LEN(AC1049)-LEN(SUBSTITUTE(AC1049,",",""))+1)</f>
        <v>2</v>
      </c>
    </row>
    <row r="1050" spans="1:30" ht="12.5" x14ac:dyDescent="0.25">
      <c r="A1050" s="1" t="s">
        <v>4104</v>
      </c>
      <c r="B1050" s="1" t="s">
        <v>4105</v>
      </c>
      <c r="C1050" s="1" t="str">
        <v>Cassie White</v>
      </c>
      <c r="D1050" s="1" t="s">
        <v>4106</v>
      </c>
      <c r="E1050" s="1" t="str">
        <v>riveraclinton@yahoo.com</v>
      </c>
      <c r="F1050" t="str">
        <f t="shared" si="210"/>
        <v>Valid</v>
      </c>
      <c r="G1050" s="1" t="s">
        <v>95</v>
      </c>
      <c r="H1050" s="1" t="str">
        <f t="shared" si="211"/>
        <v>Male</v>
      </c>
      <c r="I1050" s="1" t="s">
        <v>136</v>
      </c>
      <c r="J1050" t="str">
        <f t="shared" si="212"/>
        <v>UK</v>
      </c>
      <c r="K1050" s="14">
        <v>0</v>
      </c>
      <c r="L1050" s="1">
        <f t="shared" si="213"/>
        <v>19</v>
      </c>
      <c r="M1050" s="1" t="str">
        <f t="shared" si="214"/>
        <v>Student</v>
      </c>
      <c r="N1050" s="2">
        <v>44987</v>
      </c>
      <c r="O1050" s="1" t="s">
        <v>158</v>
      </c>
      <c r="P1050" s="1" t="s">
        <v>59</v>
      </c>
      <c r="Q1050" s="4">
        <v>60</v>
      </c>
      <c r="R1050" s="13">
        <f t="shared" si="215"/>
        <v>60</v>
      </c>
      <c r="S1050" s="6">
        <f t="shared" si="209"/>
        <v>0.6</v>
      </c>
      <c r="T1050" s="1">
        <v>45</v>
      </c>
      <c r="U1050" s="1">
        <f t="shared" si="216"/>
        <v>45</v>
      </c>
      <c r="V1050" s="1">
        <f t="shared" si="217"/>
        <v>55.5</v>
      </c>
      <c r="W1050" s="10" t="str">
        <f t="shared" si="218"/>
        <v>Medium</v>
      </c>
      <c r="X1050" s="1" t="s">
        <v>22</v>
      </c>
      <c r="Y1050" s="1" t="str">
        <f t="shared" si="219"/>
        <v>No</v>
      </c>
      <c r="Z1050" s="14">
        <v>3</v>
      </c>
      <c r="AA1050" s="18">
        <f t="shared" si="220"/>
        <v>3</v>
      </c>
      <c r="AB1050" s="18" t="str">
        <f t="shared" si="221"/>
        <v>No</v>
      </c>
      <c r="AC1050" s="9" t="s">
        <v>4107</v>
      </c>
      <c r="AD1050">
        <f>IF(AC1050="",0,LEN(AC1050)-LEN(SUBSTITUTE(AC1050,",",""))+1)</f>
        <v>8</v>
      </c>
    </row>
    <row r="1051" spans="1:30" ht="12.5" x14ac:dyDescent="0.25">
      <c r="A1051" s="1" t="s">
        <v>4108</v>
      </c>
      <c r="B1051" s="1" t="s">
        <v>4109</v>
      </c>
      <c r="C1051" s="1" t="str">
        <v>Jane Wells</v>
      </c>
      <c r="D1051" s="1" t="s">
        <v>4110</v>
      </c>
      <c r="E1051" s="1" t="str">
        <v>codykelly@hotmail.com</v>
      </c>
      <c r="F1051" t="str">
        <f t="shared" si="210"/>
        <v>Valid</v>
      </c>
      <c r="G1051" s="1" t="s">
        <v>43</v>
      </c>
      <c r="H1051" s="1" t="str">
        <f t="shared" si="211"/>
        <v>Female</v>
      </c>
      <c r="I1051" s="1" t="s">
        <v>51</v>
      </c>
      <c r="J1051" t="str">
        <f t="shared" si="212"/>
        <v>UK</v>
      </c>
      <c r="L1051" s="1">
        <f t="shared" si="213"/>
        <v>19</v>
      </c>
      <c r="M1051" s="1" t="str">
        <f t="shared" si="214"/>
        <v>Student</v>
      </c>
      <c r="N1051" s="9">
        <v>45549</v>
      </c>
      <c r="O1051" s="1" t="s">
        <v>170</v>
      </c>
      <c r="P1051" s="1" t="s">
        <v>147</v>
      </c>
      <c r="Q1051" s="4">
        <v>0.24</v>
      </c>
      <c r="R1051" s="13">
        <f t="shared" si="215"/>
        <v>24</v>
      </c>
      <c r="S1051" s="6">
        <f t="shared" si="209"/>
        <v>0.24</v>
      </c>
      <c r="T1051" s="1">
        <v>45</v>
      </c>
      <c r="U1051" s="1">
        <f t="shared" si="216"/>
        <v>45</v>
      </c>
      <c r="V1051" s="1">
        <f t="shared" si="217"/>
        <v>30.299999999999997</v>
      </c>
      <c r="W1051" s="10" t="str">
        <f t="shared" si="218"/>
        <v>Low</v>
      </c>
      <c r="X1051" s="1" t="s">
        <v>22</v>
      </c>
      <c r="Y1051" s="1" t="str">
        <f t="shared" si="219"/>
        <v>No</v>
      </c>
      <c r="AA1051" s="18" t="str">
        <f t="shared" si="220"/>
        <v>Invalid</v>
      </c>
      <c r="AB1051" s="18" t="str">
        <f t="shared" si="221"/>
        <v>No</v>
      </c>
      <c r="AC1051" s="9" t="s">
        <v>4111</v>
      </c>
      <c r="AD1051">
        <f>IF(AC1051="",0,LEN(AC1051)-LEN(SUBSTITUTE(AC1051,",",""))+1)</f>
        <v>3</v>
      </c>
    </row>
    <row r="1052" spans="1:30" ht="12.5" x14ac:dyDescent="0.25">
      <c r="A1052" s="1" t="s">
        <v>4112</v>
      </c>
      <c r="B1052" s="1" t="s">
        <v>4113</v>
      </c>
      <c r="C1052" s="1" t="str">
        <v>James Perez</v>
      </c>
      <c r="D1052" s="1" t="s">
        <v>4114</v>
      </c>
      <c r="E1052" s="1" t="str">
        <v>shannon18@smith-obrien.net</v>
      </c>
      <c r="F1052" t="str">
        <f t="shared" si="210"/>
        <v>Valid</v>
      </c>
      <c r="G1052" s="1" t="s">
        <v>57</v>
      </c>
      <c r="H1052" s="1" t="str">
        <f t="shared" si="211"/>
        <v>Female</v>
      </c>
      <c r="I1052" s="1" t="s">
        <v>89</v>
      </c>
      <c r="J1052" t="str">
        <f t="shared" si="212"/>
        <v>GERMANY</v>
      </c>
      <c r="K1052" s="14">
        <v>34</v>
      </c>
      <c r="L1052" s="1">
        <f t="shared" si="213"/>
        <v>34</v>
      </c>
      <c r="M1052" s="1" t="str">
        <f t="shared" si="214"/>
        <v>Mid Career</v>
      </c>
      <c r="N1052" s="2">
        <v>45384</v>
      </c>
      <c r="O1052" s="1" t="s">
        <v>170</v>
      </c>
      <c r="P1052" s="1" t="s">
        <v>147</v>
      </c>
      <c r="Q1052" s="4">
        <v>0.81</v>
      </c>
      <c r="R1052" s="13">
        <f t="shared" si="215"/>
        <v>81</v>
      </c>
      <c r="S1052" s="6">
        <f t="shared" si="209"/>
        <v>0.81</v>
      </c>
      <c r="T1052" s="1">
        <v>45</v>
      </c>
      <c r="U1052" s="1">
        <f t="shared" si="216"/>
        <v>45</v>
      </c>
      <c r="V1052" s="1">
        <f t="shared" si="217"/>
        <v>70.199999999999989</v>
      </c>
      <c r="W1052" s="10" t="str">
        <f t="shared" si="218"/>
        <v>Medium</v>
      </c>
      <c r="X1052" s="1">
        <v>0</v>
      </c>
      <c r="Y1052" s="1" t="str">
        <f t="shared" si="219"/>
        <v>No</v>
      </c>
      <c r="Z1052" s="14">
        <v>3</v>
      </c>
      <c r="AA1052" s="18">
        <f t="shared" si="220"/>
        <v>3</v>
      </c>
      <c r="AB1052" s="18" t="str">
        <f t="shared" si="221"/>
        <v>No</v>
      </c>
      <c r="AC1052" s="9" t="s">
        <v>4115</v>
      </c>
      <c r="AD1052">
        <f>IF(AC1052="",0,LEN(AC1052)-LEN(SUBSTITUTE(AC1052,",",""))+1)</f>
        <v>5</v>
      </c>
    </row>
    <row r="1053" spans="1:30" ht="12.5" x14ac:dyDescent="0.25">
      <c r="A1053" s="1" t="s">
        <v>4116</v>
      </c>
      <c r="B1053" s="1" t="s">
        <v>789</v>
      </c>
      <c r="C1053" s="1" t="str">
        <v>William Smith</v>
      </c>
      <c r="D1053" s="1" t="s">
        <v>4117</v>
      </c>
      <c r="E1053" s="1" t="str">
        <v>ztorres@hotmail.com</v>
      </c>
      <c r="F1053" t="str">
        <f t="shared" si="210"/>
        <v>Valid</v>
      </c>
      <c r="G1053" s="1" t="s">
        <v>88</v>
      </c>
      <c r="H1053" s="1" t="str">
        <f t="shared" si="211"/>
        <v>Male</v>
      </c>
      <c r="I1053" s="1" t="s">
        <v>74</v>
      </c>
      <c r="J1053" t="str">
        <f t="shared" si="212"/>
        <v>USA</v>
      </c>
      <c r="K1053" s="14">
        <v>0</v>
      </c>
      <c r="L1053" s="1">
        <f t="shared" si="213"/>
        <v>19</v>
      </c>
      <c r="M1053" s="1" t="str">
        <f t="shared" si="214"/>
        <v>Student</v>
      </c>
      <c r="N1053" s="2">
        <v>44749</v>
      </c>
      <c r="O1053" s="1" t="s">
        <v>52</v>
      </c>
      <c r="P1053" s="1" t="s">
        <v>37</v>
      </c>
      <c r="Q1053" s="4">
        <v>0.63</v>
      </c>
      <c r="R1053" s="13">
        <f t="shared" si="215"/>
        <v>63</v>
      </c>
      <c r="S1053" s="6">
        <f t="shared" si="209"/>
        <v>0.63</v>
      </c>
      <c r="T1053" s="1">
        <v>1.5</v>
      </c>
      <c r="U1053" s="1">
        <f t="shared" si="216"/>
        <v>1.5</v>
      </c>
      <c r="V1053" s="1">
        <f t="shared" si="217"/>
        <v>44.55</v>
      </c>
      <c r="W1053" s="10" t="str">
        <f t="shared" si="218"/>
        <v>Medium</v>
      </c>
      <c r="X1053" s="1">
        <v>0</v>
      </c>
      <c r="Y1053" s="1" t="str">
        <f t="shared" si="219"/>
        <v>No</v>
      </c>
      <c r="Z1053" s="14">
        <v>3</v>
      </c>
      <c r="AA1053" s="18">
        <f t="shared" si="220"/>
        <v>3</v>
      </c>
      <c r="AB1053" s="18" t="str">
        <f t="shared" si="221"/>
        <v>No</v>
      </c>
      <c r="AC1053" s="9" t="s">
        <v>2805</v>
      </c>
      <c r="AD1053">
        <f>IF(AC1053="",0,LEN(AC1053)-LEN(SUBSTITUTE(AC1053,",",""))+1)</f>
        <v>3</v>
      </c>
    </row>
    <row r="1054" spans="1:30" ht="12.5" x14ac:dyDescent="0.25">
      <c r="A1054" s="1" t="s">
        <v>4118</v>
      </c>
      <c r="B1054" s="1" t="s">
        <v>4119</v>
      </c>
      <c r="C1054" s="1" t="str">
        <v>Mark Jimenez</v>
      </c>
      <c r="D1054" s="1" t="s">
        <v>4120</v>
      </c>
      <c r="E1054" s="1" t="str">
        <v>collin29@berry-vance.com</v>
      </c>
      <c r="F1054" t="str">
        <f t="shared" si="210"/>
        <v>Valid</v>
      </c>
      <c r="G1054" s="1" t="s">
        <v>57</v>
      </c>
      <c r="H1054" s="1" t="str">
        <f t="shared" si="211"/>
        <v>Female</v>
      </c>
      <c r="I1054" s="1" t="s">
        <v>136</v>
      </c>
      <c r="J1054" t="str">
        <f t="shared" si="212"/>
        <v>UK</v>
      </c>
      <c r="K1054" s="14">
        <v>0</v>
      </c>
      <c r="L1054" s="1">
        <f t="shared" si="213"/>
        <v>19</v>
      </c>
      <c r="M1054" s="1" t="str">
        <f t="shared" si="214"/>
        <v>Student</v>
      </c>
      <c r="N1054" s="9">
        <v>45533</v>
      </c>
      <c r="O1054" s="1" t="s">
        <v>301</v>
      </c>
      <c r="P1054" s="1" t="s">
        <v>20</v>
      </c>
      <c r="Q1054" s="4">
        <v>0.86</v>
      </c>
      <c r="R1054" s="13">
        <f t="shared" si="215"/>
        <v>86</v>
      </c>
      <c r="S1054" s="6">
        <f t="shared" si="209"/>
        <v>0.86</v>
      </c>
      <c r="T1054" s="1" t="s">
        <v>46</v>
      </c>
      <c r="U1054" s="1">
        <f t="shared" si="216"/>
        <v>1</v>
      </c>
      <c r="V1054" s="1">
        <f t="shared" si="217"/>
        <v>60.499999999999993</v>
      </c>
      <c r="W1054" s="10" t="str">
        <f t="shared" si="218"/>
        <v>Medium</v>
      </c>
      <c r="X1054" s="1" t="s">
        <v>32</v>
      </c>
      <c r="Y1054" s="1" t="str">
        <f t="shared" si="219"/>
        <v>Yes</v>
      </c>
      <c r="Z1054" s="14">
        <v>1</v>
      </c>
      <c r="AA1054" s="18">
        <f t="shared" si="220"/>
        <v>1</v>
      </c>
      <c r="AB1054" s="18" t="str">
        <f t="shared" si="221"/>
        <v>No</v>
      </c>
      <c r="AC1054" s="9" t="s">
        <v>4121</v>
      </c>
      <c r="AD1054">
        <f>IF(AC1054="",0,LEN(AC1054)-LEN(SUBSTITUTE(AC1054,",",""))+1)</f>
        <v>6</v>
      </c>
    </row>
    <row r="1055" spans="1:30" ht="12.5" x14ac:dyDescent="0.25">
      <c r="A1055" s="1" t="s">
        <v>4122</v>
      </c>
      <c r="B1055" s="1" t="s">
        <v>4123</v>
      </c>
      <c r="C1055" s="1" t="str">
        <v>Andrew Medina</v>
      </c>
      <c r="D1055" s="1" t="s">
        <v>4124</v>
      </c>
      <c r="E1055" s="1" t="str">
        <v>savannah15@white.info</v>
      </c>
      <c r="F1055" t="str">
        <f t="shared" si="210"/>
        <v>Valid</v>
      </c>
      <c r="G1055" s="1" t="s">
        <v>57</v>
      </c>
      <c r="H1055" s="1" t="str">
        <f t="shared" si="211"/>
        <v>Female</v>
      </c>
      <c r="I1055" s="1" t="s">
        <v>18</v>
      </c>
      <c r="J1055" t="str">
        <f t="shared" si="212"/>
        <v>US</v>
      </c>
      <c r="L1055" s="1">
        <f t="shared" si="213"/>
        <v>19</v>
      </c>
      <c r="M1055" s="1" t="str">
        <f t="shared" si="214"/>
        <v>Student</v>
      </c>
      <c r="N1055" s="2">
        <v>45357</v>
      </c>
      <c r="O1055" s="1" t="s">
        <v>58</v>
      </c>
      <c r="P1055" s="1" t="s">
        <v>59</v>
      </c>
      <c r="Q1055" s="4">
        <v>0.95</v>
      </c>
      <c r="R1055" s="13">
        <f t="shared" si="215"/>
        <v>95</v>
      </c>
      <c r="S1055" s="6">
        <f t="shared" si="209"/>
        <v>0.95</v>
      </c>
      <c r="T1055" s="1">
        <v>2</v>
      </c>
      <c r="U1055" s="1">
        <f t="shared" si="216"/>
        <v>2</v>
      </c>
      <c r="V1055" s="1">
        <f t="shared" si="217"/>
        <v>67.099999999999994</v>
      </c>
      <c r="W1055" s="10" t="str">
        <f t="shared" si="218"/>
        <v>Medium</v>
      </c>
      <c r="X1055" s="1" t="s">
        <v>38</v>
      </c>
      <c r="Y1055" s="1" t="str">
        <f t="shared" si="219"/>
        <v>No</v>
      </c>
      <c r="Z1055" s="14">
        <v>2</v>
      </c>
      <c r="AA1055" s="18">
        <f t="shared" si="220"/>
        <v>2</v>
      </c>
      <c r="AB1055" s="18" t="str">
        <f t="shared" si="221"/>
        <v>No</v>
      </c>
      <c r="AC1055" s="9" t="s">
        <v>4125</v>
      </c>
      <c r="AD1055">
        <f>IF(AC1055="",0,LEN(AC1055)-LEN(SUBSTITUTE(AC1055,",",""))+1)</f>
        <v>8</v>
      </c>
    </row>
    <row r="1056" spans="1:30" ht="12.5" x14ac:dyDescent="0.25">
      <c r="A1056" s="1" t="s">
        <v>4126</v>
      </c>
      <c r="B1056" s="1" t="s">
        <v>4127</v>
      </c>
      <c r="C1056" s="1" t="str">
        <v>Teresa Mcfarland</v>
      </c>
      <c r="D1056" s="1" t="s">
        <v>127</v>
      </c>
      <c r="E1056" s="1" t="str">
        <v>invalid-email</v>
      </c>
      <c r="F1056" t="str">
        <f t="shared" si="210"/>
        <v>Invalid</v>
      </c>
      <c r="G1056" s="1" t="s">
        <v>109</v>
      </c>
      <c r="H1056" s="1" t="str">
        <f t="shared" si="211"/>
        <v>Male</v>
      </c>
      <c r="I1056" s="1" t="s">
        <v>156</v>
      </c>
      <c r="J1056" t="str">
        <f t="shared" si="212"/>
        <v>IN</v>
      </c>
      <c r="K1056" s="14">
        <v>0</v>
      </c>
      <c r="L1056" s="1">
        <f t="shared" si="213"/>
        <v>19</v>
      </c>
      <c r="M1056" s="1" t="str">
        <f t="shared" si="214"/>
        <v>Student</v>
      </c>
      <c r="N1056" s="2">
        <v>44928</v>
      </c>
      <c r="O1056" s="1" t="s">
        <v>58</v>
      </c>
      <c r="P1056" s="1" t="s">
        <v>59</v>
      </c>
      <c r="Q1056" s="4">
        <v>0.96</v>
      </c>
      <c r="R1056" s="13">
        <f t="shared" si="215"/>
        <v>96</v>
      </c>
      <c r="S1056" s="6">
        <f t="shared" si="209"/>
        <v>0.96</v>
      </c>
      <c r="T1056" s="1" t="s">
        <v>21</v>
      </c>
      <c r="U1056" s="1">
        <f t="shared" si="216"/>
        <v>1.5</v>
      </c>
      <c r="V1056" s="1">
        <f t="shared" si="217"/>
        <v>67.649999999999991</v>
      </c>
      <c r="W1056" s="10" t="str">
        <f t="shared" si="218"/>
        <v>Medium</v>
      </c>
      <c r="X1056" s="1" t="s">
        <v>32</v>
      </c>
      <c r="Y1056" s="1" t="str">
        <f t="shared" si="219"/>
        <v>Yes</v>
      </c>
      <c r="Z1056" s="14">
        <v>4</v>
      </c>
      <c r="AA1056" s="18">
        <f t="shared" si="220"/>
        <v>4</v>
      </c>
      <c r="AB1056" s="18" t="str">
        <f t="shared" si="221"/>
        <v>High Performer</v>
      </c>
      <c r="AC1056" s="9" t="s">
        <v>4128</v>
      </c>
      <c r="AD1056">
        <f>IF(AC1056="",0,LEN(AC1056)-LEN(SUBSTITUTE(AC1056,",",""))+1)</f>
        <v>8</v>
      </c>
    </row>
    <row r="1057" spans="1:30" ht="12.5" x14ac:dyDescent="0.25">
      <c r="A1057" s="1" t="s">
        <v>4129</v>
      </c>
      <c r="B1057" s="1" t="s">
        <v>4130</v>
      </c>
      <c r="C1057" s="1" t="str">
        <v>Mary Jones</v>
      </c>
      <c r="D1057" s="1" t="s">
        <v>4131</v>
      </c>
      <c r="E1057" s="1" t="str">
        <v>donald73@williams-brown.info</v>
      </c>
      <c r="F1057" t="str">
        <f t="shared" si="210"/>
        <v>Valid</v>
      </c>
      <c r="G1057" s="1" t="s">
        <v>109</v>
      </c>
      <c r="H1057" s="1" t="str">
        <f t="shared" si="211"/>
        <v>Male</v>
      </c>
      <c r="I1057" s="1" t="s">
        <v>44</v>
      </c>
      <c r="J1057" t="str">
        <f t="shared" si="212"/>
        <v>CANADA</v>
      </c>
      <c r="K1057" s="14">
        <v>28</v>
      </c>
      <c r="L1057" s="1">
        <f t="shared" si="213"/>
        <v>28</v>
      </c>
      <c r="M1057" s="1" t="str">
        <f t="shared" si="214"/>
        <v>Early Career</v>
      </c>
      <c r="N1057" s="2">
        <v>45420</v>
      </c>
      <c r="O1057" s="1" t="s">
        <v>301</v>
      </c>
      <c r="P1057" s="1" t="s">
        <v>20</v>
      </c>
      <c r="Q1057" s="4">
        <v>0.23</v>
      </c>
      <c r="R1057" s="13">
        <f t="shared" si="215"/>
        <v>23</v>
      </c>
      <c r="S1057" s="6">
        <f t="shared" si="209"/>
        <v>0.23</v>
      </c>
      <c r="T1057" s="1" t="s">
        <v>21</v>
      </c>
      <c r="U1057" s="1">
        <f t="shared" si="216"/>
        <v>1.5</v>
      </c>
      <c r="V1057" s="1">
        <f t="shared" si="217"/>
        <v>16.549999999999997</v>
      </c>
      <c r="W1057" s="10" t="str">
        <f t="shared" si="218"/>
        <v>Low</v>
      </c>
      <c r="X1057" s="1" t="s">
        <v>38</v>
      </c>
      <c r="Y1057" s="1" t="str">
        <f t="shared" si="219"/>
        <v>No</v>
      </c>
      <c r="Z1057" s="14">
        <v>2</v>
      </c>
      <c r="AA1057" s="18">
        <f t="shared" si="220"/>
        <v>2</v>
      </c>
      <c r="AB1057" s="18" t="str">
        <f t="shared" si="221"/>
        <v>No</v>
      </c>
      <c r="AC1057" s="9" t="s">
        <v>4132</v>
      </c>
      <c r="AD1057">
        <f>IF(AC1057="",0,LEN(AC1057)-LEN(SUBSTITUTE(AC1057,",",""))+1)</f>
        <v>3</v>
      </c>
    </row>
    <row r="1058" spans="1:30" ht="12.5" x14ac:dyDescent="0.25">
      <c r="A1058" s="1" t="s">
        <v>4133</v>
      </c>
      <c r="B1058" s="1" t="s">
        <v>4134</v>
      </c>
      <c r="C1058" s="1" t="str">
        <v>Joseph Alvarado</v>
      </c>
      <c r="D1058" s="1" t="s">
        <v>4135</v>
      </c>
      <c r="E1058" s="1" t="str">
        <v>psherman@gmail.com</v>
      </c>
      <c r="F1058" t="str">
        <f t="shared" si="210"/>
        <v>Valid</v>
      </c>
      <c r="G1058" s="1" t="s">
        <v>109</v>
      </c>
      <c r="H1058" s="1" t="str">
        <f t="shared" si="211"/>
        <v>Male</v>
      </c>
      <c r="I1058" s="1" t="s">
        <v>136</v>
      </c>
      <c r="J1058" t="str">
        <f t="shared" si="212"/>
        <v>UK</v>
      </c>
      <c r="K1058" s="14">
        <v>39</v>
      </c>
      <c r="L1058" s="1">
        <f t="shared" si="213"/>
        <v>39</v>
      </c>
      <c r="M1058" s="1" t="str">
        <f t="shared" si="214"/>
        <v>Mid Career</v>
      </c>
      <c r="N1058" s="9">
        <v>45682</v>
      </c>
      <c r="O1058" s="1" t="s">
        <v>170</v>
      </c>
      <c r="P1058" s="1" t="s">
        <v>147</v>
      </c>
      <c r="Q1058" s="4">
        <v>0.77</v>
      </c>
      <c r="R1058" s="13">
        <f t="shared" si="215"/>
        <v>77</v>
      </c>
      <c r="S1058" s="6">
        <f t="shared" si="209"/>
        <v>0.77</v>
      </c>
      <c r="T1058" s="1" t="s">
        <v>21</v>
      </c>
      <c r="U1058" s="1">
        <f t="shared" si="216"/>
        <v>1.5</v>
      </c>
      <c r="V1058" s="1">
        <f t="shared" si="217"/>
        <v>54.35</v>
      </c>
      <c r="W1058" s="10" t="str">
        <f t="shared" si="218"/>
        <v>Medium</v>
      </c>
      <c r="X1058" s="1" t="s">
        <v>76</v>
      </c>
      <c r="Y1058" s="1" t="str">
        <f t="shared" si="219"/>
        <v>Yes</v>
      </c>
      <c r="AA1058" s="18" t="str">
        <f t="shared" si="220"/>
        <v>Invalid</v>
      </c>
      <c r="AB1058" s="18" t="str">
        <f t="shared" si="221"/>
        <v>High Performer</v>
      </c>
      <c r="AC1058" s="9" t="s">
        <v>4136</v>
      </c>
      <c r="AD1058">
        <f>IF(AC1058="",0,LEN(AC1058)-LEN(SUBSTITUTE(AC1058,",",""))+1)</f>
        <v>5</v>
      </c>
    </row>
    <row r="1059" spans="1:30" ht="12.5" x14ac:dyDescent="0.25">
      <c r="A1059" s="1" t="s">
        <v>4137</v>
      </c>
      <c r="B1059" s="1" t="s">
        <v>4138</v>
      </c>
      <c r="C1059" s="1" t="str">
        <v>Tony Simmons</v>
      </c>
      <c r="D1059" s="1" t="s">
        <v>4139</v>
      </c>
      <c r="E1059" s="1" t="str">
        <v>bmiller@yahoo.com</v>
      </c>
      <c r="F1059" t="str">
        <f t="shared" si="210"/>
        <v>Valid</v>
      </c>
      <c r="G1059" s="1" t="s">
        <v>88</v>
      </c>
      <c r="H1059" s="1" t="str">
        <f t="shared" si="211"/>
        <v>Male</v>
      </c>
      <c r="I1059" s="1" t="s">
        <v>136</v>
      </c>
      <c r="J1059" t="str">
        <f t="shared" si="212"/>
        <v>UK</v>
      </c>
      <c r="L1059" s="1">
        <f t="shared" si="213"/>
        <v>19</v>
      </c>
      <c r="M1059" s="1" t="str">
        <f t="shared" si="214"/>
        <v>Student</v>
      </c>
      <c r="N1059" s="9">
        <v>45096</v>
      </c>
      <c r="O1059" s="1" t="s">
        <v>301</v>
      </c>
      <c r="P1059" s="1" t="s">
        <v>20</v>
      </c>
      <c r="Q1059" s="4">
        <v>0.3</v>
      </c>
      <c r="R1059" s="13">
        <f t="shared" si="215"/>
        <v>30</v>
      </c>
      <c r="S1059" s="6">
        <f t="shared" si="209"/>
        <v>0.3</v>
      </c>
      <c r="T1059" s="1">
        <v>45</v>
      </c>
      <c r="U1059" s="1">
        <f t="shared" si="216"/>
        <v>45</v>
      </c>
      <c r="V1059" s="1">
        <f t="shared" si="217"/>
        <v>34.5</v>
      </c>
      <c r="W1059" s="10" t="str">
        <f t="shared" si="218"/>
        <v>Low</v>
      </c>
      <c r="X1059" s="1" t="s">
        <v>32</v>
      </c>
      <c r="Y1059" s="1" t="str">
        <f t="shared" si="219"/>
        <v>Yes</v>
      </c>
      <c r="Z1059" s="14">
        <v>5</v>
      </c>
      <c r="AA1059" s="18">
        <f t="shared" si="220"/>
        <v>5</v>
      </c>
      <c r="AB1059" s="18" t="str">
        <f t="shared" si="221"/>
        <v>High Performer</v>
      </c>
      <c r="AC1059" s="9" t="s">
        <v>4140</v>
      </c>
      <c r="AD1059">
        <f>IF(AC1059="",0,LEN(AC1059)-LEN(SUBSTITUTE(AC1059,",",""))+1)</f>
        <v>8</v>
      </c>
    </row>
    <row r="1060" spans="1:30" ht="12.5" x14ac:dyDescent="0.25">
      <c r="A1060" s="1" t="s">
        <v>4141</v>
      </c>
      <c r="B1060" s="1" t="s">
        <v>4142</v>
      </c>
      <c r="C1060" s="1" t="str">
        <v>Jonathan Hartman</v>
      </c>
      <c r="D1060" s="1" t="s">
        <v>4143</v>
      </c>
      <c r="E1060" s="1" t="str">
        <v>rosebobby@gmail.com</v>
      </c>
      <c r="F1060" t="str">
        <f t="shared" si="210"/>
        <v>Valid</v>
      </c>
      <c r="G1060" s="1" t="s">
        <v>109</v>
      </c>
      <c r="H1060" s="1" t="str">
        <f t="shared" si="211"/>
        <v>Male</v>
      </c>
      <c r="I1060" s="1" t="s">
        <v>156</v>
      </c>
      <c r="J1060" t="str">
        <f t="shared" si="212"/>
        <v>IN</v>
      </c>
      <c r="L1060" s="1">
        <f t="shared" si="213"/>
        <v>19</v>
      </c>
      <c r="M1060" s="1" t="str">
        <f t="shared" si="214"/>
        <v>Student</v>
      </c>
      <c r="N1060" s="9">
        <v>44820</v>
      </c>
      <c r="O1060" s="1" t="s">
        <v>75</v>
      </c>
      <c r="P1060" s="1" t="s">
        <v>37</v>
      </c>
      <c r="Q1060" s="4">
        <v>0.16</v>
      </c>
      <c r="R1060" s="13">
        <f t="shared" si="215"/>
        <v>16</v>
      </c>
      <c r="S1060" s="6">
        <f t="shared" si="209"/>
        <v>0.16</v>
      </c>
      <c r="T1060" s="1">
        <v>45</v>
      </c>
      <c r="U1060" s="1">
        <f t="shared" si="216"/>
        <v>45</v>
      </c>
      <c r="V1060" s="1">
        <f t="shared" si="217"/>
        <v>24.7</v>
      </c>
      <c r="W1060" s="10" t="str">
        <f t="shared" si="218"/>
        <v>Low</v>
      </c>
      <c r="X1060" s="1" t="s">
        <v>38</v>
      </c>
      <c r="Y1060" s="1" t="str">
        <f t="shared" si="219"/>
        <v>No</v>
      </c>
      <c r="Z1060" s="14">
        <v>5</v>
      </c>
      <c r="AA1060" s="18">
        <f t="shared" si="220"/>
        <v>5</v>
      </c>
      <c r="AB1060" s="18" t="str">
        <f t="shared" si="221"/>
        <v>No</v>
      </c>
      <c r="AC1060" s="9" t="s">
        <v>2616</v>
      </c>
      <c r="AD1060">
        <f>IF(AC1060="",0,LEN(AC1060)-LEN(SUBSTITUTE(AC1060,",",""))+1)</f>
        <v>7</v>
      </c>
    </row>
    <row r="1061" spans="1:30" ht="12.5" x14ac:dyDescent="0.25">
      <c r="A1061" s="1" t="s">
        <v>4144</v>
      </c>
      <c r="B1061" s="1" t="s">
        <v>4145</v>
      </c>
      <c r="C1061" s="1" t="str">
        <v>Carrie Edwards</v>
      </c>
      <c r="D1061" s="1" t="s">
        <v>4146</v>
      </c>
      <c r="E1061" s="1" t="str">
        <v>williamskevin@bell.com</v>
      </c>
      <c r="F1061" t="str">
        <f t="shared" si="210"/>
        <v>Valid</v>
      </c>
      <c r="G1061" s="1" t="s">
        <v>119</v>
      </c>
      <c r="H1061" s="1" t="str">
        <f t="shared" si="211"/>
        <v>Female</v>
      </c>
      <c r="I1061" s="1" t="s">
        <v>44</v>
      </c>
      <c r="J1061" t="str">
        <f t="shared" si="212"/>
        <v>CANADA</v>
      </c>
      <c r="L1061" s="1">
        <f t="shared" si="213"/>
        <v>19</v>
      </c>
      <c r="M1061" s="1" t="str">
        <f t="shared" si="214"/>
        <v>Student</v>
      </c>
      <c r="N1061" s="9">
        <v>45135</v>
      </c>
      <c r="O1061" s="1" t="s">
        <v>52</v>
      </c>
      <c r="P1061" s="1" t="s">
        <v>37</v>
      </c>
      <c r="Q1061" s="4">
        <v>88</v>
      </c>
      <c r="R1061" s="13">
        <f t="shared" si="215"/>
        <v>88</v>
      </c>
      <c r="S1061" s="6">
        <f t="shared" si="209"/>
        <v>0.88</v>
      </c>
      <c r="T1061" s="1" t="s">
        <v>21</v>
      </c>
      <c r="U1061" s="1">
        <f t="shared" si="216"/>
        <v>1.5</v>
      </c>
      <c r="V1061" s="1">
        <f t="shared" si="217"/>
        <v>62.05</v>
      </c>
      <c r="W1061" s="10" t="str">
        <f t="shared" si="218"/>
        <v>Medium</v>
      </c>
      <c r="X1061" s="1" t="s">
        <v>32</v>
      </c>
      <c r="Y1061" s="1" t="str">
        <f t="shared" si="219"/>
        <v>Yes</v>
      </c>
      <c r="Z1061" s="14">
        <v>2</v>
      </c>
      <c r="AA1061" s="18">
        <f t="shared" si="220"/>
        <v>2</v>
      </c>
      <c r="AB1061" s="18" t="str">
        <f t="shared" si="221"/>
        <v>No</v>
      </c>
      <c r="AC1061" s="9" t="s">
        <v>1000</v>
      </c>
      <c r="AD1061">
        <f>IF(AC1061="",0,LEN(AC1061)-LEN(SUBSTITUTE(AC1061,",",""))+1)</f>
        <v>4</v>
      </c>
    </row>
    <row r="1062" spans="1:30" ht="12.5" x14ac:dyDescent="0.25">
      <c r="A1062" s="1" t="s">
        <v>4147</v>
      </c>
      <c r="B1062" s="1" t="s">
        <v>4148</v>
      </c>
      <c r="C1062" s="1" t="str">
        <v>Cassandra Wood</v>
      </c>
      <c r="D1062" s="1" t="s">
        <v>4149</v>
      </c>
      <c r="E1062" s="1" t="str">
        <v>coreydodson@joseph.com</v>
      </c>
      <c r="F1062" t="str">
        <f t="shared" si="210"/>
        <v>Valid</v>
      </c>
      <c r="G1062" s="1" t="s">
        <v>43</v>
      </c>
      <c r="H1062" s="1" t="str">
        <f t="shared" si="211"/>
        <v>Female</v>
      </c>
      <c r="I1062" s="1" t="s">
        <v>136</v>
      </c>
      <c r="J1062" t="str">
        <f t="shared" si="212"/>
        <v>UK</v>
      </c>
      <c r="L1062" s="1">
        <f t="shared" si="213"/>
        <v>19</v>
      </c>
      <c r="M1062" s="1" t="str">
        <f t="shared" si="214"/>
        <v>Student</v>
      </c>
      <c r="N1062" s="2">
        <v>45750</v>
      </c>
      <c r="O1062" s="1" t="s">
        <v>235</v>
      </c>
      <c r="P1062" s="1" t="s">
        <v>147</v>
      </c>
      <c r="Q1062" s="4">
        <v>0.28999999999999998</v>
      </c>
      <c r="R1062" s="13">
        <f t="shared" si="215"/>
        <v>28.999999999999996</v>
      </c>
      <c r="S1062" s="6">
        <f t="shared" si="209"/>
        <v>0.28999999999999998</v>
      </c>
      <c r="T1062" s="1" t="s">
        <v>46</v>
      </c>
      <c r="U1062" s="1">
        <f t="shared" si="216"/>
        <v>1</v>
      </c>
      <c r="V1062" s="1">
        <f t="shared" si="217"/>
        <v>20.599999999999998</v>
      </c>
      <c r="W1062" s="10" t="str">
        <f t="shared" si="218"/>
        <v>Low</v>
      </c>
      <c r="X1062" s="1" t="s">
        <v>32</v>
      </c>
      <c r="Y1062" s="1" t="str">
        <f t="shared" si="219"/>
        <v>Yes</v>
      </c>
      <c r="AA1062" s="18" t="str">
        <f t="shared" si="220"/>
        <v>Invalid</v>
      </c>
      <c r="AB1062" s="18" t="str">
        <f t="shared" si="221"/>
        <v>High Performer</v>
      </c>
      <c r="AC1062" s="9" t="s">
        <v>4150</v>
      </c>
      <c r="AD1062">
        <f>IF(AC1062="",0,LEN(AC1062)-LEN(SUBSTITUTE(AC1062,",",""))+1)</f>
        <v>6</v>
      </c>
    </row>
    <row r="1063" spans="1:30" ht="12.5" x14ac:dyDescent="0.25">
      <c r="A1063" s="1" t="s">
        <v>4151</v>
      </c>
      <c r="B1063" s="1" t="s">
        <v>4152</v>
      </c>
      <c r="C1063" s="1" t="str">
        <v>Thomas Harris</v>
      </c>
      <c r="D1063" s="1" t="s">
        <v>4153</v>
      </c>
      <c r="E1063" s="1" t="str">
        <v>adam35@benitez.com</v>
      </c>
      <c r="F1063" t="str">
        <f t="shared" si="210"/>
        <v>Valid</v>
      </c>
      <c r="G1063" s="1" t="s">
        <v>27</v>
      </c>
      <c r="H1063" s="1" t="str">
        <f t="shared" si="211"/>
        <v>Male</v>
      </c>
      <c r="I1063" s="1" t="s">
        <v>74</v>
      </c>
      <c r="J1063" t="str">
        <f t="shared" si="212"/>
        <v>USA</v>
      </c>
      <c r="L1063" s="1">
        <f t="shared" si="213"/>
        <v>19</v>
      </c>
      <c r="M1063" s="1" t="str">
        <f t="shared" si="214"/>
        <v>Student</v>
      </c>
      <c r="N1063" s="9">
        <v>45427</v>
      </c>
      <c r="O1063" s="1" t="s">
        <v>90</v>
      </c>
      <c r="P1063" s="1" t="s">
        <v>31</v>
      </c>
      <c r="Q1063" s="4">
        <v>0.1</v>
      </c>
      <c r="R1063" s="13">
        <f t="shared" si="215"/>
        <v>10</v>
      </c>
      <c r="S1063" s="6">
        <f t="shared" si="209"/>
        <v>0.1</v>
      </c>
      <c r="T1063" s="1" t="s">
        <v>21</v>
      </c>
      <c r="U1063" s="1">
        <f t="shared" si="216"/>
        <v>1.5</v>
      </c>
      <c r="V1063" s="1">
        <f t="shared" si="217"/>
        <v>7.45</v>
      </c>
      <c r="W1063" s="10" t="str">
        <f t="shared" si="218"/>
        <v>Low</v>
      </c>
      <c r="X1063" s="1" t="s">
        <v>32</v>
      </c>
      <c r="Y1063" s="1" t="str">
        <f t="shared" si="219"/>
        <v>Yes</v>
      </c>
      <c r="Z1063" s="14">
        <v>5</v>
      </c>
      <c r="AA1063" s="18">
        <f t="shared" si="220"/>
        <v>5</v>
      </c>
      <c r="AB1063" s="18" t="str">
        <f t="shared" si="221"/>
        <v>High Performer</v>
      </c>
      <c r="AC1063" s="9" t="s">
        <v>4154</v>
      </c>
      <c r="AD1063">
        <f>IF(AC1063="",0,LEN(AC1063)-LEN(SUBSTITUTE(AC1063,",",""))+1)</f>
        <v>7</v>
      </c>
    </row>
    <row r="1064" spans="1:30" ht="12.5" x14ac:dyDescent="0.25">
      <c r="A1064" s="1" t="s">
        <v>4155</v>
      </c>
      <c r="B1064" s="1" t="s">
        <v>4156</v>
      </c>
      <c r="C1064" s="1" t="str">
        <v>Michael Macias</v>
      </c>
      <c r="D1064" s="1" t="s">
        <v>4157</v>
      </c>
      <c r="E1064" s="1" t="str">
        <v>jamie46@hotmail.com</v>
      </c>
      <c r="F1064" t="str">
        <f t="shared" si="210"/>
        <v>Valid</v>
      </c>
      <c r="G1064" s="1" t="s">
        <v>119</v>
      </c>
      <c r="H1064" s="1" t="str">
        <f t="shared" si="211"/>
        <v>Female</v>
      </c>
      <c r="I1064" s="1" t="s">
        <v>96</v>
      </c>
      <c r="J1064" t="str">
        <f t="shared" si="212"/>
        <v>INDIA</v>
      </c>
      <c r="L1064" s="1">
        <f t="shared" si="213"/>
        <v>19</v>
      </c>
      <c r="M1064" s="1" t="str">
        <f t="shared" si="214"/>
        <v>Student</v>
      </c>
      <c r="N1064" s="9">
        <v>45282</v>
      </c>
      <c r="O1064" s="1" t="s">
        <v>170</v>
      </c>
      <c r="P1064" s="1" t="s">
        <v>147</v>
      </c>
      <c r="Q1064" s="4">
        <v>0.81</v>
      </c>
      <c r="R1064" s="13">
        <f t="shared" si="215"/>
        <v>81</v>
      </c>
      <c r="S1064" s="6">
        <f t="shared" si="209"/>
        <v>0.81</v>
      </c>
      <c r="T1064" s="1" t="s">
        <v>64</v>
      </c>
      <c r="U1064" s="1">
        <f t="shared" si="216"/>
        <v>2</v>
      </c>
      <c r="V1064" s="1">
        <f t="shared" si="217"/>
        <v>57.3</v>
      </c>
      <c r="W1064" s="10" t="str">
        <f t="shared" si="218"/>
        <v>Medium</v>
      </c>
      <c r="X1064" s="1" t="s">
        <v>38</v>
      </c>
      <c r="Y1064" s="1" t="str">
        <f t="shared" si="219"/>
        <v>No</v>
      </c>
      <c r="Z1064" s="14">
        <v>1</v>
      </c>
      <c r="AA1064" s="18">
        <f t="shared" si="220"/>
        <v>1</v>
      </c>
      <c r="AB1064" s="18" t="str">
        <f t="shared" si="221"/>
        <v>No</v>
      </c>
      <c r="AC1064" s="9" t="s">
        <v>4158</v>
      </c>
      <c r="AD1064">
        <f>IF(AC1064="",0,LEN(AC1064)-LEN(SUBSTITUTE(AC1064,",",""))+1)</f>
        <v>1</v>
      </c>
    </row>
    <row r="1065" spans="1:30" ht="12.5" x14ac:dyDescent="0.25">
      <c r="A1065" s="1" t="s">
        <v>4159</v>
      </c>
      <c r="B1065" s="1" t="s">
        <v>4160</v>
      </c>
      <c r="C1065" s="1" t="str">
        <v>Steven Montoya</v>
      </c>
      <c r="D1065" s="1" t="s">
        <v>4161</v>
      </c>
      <c r="E1065" s="1" t="str">
        <v>carol60@hotmail.com</v>
      </c>
      <c r="F1065" t="str">
        <f t="shared" si="210"/>
        <v>Valid</v>
      </c>
      <c r="G1065" s="1" t="s">
        <v>43</v>
      </c>
      <c r="H1065" s="1" t="str">
        <f t="shared" si="211"/>
        <v>Female</v>
      </c>
      <c r="I1065" s="1" t="s">
        <v>96</v>
      </c>
      <c r="J1065" t="str">
        <f t="shared" si="212"/>
        <v>INDIA</v>
      </c>
      <c r="K1065" s="14">
        <v>0</v>
      </c>
      <c r="L1065" s="1">
        <f t="shared" si="213"/>
        <v>19</v>
      </c>
      <c r="M1065" s="1" t="str">
        <f t="shared" si="214"/>
        <v>Student</v>
      </c>
      <c r="N1065" s="9">
        <v>44673</v>
      </c>
      <c r="O1065" s="1" t="s">
        <v>75</v>
      </c>
      <c r="P1065" s="1" t="s">
        <v>37</v>
      </c>
      <c r="Q1065" s="4">
        <v>0.76</v>
      </c>
      <c r="R1065" s="13">
        <f t="shared" si="215"/>
        <v>76</v>
      </c>
      <c r="S1065" s="6">
        <f t="shared" si="209"/>
        <v>0.76</v>
      </c>
      <c r="T1065" s="1" t="s">
        <v>46</v>
      </c>
      <c r="U1065" s="1">
        <f t="shared" si="216"/>
        <v>1</v>
      </c>
      <c r="V1065" s="1">
        <f t="shared" si="217"/>
        <v>53.499999999999993</v>
      </c>
      <c r="W1065" s="10" t="str">
        <f t="shared" si="218"/>
        <v>Medium</v>
      </c>
      <c r="X1065" s="1" t="s">
        <v>38</v>
      </c>
      <c r="Y1065" s="1" t="str">
        <f t="shared" si="219"/>
        <v>No</v>
      </c>
      <c r="Z1065" s="14">
        <v>5</v>
      </c>
      <c r="AA1065" s="18">
        <f t="shared" si="220"/>
        <v>5</v>
      </c>
      <c r="AB1065" s="18" t="str">
        <f t="shared" si="221"/>
        <v>No</v>
      </c>
      <c r="AC1065" s="9" t="s">
        <v>4162</v>
      </c>
      <c r="AD1065">
        <f>IF(AC1065="",0,LEN(AC1065)-LEN(SUBSTITUTE(AC1065,",",""))+1)</f>
        <v>4</v>
      </c>
    </row>
    <row r="1066" spans="1:30" ht="12.5" x14ac:dyDescent="0.25">
      <c r="A1066" s="1" t="s">
        <v>4163</v>
      </c>
      <c r="B1066" s="1" t="s">
        <v>4164</v>
      </c>
      <c r="C1066" s="1" t="str">
        <v>Brian Moore</v>
      </c>
      <c r="D1066" s="1" t="s">
        <v>4165</v>
      </c>
      <c r="E1066" s="1" t="str">
        <v>whitemark@hotmail.com</v>
      </c>
      <c r="F1066" t="str">
        <f t="shared" si="210"/>
        <v>Valid</v>
      </c>
      <c r="G1066" s="1" t="s">
        <v>88</v>
      </c>
      <c r="H1066" s="1" t="str">
        <f t="shared" si="211"/>
        <v>Male</v>
      </c>
      <c r="I1066" s="1" t="s">
        <v>74</v>
      </c>
      <c r="J1066" t="str">
        <f t="shared" si="212"/>
        <v>USA</v>
      </c>
      <c r="L1066" s="1">
        <f t="shared" si="213"/>
        <v>19</v>
      </c>
      <c r="M1066" s="1" t="str">
        <f t="shared" si="214"/>
        <v>Student</v>
      </c>
      <c r="N1066" s="2">
        <v>45385</v>
      </c>
      <c r="O1066" s="1" t="s">
        <v>114</v>
      </c>
      <c r="P1066" s="1" t="s">
        <v>59</v>
      </c>
      <c r="Q1066" s="4">
        <v>0.18</v>
      </c>
      <c r="R1066" s="13">
        <f t="shared" si="215"/>
        <v>18</v>
      </c>
      <c r="S1066" s="6">
        <f t="shared" si="209"/>
        <v>0.18</v>
      </c>
      <c r="T1066" s="1">
        <v>2</v>
      </c>
      <c r="U1066" s="1">
        <f t="shared" si="216"/>
        <v>2</v>
      </c>
      <c r="V1066" s="1">
        <f t="shared" si="217"/>
        <v>13.2</v>
      </c>
      <c r="W1066" s="10" t="str">
        <f t="shared" si="218"/>
        <v>Low</v>
      </c>
      <c r="X1066" s="1" t="s">
        <v>22</v>
      </c>
      <c r="Y1066" s="1" t="str">
        <f t="shared" si="219"/>
        <v>No</v>
      </c>
      <c r="Z1066" s="14">
        <v>3</v>
      </c>
      <c r="AA1066" s="18">
        <f t="shared" si="220"/>
        <v>3</v>
      </c>
      <c r="AB1066" s="18" t="str">
        <f t="shared" si="221"/>
        <v>No</v>
      </c>
      <c r="AC1066" s="9">
        <v>45385</v>
      </c>
      <c r="AD1066">
        <f>IF(AC1066="",0,LEN(AC1066)-LEN(SUBSTITUTE(AC1066,",",""))+1)</f>
        <v>1</v>
      </c>
    </row>
    <row r="1067" spans="1:30" ht="12.5" x14ac:dyDescent="0.25">
      <c r="A1067" s="1" t="s">
        <v>4166</v>
      </c>
      <c r="B1067" s="1" t="s">
        <v>4167</v>
      </c>
      <c r="C1067" s="1" t="str">
        <v>Dominique Mitchell</v>
      </c>
      <c r="D1067" s="1" t="s">
        <v>4168</v>
      </c>
      <c r="E1067" s="1" t="str">
        <v>juarezralph@gmail.com</v>
      </c>
      <c r="F1067" t="str">
        <f t="shared" si="210"/>
        <v>Valid</v>
      </c>
      <c r="G1067" s="1" t="s">
        <v>119</v>
      </c>
      <c r="H1067" s="1" t="str">
        <f t="shared" si="211"/>
        <v>Female</v>
      </c>
      <c r="I1067" s="1" t="s">
        <v>44</v>
      </c>
      <c r="J1067" t="str">
        <f t="shared" si="212"/>
        <v>CANADA</v>
      </c>
      <c r="K1067" s="14">
        <v>0</v>
      </c>
      <c r="L1067" s="1">
        <f t="shared" si="213"/>
        <v>19</v>
      </c>
      <c r="M1067" s="1" t="str">
        <f t="shared" si="214"/>
        <v>Student</v>
      </c>
      <c r="N1067" s="2">
        <v>45204</v>
      </c>
      <c r="O1067" s="1" t="s">
        <v>114</v>
      </c>
      <c r="P1067" s="1" t="s">
        <v>59</v>
      </c>
      <c r="Q1067" s="4">
        <v>0.56000000000000005</v>
      </c>
      <c r="R1067" s="13">
        <f t="shared" si="215"/>
        <v>56.000000000000007</v>
      </c>
      <c r="S1067" s="6">
        <f t="shared" si="209"/>
        <v>0.56000000000000005</v>
      </c>
      <c r="T1067" s="1">
        <v>45</v>
      </c>
      <c r="U1067" s="1">
        <f t="shared" si="216"/>
        <v>45</v>
      </c>
      <c r="V1067" s="1">
        <f t="shared" si="217"/>
        <v>52.7</v>
      </c>
      <c r="W1067" s="10" t="str">
        <f t="shared" si="218"/>
        <v>Medium</v>
      </c>
      <c r="X1067" s="1" t="s">
        <v>32</v>
      </c>
      <c r="Y1067" s="1" t="str">
        <f t="shared" si="219"/>
        <v>Yes</v>
      </c>
      <c r="Z1067" s="14">
        <v>6</v>
      </c>
      <c r="AA1067" s="18">
        <f t="shared" si="220"/>
        <v>6</v>
      </c>
      <c r="AB1067" s="18" t="str">
        <f t="shared" si="221"/>
        <v>High Performer</v>
      </c>
      <c r="AC1067" s="9" t="s">
        <v>4169</v>
      </c>
      <c r="AD1067">
        <f>IF(AC1067="",0,LEN(AC1067)-LEN(SUBSTITUTE(AC1067,",",""))+1)</f>
        <v>7</v>
      </c>
    </row>
    <row r="1068" spans="1:30" ht="12.5" x14ac:dyDescent="0.25">
      <c r="A1068" s="1" t="s">
        <v>4170</v>
      </c>
      <c r="B1068" s="1" t="s">
        <v>4171</v>
      </c>
      <c r="C1068" s="1" t="str">
        <v>Zachary Harrison</v>
      </c>
      <c r="D1068" s="1" t="s">
        <v>4172</v>
      </c>
      <c r="E1068" s="1" t="str">
        <v>perezmarissa@miller.com</v>
      </c>
      <c r="F1068" t="str">
        <f t="shared" si="210"/>
        <v>Valid</v>
      </c>
      <c r="G1068" s="1" t="s">
        <v>57</v>
      </c>
      <c r="H1068" s="1" t="str">
        <f t="shared" si="211"/>
        <v>Female</v>
      </c>
      <c r="I1068" s="1" t="s">
        <v>51</v>
      </c>
      <c r="J1068" t="str">
        <f t="shared" si="212"/>
        <v>UK</v>
      </c>
      <c r="K1068" s="14">
        <v>0</v>
      </c>
      <c r="L1068" s="1">
        <f t="shared" si="213"/>
        <v>19</v>
      </c>
      <c r="M1068" s="1" t="str">
        <f t="shared" si="214"/>
        <v>Student</v>
      </c>
      <c r="N1068" s="9">
        <v>44792</v>
      </c>
      <c r="O1068" s="1" t="s">
        <v>146</v>
      </c>
      <c r="P1068" s="1" t="s">
        <v>147</v>
      </c>
      <c r="Q1068" s="4">
        <v>15</v>
      </c>
      <c r="R1068" s="13">
        <f t="shared" si="215"/>
        <v>15</v>
      </c>
      <c r="S1068" s="6">
        <f t="shared" si="209"/>
        <v>0.15</v>
      </c>
      <c r="T1068" s="1">
        <v>2</v>
      </c>
      <c r="U1068" s="1">
        <f t="shared" si="216"/>
        <v>2</v>
      </c>
      <c r="V1068" s="1">
        <f t="shared" si="217"/>
        <v>11.1</v>
      </c>
      <c r="W1068" s="10" t="str">
        <f t="shared" si="218"/>
        <v>Low</v>
      </c>
      <c r="X1068" s="1" t="s">
        <v>76</v>
      </c>
      <c r="Y1068" s="1" t="str">
        <f t="shared" si="219"/>
        <v>Yes</v>
      </c>
      <c r="Z1068" s="14">
        <v>1</v>
      </c>
      <c r="AA1068" s="18">
        <f t="shared" si="220"/>
        <v>1</v>
      </c>
      <c r="AB1068" s="18" t="str">
        <f t="shared" si="221"/>
        <v>No</v>
      </c>
      <c r="AC1068" s="9" t="s">
        <v>4173</v>
      </c>
      <c r="AD1068">
        <f>IF(AC1068="",0,LEN(AC1068)-LEN(SUBSTITUTE(AC1068,",",""))+1)</f>
        <v>3</v>
      </c>
    </row>
    <row r="1069" spans="1:30" ht="12.5" x14ac:dyDescent="0.25">
      <c r="A1069" s="1" t="s">
        <v>4174</v>
      </c>
      <c r="B1069" s="1" t="s">
        <v>4175</v>
      </c>
      <c r="C1069" s="1" t="str">
        <v>Jessica Hammond</v>
      </c>
      <c r="D1069" s="1" t="s">
        <v>4176</v>
      </c>
      <c r="E1069" s="1" t="str">
        <v>jennywilliams@fry.com</v>
      </c>
      <c r="F1069" t="str">
        <f t="shared" si="210"/>
        <v>Valid</v>
      </c>
      <c r="G1069" s="1" t="s">
        <v>57</v>
      </c>
      <c r="H1069" s="1" t="str">
        <f t="shared" si="211"/>
        <v>Female</v>
      </c>
      <c r="I1069" s="1" t="s">
        <v>28</v>
      </c>
      <c r="J1069" t="str">
        <f t="shared" si="212"/>
        <v>INDIA</v>
      </c>
      <c r="K1069" s="14">
        <v>34</v>
      </c>
      <c r="L1069" s="1">
        <f t="shared" si="213"/>
        <v>34</v>
      </c>
      <c r="M1069" s="1" t="str">
        <f t="shared" si="214"/>
        <v>Mid Career</v>
      </c>
      <c r="N1069" s="9">
        <v>45033</v>
      </c>
      <c r="O1069" s="1" t="s">
        <v>114</v>
      </c>
      <c r="P1069" s="1" t="s">
        <v>59</v>
      </c>
      <c r="Q1069" s="4">
        <v>0.78</v>
      </c>
      <c r="R1069" s="13">
        <f t="shared" si="215"/>
        <v>78</v>
      </c>
      <c r="S1069" s="6">
        <f t="shared" si="209"/>
        <v>0.78</v>
      </c>
      <c r="T1069" s="1" t="s">
        <v>64</v>
      </c>
      <c r="U1069" s="1">
        <f t="shared" si="216"/>
        <v>2</v>
      </c>
      <c r="V1069" s="1">
        <f t="shared" si="217"/>
        <v>55.199999999999996</v>
      </c>
      <c r="W1069" s="10" t="str">
        <f t="shared" si="218"/>
        <v>Medium</v>
      </c>
      <c r="X1069" s="1">
        <v>0</v>
      </c>
      <c r="Y1069" s="1" t="str">
        <f t="shared" si="219"/>
        <v>No</v>
      </c>
      <c r="Z1069" s="14">
        <v>6</v>
      </c>
      <c r="AA1069" s="18">
        <f t="shared" si="220"/>
        <v>6</v>
      </c>
      <c r="AB1069" s="18" t="str">
        <f t="shared" si="221"/>
        <v>No</v>
      </c>
      <c r="AC1069" s="9" t="s">
        <v>4177</v>
      </c>
      <c r="AD1069">
        <f>IF(AC1069="",0,LEN(AC1069)-LEN(SUBSTITUTE(AC1069,",",""))+1)</f>
        <v>6</v>
      </c>
    </row>
    <row r="1070" spans="1:30" ht="12.5" x14ac:dyDescent="0.25">
      <c r="A1070" s="1" t="s">
        <v>4178</v>
      </c>
      <c r="B1070" s="1" t="s">
        <v>4179</v>
      </c>
      <c r="C1070" s="1" t="str">
        <v>Jeanne Hernandez</v>
      </c>
      <c r="D1070" s="1" t="s">
        <v>4180</v>
      </c>
      <c r="E1070" s="1" t="str">
        <v>perezcourtney@yahoo.com</v>
      </c>
      <c r="F1070" t="str">
        <f t="shared" si="210"/>
        <v>Valid</v>
      </c>
      <c r="G1070" s="1" t="s">
        <v>17</v>
      </c>
      <c r="H1070" s="1" t="str">
        <f t="shared" si="211"/>
        <v>Female</v>
      </c>
      <c r="I1070" s="1" t="s">
        <v>156</v>
      </c>
      <c r="J1070" t="str">
        <f t="shared" si="212"/>
        <v>IN</v>
      </c>
      <c r="L1070" s="1">
        <f t="shared" si="213"/>
        <v>19</v>
      </c>
      <c r="M1070" s="1" t="str">
        <f t="shared" si="214"/>
        <v>Student</v>
      </c>
      <c r="N1070" s="2">
        <v>45017</v>
      </c>
      <c r="O1070" s="1" t="s">
        <v>170</v>
      </c>
      <c r="P1070" s="1" t="s">
        <v>147</v>
      </c>
      <c r="Q1070" s="4">
        <v>0.13</v>
      </c>
      <c r="R1070" s="13">
        <f t="shared" si="215"/>
        <v>13</v>
      </c>
      <c r="S1070" s="6">
        <f t="shared" si="209"/>
        <v>0.13</v>
      </c>
      <c r="T1070" s="1">
        <v>1.5</v>
      </c>
      <c r="U1070" s="1">
        <f t="shared" si="216"/>
        <v>1.5</v>
      </c>
      <c r="V1070" s="1">
        <f t="shared" si="217"/>
        <v>9.5499999999999989</v>
      </c>
      <c r="W1070" s="10" t="str">
        <f t="shared" si="218"/>
        <v>Low</v>
      </c>
      <c r="X1070" s="1" t="s">
        <v>32</v>
      </c>
      <c r="Y1070" s="1" t="str">
        <f t="shared" si="219"/>
        <v>Yes</v>
      </c>
      <c r="Z1070" s="14">
        <v>5</v>
      </c>
      <c r="AA1070" s="18">
        <f t="shared" si="220"/>
        <v>5</v>
      </c>
      <c r="AB1070" s="18" t="str">
        <f t="shared" si="221"/>
        <v>High Performer</v>
      </c>
      <c r="AC1070" s="9" t="s">
        <v>4181</v>
      </c>
      <c r="AD1070">
        <f>IF(AC1070="",0,LEN(AC1070)-LEN(SUBSTITUTE(AC1070,",",""))+1)</f>
        <v>2</v>
      </c>
    </row>
    <row r="1071" spans="1:30" ht="12.5" x14ac:dyDescent="0.25">
      <c r="A1071" s="1" t="s">
        <v>4182</v>
      </c>
      <c r="B1071" s="1" t="s">
        <v>4183</v>
      </c>
      <c r="C1071" s="1" t="str">
        <v>Ryan Guzman</v>
      </c>
      <c r="D1071" s="1" t="s">
        <v>4184</v>
      </c>
      <c r="E1071" s="1" t="str">
        <v>douglasbrandt@gmail.com</v>
      </c>
      <c r="F1071" t="str">
        <f t="shared" si="210"/>
        <v>Valid</v>
      </c>
      <c r="G1071" s="1" t="s">
        <v>17</v>
      </c>
      <c r="H1071" s="1" t="str">
        <f t="shared" si="211"/>
        <v>Female</v>
      </c>
      <c r="I1071" s="1" t="s">
        <v>89</v>
      </c>
      <c r="J1071" t="str">
        <f t="shared" si="212"/>
        <v>GERMANY</v>
      </c>
      <c r="K1071" s="14">
        <v>32</v>
      </c>
      <c r="L1071" s="1">
        <f t="shared" si="213"/>
        <v>32</v>
      </c>
      <c r="M1071" s="1" t="str">
        <f t="shared" si="214"/>
        <v>Mid Career</v>
      </c>
      <c r="N1071" s="9">
        <v>45680</v>
      </c>
      <c r="O1071" s="1" t="s">
        <v>301</v>
      </c>
      <c r="P1071" s="1" t="s">
        <v>20</v>
      </c>
      <c r="Q1071" s="4">
        <v>0.53</v>
      </c>
      <c r="R1071" s="13">
        <f t="shared" si="215"/>
        <v>53</v>
      </c>
      <c r="S1071" s="6">
        <f t="shared" si="209"/>
        <v>0.53</v>
      </c>
      <c r="T1071" s="1">
        <v>45</v>
      </c>
      <c r="U1071" s="1">
        <f t="shared" si="216"/>
        <v>45</v>
      </c>
      <c r="V1071" s="1">
        <f t="shared" si="217"/>
        <v>50.599999999999994</v>
      </c>
      <c r="W1071" s="10" t="str">
        <f t="shared" si="218"/>
        <v>Medium</v>
      </c>
      <c r="X1071" s="1" t="s">
        <v>32</v>
      </c>
      <c r="Y1071" s="1" t="str">
        <f t="shared" si="219"/>
        <v>Yes</v>
      </c>
      <c r="AA1071" s="18" t="str">
        <f t="shared" si="220"/>
        <v>Invalid</v>
      </c>
      <c r="AB1071" s="18" t="str">
        <f t="shared" si="221"/>
        <v>High Performer</v>
      </c>
      <c r="AC1071" s="9" t="s">
        <v>4185</v>
      </c>
      <c r="AD1071">
        <f>IF(AC1071="",0,LEN(AC1071)-LEN(SUBSTITUTE(AC1071,",",""))+1)</f>
        <v>7</v>
      </c>
    </row>
    <row r="1072" spans="1:30" ht="12.5" x14ac:dyDescent="0.25">
      <c r="A1072" s="1" t="s">
        <v>4186</v>
      </c>
      <c r="B1072" s="1" t="s">
        <v>4187</v>
      </c>
      <c r="C1072" s="1" t="str">
        <v>Lisa Jackson</v>
      </c>
      <c r="D1072" s="1" t="s">
        <v>4188</v>
      </c>
      <c r="E1072" s="1" t="str">
        <v>benjamin13@gmail.com</v>
      </c>
      <c r="F1072" t="str">
        <f t="shared" si="210"/>
        <v>Valid</v>
      </c>
      <c r="G1072" s="1" t="s">
        <v>119</v>
      </c>
      <c r="H1072" s="1" t="str">
        <f t="shared" si="211"/>
        <v>Female</v>
      </c>
      <c r="I1072" s="1" t="s">
        <v>28</v>
      </c>
      <c r="J1072" t="str">
        <f t="shared" si="212"/>
        <v>INDIA</v>
      </c>
      <c r="K1072" s="14">
        <v>19</v>
      </c>
      <c r="L1072" s="1">
        <f t="shared" si="213"/>
        <v>19</v>
      </c>
      <c r="M1072" s="1" t="str">
        <f t="shared" si="214"/>
        <v>Student</v>
      </c>
      <c r="N1072" s="9">
        <v>44831</v>
      </c>
      <c r="O1072" s="1" t="s">
        <v>235</v>
      </c>
      <c r="P1072" s="1" t="s">
        <v>147</v>
      </c>
      <c r="Q1072" s="4">
        <v>0.03</v>
      </c>
      <c r="R1072" s="13">
        <f t="shared" si="215"/>
        <v>3</v>
      </c>
      <c r="S1072" s="6">
        <f t="shared" si="209"/>
        <v>0.03</v>
      </c>
      <c r="T1072" s="1" t="s">
        <v>46</v>
      </c>
      <c r="U1072" s="1">
        <f t="shared" si="216"/>
        <v>1</v>
      </c>
      <c r="V1072" s="1">
        <f t="shared" si="217"/>
        <v>2.3999999999999995</v>
      </c>
      <c r="W1072" s="10" t="str">
        <f t="shared" si="218"/>
        <v>Low</v>
      </c>
      <c r="X1072" s="1" t="s">
        <v>22</v>
      </c>
      <c r="Y1072" s="1" t="str">
        <f t="shared" si="219"/>
        <v>No</v>
      </c>
      <c r="Z1072" s="14">
        <v>1</v>
      </c>
      <c r="AA1072" s="18">
        <f t="shared" si="220"/>
        <v>1</v>
      </c>
      <c r="AB1072" s="18" t="str">
        <f t="shared" si="221"/>
        <v>No</v>
      </c>
      <c r="AC1072" s="9" t="s">
        <v>2332</v>
      </c>
      <c r="AD1072">
        <f>IF(AC1072="",0,LEN(AC1072)-LEN(SUBSTITUTE(AC1072,",",""))+1)</f>
        <v>1</v>
      </c>
    </row>
    <row r="1073" spans="1:30" ht="12.5" x14ac:dyDescent="0.25">
      <c r="A1073" s="1" t="s">
        <v>4189</v>
      </c>
      <c r="B1073" s="1" t="s">
        <v>4190</v>
      </c>
      <c r="C1073" s="1" t="str">
        <v>Keith Vincent</v>
      </c>
      <c r="D1073" s="1" t="s">
        <v>4191</v>
      </c>
      <c r="E1073" s="1" t="str">
        <v>smithmadison@pineda-newman.com</v>
      </c>
      <c r="F1073" t="str">
        <f t="shared" si="210"/>
        <v>Valid</v>
      </c>
      <c r="G1073" s="1" t="s">
        <v>27</v>
      </c>
      <c r="H1073" s="1" t="str">
        <f t="shared" si="211"/>
        <v>Male</v>
      </c>
      <c r="I1073" s="1" t="s">
        <v>136</v>
      </c>
      <c r="J1073" t="str">
        <f t="shared" si="212"/>
        <v>UK</v>
      </c>
      <c r="K1073" s="14">
        <v>0</v>
      </c>
      <c r="L1073" s="1">
        <f t="shared" si="213"/>
        <v>19</v>
      </c>
      <c r="M1073" s="1" t="str">
        <f t="shared" si="214"/>
        <v>Student</v>
      </c>
      <c r="N1073" s="9">
        <v>45250</v>
      </c>
      <c r="O1073" s="1" t="s">
        <v>146</v>
      </c>
      <c r="P1073" s="1" t="s">
        <v>147</v>
      </c>
      <c r="Q1073" s="4">
        <v>0.81</v>
      </c>
      <c r="R1073" s="13">
        <f t="shared" si="215"/>
        <v>81</v>
      </c>
      <c r="S1073" s="6">
        <f t="shared" si="209"/>
        <v>0.81</v>
      </c>
      <c r="T1073" s="1">
        <v>2</v>
      </c>
      <c r="U1073" s="1">
        <f t="shared" si="216"/>
        <v>2</v>
      </c>
      <c r="V1073" s="1">
        <f t="shared" si="217"/>
        <v>57.3</v>
      </c>
      <c r="W1073" s="10" t="str">
        <f t="shared" si="218"/>
        <v>Medium</v>
      </c>
      <c r="X1073" s="1" t="s">
        <v>38</v>
      </c>
      <c r="Y1073" s="1" t="str">
        <f t="shared" si="219"/>
        <v>No</v>
      </c>
      <c r="AA1073" s="18" t="str">
        <f t="shared" si="220"/>
        <v>Invalid</v>
      </c>
      <c r="AB1073" s="18" t="str">
        <f t="shared" si="221"/>
        <v>No</v>
      </c>
      <c r="AC1073" s="9" t="s">
        <v>4192</v>
      </c>
      <c r="AD1073">
        <f>IF(AC1073="",0,LEN(AC1073)-LEN(SUBSTITUTE(AC1073,",",""))+1)</f>
        <v>6</v>
      </c>
    </row>
    <row r="1074" spans="1:30" ht="12.5" x14ac:dyDescent="0.25">
      <c r="A1074" s="1" t="s">
        <v>4193</v>
      </c>
      <c r="B1074" s="1" t="s">
        <v>4194</v>
      </c>
      <c r="C1074" s="1" t="str">
        <v>Melanie Salazar</v>
      </c>
      <c r="D1074" s="1" t="s">
        <v>127</v>
      </c>
      <c r="E1074" s="1" t="str">
        <v>invalid-email</v>
      </c>
      <c r="F1074" t="str">
        <f t="shared" si="210"/>
        <v>Invalid</v>
      </c>
      <c r="G1074" s="1" t="s">
        <v>17</v>
      </c>
      <c r="H1074" s="1" t="str">
        <f t="shared" si="211"/>
        <v>Female</v>
      </c>
      <c r="I1074" s="1" t="s">
        <v>156</v>
      </c>
      <c r="J1074" t="str">
        <f t="shared" si="212"/>
        <v>IN</v>
      </c>
      <c r="K1074" s="14">
        <v>34</v>
      </c>
      <c r="L1074" s="1">
        <f t="shared" si="213"/>
        <v>34</v>
      </c>
      <c r="M1074" s="1" t="str">
        <f t="shared" si="214"/>
        <v>Mid Career</v>
      </c>
      <c r="N1074" s="2">
        <v>45841</v>
      </c>
      <c r="O1074" s="1" t="s">
        <v>90</v>
      </c>
      <c r="P1074" s="1" t="s">
        <v>31</v>
      </c>
      <c r="Q1074" s="4">
        <v>0.26</v>
      </c>
      <c r="R1074" s="13">
        <f t="shared" si="215"/>
        <v>26</v>
      </c>
      <c r="S1074" s="6">
        <f t="shared" si="209"/>
        <v>0.26</v>
      </c>
      <c r="T1074" s="1" t="s">
        <v>21</v>
      </c>
      <c r="U1074" s="1">
        <f t="shared" si="216"/>
        <v>1.5</v>
      </c>
      <c r="V1074" s="1">
        <f t="shared" si="217"/>
        <v>18.649999999999999</v>
      </c>
      <c r="W1074" s="10" t="str">
        <f t="shared" si="218"/>
        <v>Low</v>
      </c>
      <c r="X1074" s="1" t="s">
        <v>22</v>
      </c>
      <c r="Y1074" s="1" t="str">
        <f t="shared" si="219"/>
        <v>No</v>
      </c>
      <c r="Z1074" s="14">
        <v>2</v>
      </c>
      <c r="AA1074" s="18">
        <f t="shared" si="220"/>
        <v>2</v>
      </c>
      <c r="AB1074" s="18" t="str">
        <f t="shared" si="221"/>
        <v>No</v>
      </c>
      <c r="AC1074" s="9">
        <v>45841</v>
      </c>
      <c r="AD1074">
        <f>IF(AC1074="",0,LEN(AC1074)-LEN(SUBSTITUTE(AC1074,",",""))+1)</f>
        <v>1</v>
      </c>
    </row>
    <row r="1075" spans="1:30" ht="12.5" x14ac:dyDescent="0.25">
      <c r="A1075" s="1" t="s">
        <v>4195</v>
      </c>
      <c r="B1075" s="1" t="s">
        <v>4196</v>
      </c>
      <c r="C1075" s="1" t="str">
        <v>Steven Gibson</v>
      </c>
      <c r="D1075" s="1" t="s">
        <v>4197</v>
      </c>
      <c r="E1075" s="1" t="str">
        <v>drewwalsh@gmail.com</v>
      </c>
      <c r="F1075" t="str">
        <f t="shared" si="210"/>
        <v>Valid</v>
      </c>
      <c r="G1075" s="1" t="s">
        <v>27</v>
      </c>
      <c r="H1075" s="1" t="str">
        <f t="shared" si="211"/>
        <v>Male</v>
      </c>
      <c r="I1075" s="1" t="s">
        <v>156</v>
      </c>
      <c r="J1075" t="str">
        <f t="shared" si="212"/>
        <v>IN</v>
      </c>
      <c r="L1075" s="1">
        <f t="shared" si="213"/>
        <v>19</v>
      </c>
      <c r="M1075" s="1" t="str">
        <f t="shared" si="214"/>
        <v>Student</v>
      </c>
      <c r="N1075" s="9">
        <v>45194</v>
      </c>
      <c r="O1075" s="1" t="s">
        <v>90</v>
      </c>
      <c r="P1075" s="1" t="s">
        <v>31</v>
      </c>
      <c r="Q1075" s="4">
        <v>0.65</v>
      </c>
      <c r="R1075" s="13">
        <f t="shared" si="215"/>
        <v>65</v>
      </c>
      <c r="S1075" s="6">
        <f t="shared" si="209"/>
        <v>0.65</v>
      </c>
      <c r="T1075" s="1">
        <v>2</v>
      </c>
      <c r="U1075" s="1">
        <f t="shared" si="216"/>
        <v>2</v>
      </c>
      <c r="V1075" s="1">
        <f t="shared" si="217"/>
        <v>46.1</v>
      </c>
      <c r="W1075" s="10" t="str">
        <f t="shared" si="218"/>
        <v>Medium</v>
      </c>
      <c r="X1075" s="1" t="s">
        <v>38</v>
      </c>
      <c r="Y1075" s="1" t="str">
        <f t="shared" si="219"/>
        <v>No</v>
      </c>
      <c r="Z1075" s="14">
        <v>4</v>
      </c>
      <c r="AA1075" s="18">
        <f t="shared" si="220"/>
        <v>4</v>
      </c>
      <c r="AB1075" s="18" t="str">
        <f t="shared" si="221"/>
        <v>No</v>
      </c>
      <c r="AC1075" s="9" t="s">
        <v>4198</v>
      </c>
      <c r="AD1075">
        <f>IF(AC1075="",0,LEN(AC1075)-LEN(SUBSTITUTE(AC1075,",",""))+1)</f>
        <v>5</v>
      </c>
    </row>
    <row r="1076" spans="1:30" ht="12.5" x14ac:dyDescent="0.25">
      <c r="A1076" s="1" t="s">
        <v>4199</v>
      </c>
      <c r="B1076" s="1" t="s">
        <v>4200</v>
      </c>
      <c r="C1076" s="1" t="str">
        <v>Alex Trujillo</v>
      </c>
      <c r="D1076" s="1" t="s">
        <v>4201</v>
      </c>
      <c r="E1076" s="1" t="str">
        <v>stevensjennifer@christian.com</v>
      </c>
      <c r="F1076" t="str">
        <f t="shared" si="210"/>
        <v>Valid</v>
      </c>
      <c r="G1076" s="1" t="s">
        <v>43</v>
      </c>
      <c r="H1076" s="1" t="str">
        <f t="shared" si="211"/>
        <v>Female</v>
      </c>
      <c r="I1076" s="1" t="s">
        <v>51</v>
      </c>
      <c r="J1076" t="str">
        <f t="shared" si="212"/>
        <v>UK</v>
      </c>
      <c r="K1076" s="14">
        <v>21</v>
      </c>
      <c r="L1076" s="1">
        <f t="shared" si="213"/>
        <v>21</v>
      </c>
      <c r="M1076" s="1" t="str">
        <f t="shared" si="214"/>
        <v>Student</v>
      </c>
      <c r="N1076" s="2">
        <v>44938</v>
      </c>
      <c r="O1076" s="1" t="s">
        <v>45</v>
      </c>
      <c r="P1076" s="1" t="s">
        <v>20</v>
      </c>
      <c r="Q1076" s="4">
        <v>0.77</v>
      </c>
      <c r="R1076" s="13">
        <f t="shared" si="215"/>
        <v>77</v>
      </c>
      <c r="S1076" s="6">
        <f t="shared" si="209"/>
        <v>0.77</v>
      </c>
      <c r="T1076" s="1" t="s">
        <v>64</v>
      </c>
      <c r="U1076" s="1">
        <f t="shared" si="216"/>
        <v>2</v>
      </c>
      <c r="V1076" s="1">
        <f t="shared" si="217"/>
        <v>54.5</v>
      </c>
      <c r="W1076" s="10" t="str">
        <f t="shared" si="218"/>
        <v>Medium</v>
      </c>
      <c r="X1076" s="1" t="s">
        <v>76</v>
      </c>
      <c r="Y1076" s="1" t="str">
        <f t="shared" si="219"/>
        <v>Yes</v>
      </c>
      <c r="AA1076" s="18" t="str">
        <f t="shared" si="220"/>
        <v>Invalid</v>
      </c>
      <c r="AB1076" s="18" t="str">
        <f t="shared" si="221"/>
        <v>High Performer</v>
      </c>
      <c r="AC1076" s="9" t="s">
        <v>4202</v>
      </c>
      <c r="AD1076">
        <f>IF(AC1076="",0,LEN(AC1076)-LEN(SUBSTITUTE(AC1076,",",""))+1)</f>
        <v>5</v>
      </c>
    </row>
    <row r="1077" spans="1:30" ht="12.5" x14ac:dyDescent="0.25">
      <c r="A1077" s="1" t="s">
        <v>4203</v>
      </c>
      <c r="B1077" s="1" t="s">
        <v>2045</v>
      </c>
      <c r="C1077" s="1" t="str">
        <v>Nicholas Wallace</v>
      </c>
      <c r="D1077" s="1" t="s">
        <v>4204</v>
      </c>
      <c r="E1077" s="1" t="str">
        <v>ucox@hotmail.com</v>
      </c>
      <c r="F1077" t="str">
        <f t="shared" si="210"/>
        <v>Valid</v>
      </c>
      <c r="G1077" s="1" t="s">
        <v>43</v>
      </c>
      <c r="H1077" s="1" t="str">
        <f t="shared" si="211"/>
        <v>Female</v>
      </c>
      <c r="I1077" s="1" t="s">
        <v>44</v>
      </c>
      <c r="J1077" t="str">
        <f t="shared" si="212"/>
        <v>CANADA</v>
      </c>
      <c r="K1077" s="14">
        <v>0</v>
      </c>
      <c r="L1077" s="1">
        <f t="shared" si="213"/>
        <v>19</v>
      </c>
      <c r="M1077" s="1" t="str">
        <f t="shared" si="214"/>
        <v>Student</v>
      </c>
      <c r="N1077" s="9">
        <v>44981</v>
      </c>
      <c r="O1077" s="1" t="s">
        <v>235</v>
      </c>
      <c r="P1077" s="1" t="s">
        <v>147</v>
      </c>
      <c r="Q1077" s="4">
        <v>0.75</v>
      </c>
      <c r="R1077" s="13">
        <f t="shared" si="215"/>
        <v>75</v>
      </c>
      <c r="S1077" s="6">
        <f t="shared" si="209"/>
        <v>0.75</v>
      </c>
      <c r="T1077" s="1" t="s">
        <v>46</v>
      </c>
      <c r="U1077" s="1">
        <f t="shared" si="216"/>
        <v>1</v>
      </c>
      <c r="V1077" s="1">
        <f t="shared" si="217"/>
        <v>52.8</v>
      </c>
      <c r="W1077" s="10" t="str">
        <f t="shared" si="218"/>
        <v>Medium</v>
      </c>
      <c r="X1077" s="1" t="s">
        <v>76</v>
      </c>
      <c r="Y1077" s="1" t="str">
        <f t="shared" si="219"/>
        <v>Yes</v>
      </c>
      <c r="Z1077" s="14">
        <v>6</v>
      </c>
      <c r="AA1077" s="18">
        <f t="shared" si="220"/>
        <v>6</v>
      </c>
      <c r="AB1077" s="18" t="str">
        <f t="shared" si="221"/>
        <v>High Performer</v>
      </c>
      <c r="AC1077" s="9" t="s">
        <v>4205</v>
      </c>
      <c r="AD1077">
        <f>IF(AC1077="",0,LEN(AC1077)-LEN(SUBSTITUTE(AC1077,",",""))+1)</f>
        <v>5</v>
      </c>
    </row>
    <row r="1078" spans="1:30" ht="12.5" x14ac:dyDescent="0.25">
      <c r="A1078" s="1" t="s">
        <v>4206</v>
      </c>
      <c r="B1078" s="1" t="s">
        <v>4207</v>
      </c>
      <c r="C1078" s="1" t="str">
        <v>Micheal Carroll</v>
      </c>
      <c r="D1078" s="1" t="s">
        <v>4208</v>
      </c>
      <c r="E1078" s="1" t="str">
        <v>wkelley@yahoo.com</v>
      </c>
      <c r="F1078" t="str">
        <f t="shared" si="210"/>
        <v>Valid</v>
      </c>
      <c r="G1078" s="1" t="s">
        <v>88</v>
      </c>
      <c r="H1078" s="1" t="str">
        <f t="shared" si="211"/>
        <v>Male</v>
      </c>
      <c r="I1078" s="1" t="s">
        <v>51</v>
      </c>
      <c r="J1078" t="str">
        <f t="shared" si="212"/>
        <v>UK</v>
      </c>
      <c r="L1078" s="1">
        <f t="shared" si="213"/>
        <v>19</v>
      </c>
      <c r="M1078" s="1" t="str">
        <f t="shared" si="214"/>
        <v>Student</v>
      </c>
      <c r="N1078" s="9">
        <v>45277</v>
      </c>
      <c r="O1078" s="1" t="s">
        <v>235</v>
      </c>
      <c r="P1078" s="1" t="s">
        <v>147</v>
      </c>
      <c r="Q1078" s="4">
        <v>0.92</v>
      </c>
      <c r="R1078" s="13">
        <f t="shared" si="215"/>
        <v>92</v>
      </c>
      <c r="S1078" s="6">
        <f t="shared" si="209"/>
        <v>0.92</v>
      </c>
      <c r="T1078" s="1" t="s">
        <v>21</v>
      </c>
      <c r="U1078" s="1">
        <f t="shared" si="216"/>
        <v>1.5</v>
      </c>
      <c r="V1078" s="1">
        <f t="shared" si="217"/>
        <v>64.849999999999994</v>
      </c>
      <c r="W1078" s="10" t="str">
        <f t="shared" si="218"/>
        <v>Medium</v>
      </c>
      <c r="X1078" s="1" t="s">
        <v>32</v>
      </c>
      <c r="Y1078" s="1" t="str">
        <f t="shared" si="219"/>
        <v>Yes</v>
      </c>
      <c r="Z1078" s="14">
        <v>4</v>
      </c>
      <c r="AA1078" s="18">
        <f t="shared" si="220"/>
        <v>4</v>
      </c>
      <c r="AB1078" s="18" t="str">
        <f t="shared" si="221"/>
        <v>High Performer</v>
      </c>
      <c r="AC1078" s="9" t="s">
        <v>1460</v>
      </c>
      <c r="AD1078">
        <f>IF(AC1078="",0,LEN(AC1078)-LEN(SUBSTITUTE(AC1078,",",""))+1)</f>
        <v>6</v>
      </c>
    </row>
    <row r="1079" spans="1:30" ht="12.5" x14ac:dyDescent="0.25">
      <c r="A1079" s="1" t="s">
        <v>4209</v>
      </c>
      <c r="B1079" s="1" t="s">
        <v>4210</v>
      </c>
      <c r="C1079" s="1" t="str">
        <v>Brian Pearson</v>
      </c>
      <c r="D1079" s="1" t="s">
        <v>4211</v>
      </c>
      <c r="E1079" s="1" t="str">
        <v>nwilliams@yahoo.com</v>
      </c>
      <c r="F1079" t="str">
        <f t="shared" si="210"/>
        <v>Valid</v>
      </c>
      <c r="G1079" s="1" t="s">
        <v>95</v>
      </c>
      <c r="H1079" s="1" t="str">
        <f t="shared" si="211"/>
        <v>Male</v>
      </c>
      <c r="I1079" s="1" t="s">
        <v>44</v>
      </c>
      <c r="J1079" t="str">
        <f t="shared" si="212"/>
        <v>CANADA</v>
      </c>
      <c r="L1079" s="1">
        <f t="shared" si="213"/>
        <v>19</v>
      </c>
      <c r="M1079" s="1" t="str">
        <f t="shared" si="214"/>
        <v>Student</v>
      </c>
      <c r="N1079" s="3">
        <v>45210</v>
      </c>
      <c r="O1079" s="1" t="s">
        <v>235</v>
      </c>
      <c r="P1079" s="1" t="s">
        <v>147</v>
      </c>
      <c r="Q1079" s="4">
        <v>79</v>
      </c>
      <c r="R1079" s="13">
        <f t="shared" si="215"/>
        <v>79</v>
      </c>
      <c r="S1079" s="6">
        <f t="shared" si="209"/>
        <v>0.79</v>
      </c>
      <c r="T1079" s="1">
        <v>1.5</v>
      </c>
      <c r="U1079" s="1">
        <f t="shared" si="216"/>
        <v>1.5</v>
      </c>
      <c r="V1079" s="1">
        <f t="shared" si="217"/>
        <v>55.75</v>
      </c>
      <c r="W1079" s="10" t="str">
        <f t="shared" si="218"/>
        <v>Medium</v>
      </c>
      <c r="X1079" s="1" t="s">
        <v>22</v>
      </c>
      <c r="Y1079" s="1" t="str">
        <f t="shared" si="219"/>
        <v>No</v>
      </c>
      <c r="Z1079" s="14">
        <v>1</v>
      </c>
      <c r="AA1079" s="18">
        <f t="shared" si="220"/>
        <v>1</v>
      </c>
      <c r="AB1079" s="18" t="str">
        <f t="shared" si="221"/>
        <v>No</v>
      </c>
      <c r="AC1079" s="9" t="s">
        <v>3894</v>
      </c>
      <c r="AD1079">
        <f>IF(AC1079="",0,LEN(AC1079)-LEN(SUBSTITUTE(AC1079,",",""))+1)</f>
        <v>2</v>
      </c>
    </row>
    <row r="1080" spans="1:30" ht="12.5" x14ac:dyDescent="0.25">
      <c r="A1080" s="1" t="s">
        <v>4212</v>
      </c>
      <c r="B1080" s="1" t="s">
        <v>4213</v>
      </c>
      <c r="C1080" s="1" t="str">
        <v>Jessica Hahn</v>
      </c>
      <c r="D1080" s="1" t="s">
        <v>4214</v>
      </c>
      <c r="E1080" s="1" t="str">
        <v>paulestrada@terrell-becker.com</v>
      </c>
      <c r="F1080" t="str">
        <f t="shared" si="210"/>
        <v>Valid</v>
      </c>
      <c r="G1080" s="1" t="s">
        <v>88</v>
      </c>
      <c r="H1080" s="1" t="str">
        <f t="shared" si="211"/>
        <v>Male</v>
      </c>
      <c r="I1080" s="1" t="s">
        <v>28</v>
      </c>
      <c r="J1080" t="str">
        <f t="shared" si="212"/>
        <v>INDIA</v>
      </c>
      <c r="K1080" s="14">
        <v>27</v>
      </c>
      <c r="L1080" s="1">
        <f t="shared" si="213"/>
        <v>27</v>
      </c>
      <c r="M1080" s="1" t="str">
        <f t="shared" si="214"/>
        <v>Early Career</v>
      </c>
      <c r="N1080" s="2">
        <v>45604</v>
      </c>
      <c r="O1080" s="1" t="s">
        <v>19</v>
      </c>
      <c r="P1080" s="1" t="s">
        <v>20</v>
      </c>
      <c r="Q1080" s="4">
        <v>0.54</v>
      </c>
      <c r="R1080" s="13">
        <f t="shared" si="215"/>
        <v>54</v>
      </c>
      <c r="S1080" s="6">
        <f t="shared" si="209"/>
        <v>0.54</v>
      </c>
      <c r="T1080" s="1" t="s">
        <v>21</v>
      </c>
      <c r="U1080" s="1">
        <f t="shared" si="216"/>
        <v>1.5</v>
      </c>
      <c r="V1080" s="1">
        <f t="shared" si="217"/>
        <v>38.25</v>
      </c>
      <c r="W1080" s="10" t="str">
        <f t="shared" si="218"/>
        <v>Low</v>
      </c>
      <c r="X1080" s="1" t="s">
        <v>32</v>
      </c>
      <c r="Y1080" s="1" t="str">
        <f t="shared" si="219"/>
        <v>Yes</v>
      </c>
      <c r="AA1080" s="18" t="str">
        <f t="shared" si="220"/>
        <v>Invalid</v>
      </c>
      <c r="AB1080" s="18" t="str">
        <f t="shared" si="221"/>
        <v>High Performer</v>
      </c>
      <c r="AC1080" s="9" t="s">
        <v>4215</v>
      </c>
      <c r="AD1080">
        <f>IF(AC1080="",0,LEN(AC1080)-LEN(SUBSTITUTE(AC1080,",",""))+1)</f>
        <v>6</v>
      </c>
    </row>
    <row r="1081" spans="1:30" ht="12.5" x14ac:dyDescent="0.25">
      <c r="A1081" s="1" t="s">
        <v>4216</v>
      </c>
      <c r="B1081" s="1" t="s">
        <v>4217</v>
      </c>
      <c r="C1081" s="1" t="str">
        <v>Jason Mcdonald</v>
      </c>
      <c r="D1081" s="1" t="s">
        <v>4218</v>
      </c>
      <c r="E1081" s="1" t="str">
        <v>wstewart@schmidt.com</v>
      </c>
      <c r="F1081" t="str">
        <f t="shared" si="210"/>
        <v>Valid</v>
      </c>
      <c r="G1081" s="1" t="s">
        <v>119</v>
      </c>
      <c r="H1081" s="1" t="str">
        <f t="shared" si="211"/>
        <v>Female</v>
      </c>
      <c r="I1081" s="1" t="s">
        <v>51</v>
      </c>
      <c r="J1081" t="str">
        <f t="shared" si="212"/>
        <v>UK</v>
      </c>
      <c r="K1081" s="14">
        <v>18</v>
      </c>
      <c r="L1081" s="1">
        <f t="shared" si="213"/>
        <v>18</v>
      </c>
      <c r="M1081" s="1" t="str">
        <f t="shared" si="214"/>
        <v>Student</v>
      </c>
      <c r="N1081" s="9">
        <v>45654</v>
      </c>
      <c r="O1081" s="1" t="s">
        <v>170</v>
      </c>
      <c r="P1081" s="1" t="s">
        <v>147</v>
      </c>
      <c r="Q1081" s="4">
        <v>0.81</v>
      </c>
      <c r="R1081" s="13">
        <f t="shared" si="215"/>
        <v>81</v>
      </c>
      <c r="S1081" s="6">
        <f t="shared" si="209"/>
        <v>0.81</v>
      </c>
      <c r="T1081" s="1" t="s">
        <v>21</v>
      </c>
      <c r="U1081" s="1">
        <f t="shared" si="216"/>
        <v>1.5</v>
      </c>
      <c r="V1081" s="1">
        <f t="shared" si="217"/>
        <v>57.15</v>
      </c>
      <c r="W1081" s="10" t="str">
        <f t="shared" si="218"/>
        <v>Medium</v>
      </c>
      <c r="X1081" s="1" t="s">
        <v>22</v>
      </c>
      <c r="Y1081" s="1" t="str">
        <f t="shared" si="219"/>
        <v>No</v>
      </c>
      <c r="AA1081" s="18" t="str">
        <f t="shared" si="220"/>
        <v>Invalid</v>
      </c>
      <c r="AB1081" s="18" t="str">
        <f t="shared" si="221"/>
        <v>No</v>
      </c>
      <c r="AC1081" s="9" t="s">
        <v>4219</v>
      </c>
      <c r="AD1081">
        <f>IF(AC1081="",0,LEN(AC1081)-LEN(SUBSTITUTE(AC1081,",",""))+1)</f>
        <v>8</v>
      </c>
    </row>
    <row r="1082" spans="1:30" ht="12.5" x14ac:dyDescent="0.25">
      <c r="A1082" s="1" t="s">
        <v>4220</v>
      </c>
      <c r="B1082" s="1" t="s">
        <v>4221</v>
      </c>
      <c r="C1082" s="1" t="str">
        <v>Amy Phelps</v>
      </c>
      <c r="D1082" s="1" t="s">
        <v>4222</v>
      </c>
      <c r="E1082" s="1" t="str">
        <v>james23@yahoo.com</v>
      </c>
      <c r="F1082" t="str">
        <f t="shared" si="210"/>
        <v>Valid</v>
      </c>
      <c r="G1082" s="1" t="s">
        <v>43</v>
      </c>
      <c r="H1082" s="1" t="str">
        <f t="shared" si="211"/>
        <v>Female</v>
      </c>
      <c r="I1082" s="1" t="s">
        <v>74</v>
      </c>
      <c r="J1082" t="str">
        <f t="shared" si="212"/>
        <v>USA</v>
      </c>
      <c r="K1082" s="14">
        <v>0</v>
      </c>
      <c r="L1082" s="1">
        <f t="shared" si="213"/>
        <v>19</v>
      </c>
      <c r="M1082" s="1" t="str">
        <f t="shared" si="214"/>
        <v>Student</v>
      </c>
      <c r="N1082" s="9">
        <v>44759</v>
      </c>
      <c r="O1082" s="1" t="s">
        <v>114</v>
      </c>
      <c r="P1082" s="1" t="s">
        <v>59</v>
      </c>
      <c r="Q1082" s="4">
        <v>0.72</v>
      </c>
      <c r="R1082" s="13">
        <f t="shared" si="215"/>
        <v>72</v>
      </c>
      <c r="S1082" s="6">
        <f t="shared" si="209"/>
        <v>0.72</v>
      </c>
      <c r="T1082" s="1">
        <v>2</v>
      </c>
      <c r="U1082" s="1">
        <f t="shared" si="216"/>
        <v>2</v>
      </c>
      <c r="V1082" s="1">
        <f t="shared" si="217"/>
        <v>51</v>
      </c>
      <c r="W1082" s="10" t="str">
        <f t="shared" si="218"/>
        <v>Medium</v>
      </c>
      <c r="X1082" s="1" t="s">
        <v>76</v>
      </c>
      <c r="Y1082" s="1" t="str">
        <f t="shared" si="219"/>
        <v>Yes</v>
      </c>
      <c r="Z1082" s="14">
        <v>4</v>
      </c>
      <c r="AA1082" s="18">
        <f t="shared" si="220"/>
        <v>4</v>
      </c>
      <c r="AB1082" s="18" t="str">
        <f t="shared" si="221"/>
        <v>High Performer</v>
      </c>
      <c r="AC1082" s="9" t="s">
        <v>4223</v>
      </c>
      <c r="AD1082">
        <f>IF(AC1082="",0,LEN(AC1082)-LEN(SUBSTITUTE(AC1082,",",""))+1)</f>
        <v>5</v>
      </c>
    </row>
    <row r="1083" spans="1:30" ht="12.5" x14ac:dyDescent="0.25">
      <c r="A1083" s="1" t="s">
        <v>4224</v>
      </c>
      <c r="B1083" s="1" t="s">
        <v>4225</v>
      </c>
      <c r="C1083" s="1" t="str">
        <v>Sandra Alvarez</v>
      </c>
      <c r="D1083" s="1" t="s">
        <v>4226</v>
      </c>
      <c r="E1083" s="1" t="str">
        <v>kevin82@martin.net</v>
      </c>
      <c r="F1083" t="str">
        <f t="shared" si="210"/>
        <v>Valid</v>
      </c>
      <c r="G1083" s="1" t="s">
        <v>27</v>
      </c>
      <c r="H1083" s="1" t="str">
        <f t="shared" si="211"/>
        <v>Male</v>
      </c>
      <c r="I1083" s="1" t="s">
        <v>44</v>
      </c>
      <c r="J1083" t="str">
        <f t="shared" si="212"/>
        <v>CANADA</v>
      </c>
      <c r="L1083" s="1">
        <f t="shared" si="213"/>
        <v>19</v>
      </c>
      <c r="M1083" s="1" t="str">
        <f t="shared" si="214"/>
        <v>Student</v>
      </c>
      <c r="N1083" s="9">
        <v>44760</v>
      </c>
      <c r="O1083" s="1" t="s">
        <v>58</v>
      </c>
      <c r="P1083" s="1" t="s">
        <v>59</v>
      </c>
      <c r="Q1083" s="4">
        <v>0.01</v>
      </c>
      <c r="R1083" s="13">
        <f t="shared" si="215"/>
        <v>1</v>
      </c>
      <c r="S1083" s="6">
        <f t="shared" si="209"/>
        <v>0.01</v>
      </c>
      <c r="T1083" s="1" t="s">
        <v>64</v>
      </c>
      <c r="U1083" s="1">
        <f t="shared" si="216"/>
        <v>2</v>
      </c>
      <c r="V1083" s="1">
        <f t="shared" si="217"/>
        <v>1.2999999999999998</v>
      </c>
      <c r="W1083" s="10" t="str">
        <f t="shared" si="218"/>
        <v>Low</v>
      </c>
      <c r="X1083" s="1" t="s">
        <v>32</v>
      </c>
      <c r="Y1083" s="1" t="str">
        <f t="shared" si="219"/>
        <v>Yes</v>
      </c>
      <c r="Z1083" s="14">
        <v>5</v>
      </c>
      <c r="AA1083" s="18">
        <f t="shared" si="220"/>
        <v>5</v>
      </c>
      <c r="AB1083" s="18" t="str">
        <f t="shared" si="221"/>
        <v>High Performer</v>
      </c>
      <c r="AC1083" s="9" t="s">
        <v>4227</v>
      </c>
      <c r="AD1083">
        <f>IF(AC1083="",0,LEN(AC1083)-LEN(SUBSTITUTE(AC1083,",",""))+1)</f>
        <v>8</v>
      </c>
    </row>
    <row r="1084" spans="1:30" ht="12.5" x14ac:dyDescent="0.25">
      <c r="A1084" s="1" t="s">
        <v>4228</v>
      </c>
      <c r="B1084" s="1" t="s">
        <v>4229</v>
      </c>
      <c r="C1084" s="1" t="str">
        <v>Melissa Campbell</v>
      </c>
      <c r="D1084" s="1" t="s">
        <v>4230</v>
      </c>
      <c r="E1084" s="1" t="str">
        <v>beckdwayne@davis-williams.biz</v>
      </c>
      <c r="F1084" t="str">
        <f t="shared" si="210"/>
        <v>Valid</v>
      </c>
      <c r="G1084" s="1" t="s">
        <v>88</v>
      </c>
      <c r="H1084" s="1" t="str">
        <f t="shared" si="211"/>
        <v>Male</v>
      </c>
      <c r="I1084" s="1" t="s">
        <v>96</v>
      </c>
      <c r="J1084" t="str">
        <f t="shared" si="212"/>
        <v>INDIA</v>
      </c>
      <c r="L1084" s="1">
        <f t="shared" si="213"/>
        <v>19</v>
      </c>
      <c r="M1084" s="1" t="str">
        <f t="shared" si="214"/>
        <v>Student</v>
      </c>
      <c r="N1084" s="9">
        <v>45618</v>
      </c>
      <c r="O1084" s="1" t="s">
        <v>45</v>
      </c>
      <c r="P1084" s="1" t="s">
        <v>20</v>
      </c>
      <c r="Q1084" s="4">
        <v>0.56999999999999995</v>
      </c>
      <c r="R1084" s="13">
        <f t="shared" si="215"/>
        <v>56.999999999999993</v>
      </c>
      <c r="S1084" s="6">
        <f t="shared" si="209"/>
        <v>0.56999999999999995</v>
      </c>
      <c r="T1084" s="1" t="s">
        <v>21</v>
      </c>
      <c r="U1084" s="1">
        <f t="shared" si="216"/>
        <v>1.5</v>
      </c>
      <c r="V1084" s="1">
        <f t="shared" si="217"/>
        <v>40.349999999999994</v>
      </c>
      <c r="W1084" s="10" t="str">
        <f t="shared" si="218"/>
        <v>Low</v>
      </c>
      <c r="X1084" s="1">
        <v>0</v>
      </c>
      <c r="Y1084" s="1" t="str">
        <f t="shared" si="219"/>
        <v>No</v>
      </c>
      <c r="Z1084" s="14">
        <v>6</v>
      </c>
      <c r="AA1084" s="18">
        <f t="shared" si="220"/>
        <v>6</v>
      </c>
      <c r="AB1084" s="18" t="str">
        <f t="shared" si="221"/>
        <v>No</v>
      </c>
      <c r="AC1084" s="9" t="s">
        <v>4231</v>
      </c>
      <c r="AD1084">
        <f>IF(AC1084="",0,LEN(AC1084)-LEN(SUBSTITUTE(AC1084,",",""))+1)</f>
        <v>5</v>
      </c>
    </row>
    <row r="1085" spans="1:30" ht="12.5" x14ac:dyDescent="0.25">
      <c r="A1085" s="1" t="s">
        <v>4232</v>
      </c>
      <c r="B1085" s="1" t="s">
        <v>4233</v>
      </c>
      <c r="C1085" s="1" t="str">
        <v>Michael Meyers</v>
      </c>
      <c r="D1085" s="1" t="s">
        <v>4234</v>
      </c>
      <c r="E1085" s="1" t="str">
        <v>sethsmith@yahoo.com</v>
      </c>
      <c r="F1085" t="str">
        <f t="shared" si="210"/>
        <v>Valid</v>
      </c>
      <c r="G1085" s="1" t="s">
        <v>57</v>
      </c>
      <c r="H1085" s="1" t="str">
        <f t="shared" si="211"/>
        <v>Female</v>
      </c>
      <c r="I1085" s="1" t="s">
        <v>96</v>
      </c>
      <c r="J1085" t="str">
        <f t="shared" si="212"/>
        <v>INDIA</v>
      </c>
      <c r="K1085" s="14">
        <v>35</v>
      </c>
      <c r="L1085" s="1">
        <f t="shared" si="213"/>
        <v>35</v>
      </c>
      <c r="M1085" s="1" t="str">
        <f t="shared" si="214"/>
        <v>Mid Career</v>
      </c>
      <c r="N1085" s="2">
        <v>45569</v>
      </c>
      <c r="O1085" s="1" t="s">
        <v>301</v>
      </c>
      <c r="P1085" s="1" t="s">
        <v>20</v>
      </c>
      <c r="Q1085" s="4">
        <v>0.57999999999999996</v>
      </c>
      <c r="R1085" s="13">
        <f t="shared" si="215"/>
        <v>57.999999999999993</v>
      </c>
      <c r="S1085" s="6">
        <f t="shared" si="209"/>
        <v>0.57999999999999996</v>
      </c>
      <c r="T1085" s="1">
        <v>1.5</v>
      </c>
      <c r="U1085" s="1">
        <f t="shared" si="216"/>
        <v>1.5</v>
      </c>
      <c r="V1085" s="1">
        <f t="shared" si="217"/>
        <v>41.05</v>
      </c>
      <c r="W1085" s="10" t="str">
        <f t="shared" si="218"/>
        <v>Medium</v>
      </c>
      <c r="X1085" s="1">
        <v>0</v>
      </c>
      <c r="Y1085" s="1" t="str">
        <f t="shared" si="219"/>
        <v>No</v>
      </c>
      <c r="Z1085" s="14">
        <v>6</v>
      </c>
      <c r="AA1085" s="18">
        <f t="shared" si="220"/>
        <v>6</v>
      </c>
      <c r="AB1085" s="18" t="str">
        <f t="shared" si="221"/>
        <v>No</v>
      </c>
      <c r="AC1085" s="9" t="s">
        <v>4235</v>
      </c>
      <c r="AD1085">
        <f>IF(AC1085="",0,LEN(AC1085)-LEN(SUBSTITUTE(AC1085,",",""))+1)</f>
        <v>6</v>
      </c>
    </row>
    <row r="1086" spans="1:30" ht="12.5" x14ac:dyDescent="0.25">
      <c r="A1086" s="1" t="s">
        <v>4236</v>
      </c>
      <c r="B1086" s="1" t="s">
        <v>4237</v>
      </c>
      <c r="C1086" s="1" t="str">
        <v>Stacey Jones Md</v>
      </c>
      <c r="D1086" s="1" t="s">
        <v>4238</v>
      </c>
      <c r="E1086" s="1" t="str">
        <v>hrangel@hotmail.com</v>
      </c>
      <c r="F1086" t="str">
        <f t="shared" si="210"/>
        <v>Valid</v>
      </c>
      <c r="G1086" s="1" t="s">
        <v>119</v>
      </c>
      <c r="H1086" s="1" t="str">
        <f t="shared" si="211"/>
        <v>Female</v>
      </c>
      <c r="I1086" s="1" t="s">
        <v>96</v>
      </c>
      <c r="J1086" t="str">
        <f t="shared" si="212"/>
        <v>INDIA</v>
      </c>
      <c r="L1086" s="1">
        <f t="shared" si="213"/>
        <v>19</v>
      </c>
      <c r="M1086" s="1" t="str">
        <f t="shared" si="214"/>
        <v>Student</v>
      </c>
      <c r="N1086" s="9">
        <v>45701</v>
      </c>
      <c r="O1086" s="1" t="s">
        <v>52</v>
      </c>
      <c r="P1086" s="1" t="s">
        <v>37</v>
      </c>
      <c r="Q1086" s="4">
        <v>0.59</v>
      </c>
      <c r="R1086" s="13">
        <f t="shared" si="215"/>
        <v>59</v>
      </c>
      <c r="S1086" s="6">
        <f t="shared" si="209"/>
        <v>0.59</v>
      </c>
      <c r="T1086" s="1">
        <v>45</v>
      </c>
      <c r="U1086" s="1">
        <f t="shared" si="216"/>
        <v>45</v>
      </c>
      <c r="V1086" s="1">
        <f t="shared" si="217"/>
        <v>54.8</v>
      </c>
      <c r="W1086" s="10" t="str">
        <f t="shared" si="218"/>
        <v>Medium</v>
      </c>
      <c r="X1086" s="1" t="s">
        <v>76</v>
      </c>
      <c r="Y1086" s="1" t="str">
        <f t="shared" si="219"/>
        <v>Yes</v>
      </c>
      <c r="Z1086" s="14">
        <v>3</v>
      </c>
      <c r="AA1086" s="18">
        <f t="shared" si="220"/>
        <v>3</v>
      </c>
      <c r="AB1086" s="18" t="str">
        <f t="shared" si="221"/>
        <v>No</v>
      </c>
      <c r="AC1086" s="9" t="s">
        <v>4239</v>
      </c>
      <c r="AD1086">
        <f>IF(AC1086="",0,LEN(AC1086)-LEN(SUBSTITUTE(AC1086,",",""))+1)</f>
        <v>3</v>
      </c>
    </row>
    <row r="1087" spans="1:30" ht="12.5" x14ac:dyDescent="0.25">
      <c r="A1087" s="1" t="s">
        <v>4240</v>
      </c>
      <c r="B1087" s="1" t="s">
        <v>4241</v>
      </c>
      <c r="C1087" s="1" t="str">
        <v>Tiffany Miller</v>
      </c>
      <c r="D1087" s="1" t="s">
        <v>4242</v>
      </c>
      <c r="E1087" s="1" t="str">
        <v>howellbrittany@gmail.com</v>
      </c>
      <c r="F1087" t="str">
        <f t="shared" si="210"/>
        <v>Valid</v>
      </c>
      <c r="G1087" s="1" t="s">
        <v>109</v>
      </c>
      <c r="H1087" s="1" t="str">
        <f t="shared" si="211"/>
        <v>Male</v>
      </c>
      <c r="I1087" s="1" t="s">
        <v>28</v>
      </c>
      <c r="J1087" t="str">
        <f t="shared" si="212"/>
        <v>INDIA</v>
      </c>
      <c r="K1087" s="14">
        <v>0</v>
      </c>
      <c r="L1087" s="1">
        <f t="shared" si="213"/>
        <v>19</v>
      </c>
      <c r="M1087" s="1" t="str">
        <f t="shared" si="214"/>
        <v>Student</v>
      </c>
      <c r="N1087" s="2">
        <v>45109</v>
      </c>
      <c r="O1087" s="1" t="s">
        <v>69</v>
      </c>
      <c r="P1087" s="1" t="s">
        <v>31</v>
      </c>
      <c r="Q1087" s="4">
        <v>82</v>
      </c>
      <c r="R1087" s="13">
        <f t="shared" si="215"/>
        <v>82</v>
      </c>
      <c r="S1087" s="6">
        <f t="shared" si="209"/>
        <v>0.82</v>
      </c>
      <c r="T1087" s="1">
        <v>2</v>
      </c>
      <c r="U1087" s="1">
        <f t="shared" si="216"/>
        <v>2</v>
      </c>
      <c r="V1087" s="1">
        <f t="shared" si="217"/>
        <v>58</v>
      </c>
      <c r="W1087" s="10" t="str">
        <f t="shared" si="218"/>
        <v>Medium</v>
      </c>
      <c r="X1087" s="1">
        <v>0</v>
      </c>
      <c r="Y1087" s="1" t="str">
        <f t="shared" si="219"/>
        <v>No</v>
      </c>
      <c r="Z1087" s="14">
        <v>4</v>
      </c>
      <c r="AA1087" s="18">
        <f t="shared" si="220"/>
        <v>4</v>
      </c>
      <c r="AB1087" s="18" t="str">
        <f t="shared" si="221"/>
        <v>No</v>
      </c>
      <c r="AC1087" s="9" t="s">
        <v>4243</v>
      </c>
      <c r="AD1087">
        <f>IF(AC1087="",0,LEN(AC1087)-LEN(SUBSTITUTE(AC1087,",",""))+1)</f>
        <v>3</v>
      </c>
    </row>
    <row r="1088" spans="1:30" ht="12.5" x14ac:dyDescent="0.25">
      <c r="A1088" s="1" t="s">
        <v>4244</v>
      </c>
      <c r="B1088" s="1" t="s">
        <v>4245</v>
      </c>
      <c r="C1088" s="1" t="str">
        <v>Joseph Moon</v>
      </c>
      <c r="D1088" s="1" t="s">
        <v>4246</v>
      </c>
      <c r="E1088" s="1" t="str">
        <v>rebecca03@hotmail.com</v>
      </c>
      <c r="F1088" t="str">
        <f t="shared" si="210"/>
        <v>Valid</v>
      </c>
      <c r="G1088" s="1" t="s">
        <v>43</v>
      </c>
      <c r="H1088" s="1" t="str">
        <f t="shared" si="211"/>
        <v>Female</v>
      </c>
      <c r="I1088" s="1" t="s">
        <v>18</v>
      </c>
      <c r="J1088" t="str">
        <f t="shared" si="212"/>
        <v>US</v>
      </c>
      <c r="L1088" s="1">
        <f t="shared" si="213"/>
        <v>19</v>
      </c>
      <c r="M1088" s="1" t="str">
        <f t="shared" si="214"/>
        <v>Student</v>
      </c>
      <c r="N1088" s="9">
        <v>45225</v>
      </c>
      <c r="O1088" s="1" t="s">
        <v>146</v>
      </c>
      <c r="P1088" s="1" t="s">
        <v>147</v>
      </c>
      <c r="Q1088" s="4">
        <v>0.95</v>
      </c>
      <c r="R1088" s="13">
        <f t="shared" si="215"/>
        <v>95</v>
      </c>
      <c r="S1088" s="6">
        <f t="shared" si="209"/>
        <v>0.95</v>
      </c>
      <c r="T1088" s="1">
        <v>45</v>
      </c>
      <c r="U1088" s="1">
        <f t="shared" si="216"/>
        <v>45</v>
      </c>
      <c r="V1088" s="1">
        <f t="shared" si="217"/>
        <v>80</v>
      </c>
      <c r="W1088" s="10" t="str">
        <f t="shared" si="218"/>
        <v>High</v>
      </c>
      <c r="X1088" s="1">
        <v>1</v>
      </c>
      <c r="Y1088" s="1" t="str">
        <f t="shared" si="219"/>
        <v>Yes</v>
      </c>
      <c r="Z1088" s="14">
        <v>2</v>
      </c>
      <c r="AA1088" s="18">
        <f t="shared" si="220"/>
        <v>2</v>
      </c>
      <c r="AB1088" s="18" t="str">
        <f t="shared" si="221"/>
        <v>No</v>
      </c>
      <c r="AC1088" s="9" t="s">
        <v>4247</v>
      </c>
      <c r="AD1088">
        <f>IF(AC1088="",0,LEN(AC1088)-LEN(SUBSTITUTE(AC1088,",",""))+1)</f>
        <v>6</v>
      </c>
    </row>
    <row r="1089" spans="1:30" ht="12.5" x14ac:dyDescent="0.25">
      <c r="A1089" s="1" t="s">
        <v>4248</v>
      </c>
      <c r="B1089" s="1" t="s">
        <v>4249</v>
      </c>
      <c r="C1089" s="1" t="str">
        <v>Don Carney</v>
      </c>
      <c r="D1089" s="1" t="s">
        <v>4250</v>
      </c>
      <c r="E1089" s="1" t="str">
        <v>cookanthony@hotmail.com</v>
      </c>
      <c r="F1089" t="str">
        <f t="shared" si="210"/>
        <v>Valid</v>
      </c>
      <c r="G1089" s="1" t="s">
        <v>57</v>
      </c>
      <c r="H1089" s="1" t="str">
        <f t="shared" si="211"/>
        <v>Female</v>
      </c>
      <c r="I1089" s="1" t="s">
        <v>136</v>
      </c>
      <c r="J1089" t="str">
        <f t="shared" si="212"/>
        <v>UK</v>
      </c>
      <c r="L1089" s="1">
        <f t="shared" si="213"/>
        <v>19</v>
      </c>
      <c r="M1089" s="1" t="str">
        <f t="shared" si="214"/>
        <v>Student</v>
      </c>
      <c r="N1089" s="9">
        <v>45134</v>
      </c>
      <c r="O1089" s="1" t="s">
        <v>90</v>
      </c>
      <c r="P1089" s="1" t="s">
        <v>31</v>
      </c>
      <c r="Q1089" s="4">
        <v>0.7</v>
      </c>
      <c r="R1089" s="13">
        <f t="shared" si="215"/>
        <v>70</v>
      </c>
      <c r="S1089" s="6">
        <f t="shared" si="209"/>
        <v>0.7</v>
      </c>
      <c r="T1089" s="1">
        <v>45</v>
      </c>
      <c r="U1089" s="1">
        <f t="shared" si="216"/>
        <v>45</v>
      </c>
      <c r="V1089" s="1">
        <f t="shared" si="217"/>
        <v>62.5</v>
      </c>
      <c r="W1089" s="10" t="str">
        <f t="shared" si="218"/>
        <v>Medium</v>
      </c>
      <c r="X1089" s="1" t="s">
        <v>32</v>
      </c>
      <c r="Y1089" s="1" t="str">
        <f t="shared" si="219"/>
        <v>Yes</v>
      </c>
      <c r="AA1089" s="18" t="str">
        <f t="shared" si="220"/>
        <v>Invalid</v>
      </c>
      <c r="AB1089" s="18" t="str">
        <f t="shared" si="221"/>
        <v>High Performer</v>
      </c>
      <c r="AC1089" s="9" t="s">
        <v>4251</v>
      </c>
      <c r="AD1089">
        <f>IF(AC1089="",0,LEN(AC1089)-LEN(SUBSTITUTE(AC1089,",",""))+1)</f>
        <v>2</v>
      </c>
    </row>
    <row r="1090" spans="1:30" ht="12.5" x14ac:dyDescent="0.25">
      <c r="A1090" s="1" t="s">
        <v>4252</v>
      </c>
      <c r="B1090" s="1" t="s">
        <v>4253</v>
      </c>
      <c r="C1090" s="1" t="str">
        <v>Tanner James</v>
      </c>
      <c r="D1090" s="1" t="s">
        <v>4254</v>
      </c>
      <c r="E1090" s="1" t="str">
        <v>heidi55@nash.com</v>
      </c>
      <c r="F1090" t="str">
        <f t="shared" si="210"/>
        <v>Valid</v>
      </c>
      <c r="G1090" s="1" t="s">
        <v>43</v>
      </c>
      <c r="H1090" s="1" t="str">
        <f t="shared" si="211"/>
        <v>Female</v>
      </c>
      <c r="I1090" s="1" t="s">
        <v>136</v>
      </c>
      <c r="J1090" t="str">
        <f t="shared" si="212"/>
        <v>UK</v>
      </c>
      <c r="K1090" s="14">
        <v>0</v>
      </c>
      <c r="L1090" s="1">
        <f t="shared" si="213"/>
        <v>19</v>
      </c>
      <c r="M1090" s="1" t="str">
        <f t="shared" si="214"/>
        <v>Student</v>
      </c>
      <c r="N1090" s="9">
        <v>44674</v>
      </c>
      <c r="O1090" s="1" t="s">
        <v>69</v>
      </c>
      <c r="P1090" s="1" t="s">
        <v>31</v>
      </c>
      <c r="Q1090" s="4">
        <v>0.95</v>
      </c>
      <c r="R1090" s="13">
        <f t="shared" si="215"/>
        <v>95</v>
      </c>
      <c r="S1090" s="6">
        <f t="shared" ref="S1090:S1153" si="222">R1090/100</f>
        <v>0.95</v>
      </c>
      <c r="T1090" s="1" t="s">
        <v>21</v>
      </c>
      <c r="U1090" s="1">
        <f t="shared" si="216"/>
        <v>1.5</v>
      </c>
      <c r="V1090" s="1">
        <f t="shared" si="217"/>
        <v>66.95</v>
      </c>
      <c r="W1090" s="10" t="str">
        <f t="shared" si="218"/>
        <v>Medium</v>
      </c>
      <c r="X1090" s="1" t="s">
        <v>22</v>
      </c>
      <c r="Y1090" s="1" t="str">
        <f t="shared" si="219"/>
        <v>No</v>
      </c>
      <c r="Z1090" s="14">
        <v>4</v>
      </c>
      <c r="AA1090" s="18">
        <f t="shared" si="220"/>
        <v>4</v>
      </c>
      <c r="AB1090" s="18" t="str">
        <f t="shared" si="221"/>
        <v>No</v>
      </c>
      <c r="AC1090" s="9" t="s">
        <v>2652</v>
      </c>
      <c r="AD1090">
        <f>IF(AC1090="",0,LEN(AC1090)-LEN(SUBSTITUTE(AC1090,",",""))+1)</f>
        <v>7</v>
      </c>
    </row>
    <row r="1091" spans="1:30" ht="12.5" x14ac:dyDescent="0.25">
      <c r="A1091" s="1" t="s">
        <v>4255</v>
      </c>
      <c r="B1091" s="1" t="s">
        <v>4256</v>
      </c>
      <c r="C1091" s="1" t="str">
        <v>Katherine Adams</v>
      </c>
      <c r="D1091" s="1" t="s">
        <v>4257</v>
      </c>
      <c r="E1091" s="1" t="str">
        <v>trujillorobin@hotmail.com</v>
      </c>
      <c r="F1091" t="str">
        <f t="shared" ref="F1091:F1154" si="223">IF(ISNUMBER(SEARCH("@", E1091)), "Valid", "Invalid")</f>
        <v>Valid</v>
      </c>
      <c r="G1091" s="1" t="s">
        <v>88</v>
      </c>
      <c r="H1091" s="1" t="str">
        <f t="shared" ref="H1091:H1154" si="224">IF(OR(LOWER(G1091)="m", LOWER(G1091)="male"), "Male", IF(OR(LOWER(G1091)="f", LOWER(G1091)="female"), "Female","Other"))</f>
        <v>Male</v>
      </c>
      <c r="I1091" s="1" t="s">
        <v>44</v>
      </c>
      <c r="J1091" t="str">
        <f t="shared" ref="J1091:J1154" si="225">UPPER(TRIM(I1091))</f>
        <v>CANADA</v>
      </c>
      <c r="K1091" s="14">
        <v>44</v>
      </c>
      <c r="L1091" s="1">
        <f t="shared" ref="L1091:L1154" si="226">IF(OR(K1091=0,K1091&lt;10,K1091&gt;100), $L$1202, K1091)</f>
        <v>44</v>
      </c>
      <c r="M1091" s="1" t="str">
        <f t="shared" ref="M1091:M1154" si="227">IF(K1091&lt;22,"Student",
IF(K1091&lt;=30,"Early Career",
IF(K1091&lt;=40,"Mid Career",
IF(K1091&lt;=50,"Senior","Expert"))))</f>
        <v>Senior</v>
      </c>
      <c r="N1091" s="9">
        <v>44863</v>
      </c>
      <c r="O1091" s="1" t="s">
        <v>45</v>
      </c>
      <c r="P1091" s="1" t="s">
        <v>20</v>
      </c>
      <c r="Q1091" s="4">
        <v>0.09</v>
      </c>
      <c r="R1091" s="13">
        <f t="shared" ref="R1091:R1154" si="228">IF(Q1091&lt;=1, Q1091*100, Q1091)</f>
        <v>9</v>
      </c>
      <c r="S1091" s="6">
        <f t="shared" si="222"/>
        <v>0.09</v>
      </c>
      <c r="T1091" s="1" t="s">
        <v>64</v>
      </c>
      <c r="U1091" s="1">
        <f t="shared" ref="U1091:U1154" si="229">IF(ISNUMBER(T1091), T1091,
IF(ISNUMBER(SEARCH("min", T1091)), VALUE(LEFT(T1091, FIND(" ", T1091)-1))/60,
IF(ISNUMBER(SEARCH("hour", T1091)), VALUE(LEFT(T1091, FIND(" ", T1091)-1)),
"")))</f>
        <v>2</v>
      </c>
      <c r="V1091" s="1">
        <f t="shared" ref="V1091:V1154" si="230">MIN( (0.7*R1091 + 0.3*(U1091)), 100 )</f>
        <v>6.8999999999999995</v>
      </c>
      <c r="W1091" s="10" t="str">
        <f t="shared" ref="W1091:W1154" si="231">IF(V1091&lt;41,"Low",IF(V1091&lt;71,"Medium","High"))</f>
        <v>Low</v>
      </c>
      <c r="X1091" s="1" t="s">
        <v>76</v>
      </c>
      <c r="Y1091" s="1" t="str">
        <f t="shared" ref="Y1091:Y1154" si="232">IF(OR(X1091="Yes", X1091="Y", X1091=1), "Yes", "No")</f>
        <v>Yes</v>
      </c>
      <c r="AA1091" s="18" t="str">
        <f t="shared" ref="AA1091:AA1154" si="233">IF(AND(Z1091&gt;=1,Z1091&lt;=6),Z1091,"Invalid")</f>
        <v>Invalid</v>
      </c>
      <c r="AB1091" s="18" t="str">
        <f t="shared" ref="AB1091:AB1154" si="234">IF(AND(Y1091="Yes",AA1091&gt;=4),"High Performer","No")</f>
        <v>High Performer</v>
      </c>
      <c r="AC1091" s="9" t="s">
        <v>4258</v>
      </c>
      <c r="AD1091">
        <f>IF(AC1091="",0,LEN(AC1091)-LEN(SUBSTITUTE(AC1091,",",""))+1)</f>
        <v>2</v>
      </c>
    </row>
    <row r="1092" spans="1:30" ht="12.5" x14ac:dyDescent="0.25">
      <c r="A1092" s="1" t="s">
        <v>4259</v>
      </c>
      <c r="B1092" s="1" t="s">
        <v>4260</v>
      </c>
      <c r="C1092" s="1" t="str">
        <v>Dana Thompson</v>
      </c>
      <c r="D1092" s="1" t="s">
        <v>4261</v>
      </c>
      <c r="E1092" s="1" t="str">
        <v>ashleyyoung@shields.com</v>
      </c>
      <c r="F1092" t="str">
        <f t="shared" si="223"/>
        <v>Valid</v>
      </c>
      <c r="G1092" s="1" t="s">
        <v>17</v>
      </c>
      <c r="H1092" s="1" t="str">
        <f t="shared" si="224"/>
        <v>Female</v>
      </c>
      <c r="I1092" s="1" t="s">
        <v>44</v>
      </c>
      <c r="J1092" t="str">
        <f t="shared" si="225"/>
        <v>CANADA</v>
      </c>
      <c r="K1092" s="14">
        <v>32</v>
      </c>
      <c r="L1092" s="1">
        <f t="shared" si="226"/>
        <v>32</v>
      </c>
      <c r="M1092" s="1" t="str">
        <f t="shared" si="227"/>
        <v>Mid Career</v>
      </c>
      <c r="N1092" s="9">
        <v>44834</v>
      </c>
      <c r="O1092" s="1" t="s">
        <v>235</v>
      </c>
      <c r="P1092" s="1" t="s">
        <v>147</v>
      </c>
      <c r="Q1092" s="4">
        <v>0.26</v>
      </c>
      <c r="R1092" s="13">
        <f t="shared" si="228"/>
        <v>26</v>
      </c>
      <c r="S1092" s="6">
        <f t="shared" si="222"/>
        <v>0.26</v>
      </c>
      <c r="T1092" s="1">
        <v>1.5</v>
      </c>
      <c r="U1092" s="1">
        <f t="shared" si="229"/>
        <v>1.5</v>
      </c>
      <c r="V1092" s="1">
        <f t="shared" si="230"/>
        <v>18.649999999999999</v>
      </c>
      <c r="W1092" s="10" t="str">
        <f t="shared" si="231"/>
        <v>Low</v>
      </c>
      <c r="X1092" s="1" t="s">
        <v>32</v>
      </c>
      <c r="Y1092" s="1" t="str">
        <f t="shared" si="232"/>
        <v>Yes</v>
      </c>
      <c r="Z1092" s="14">
        <v>2</v>
      </c>
      <c r="AA1092" s="18">
        <f t="shared" si="233"/>
        <v>2</v>
      </c>
      <c r="AB1092" s="18" t="str">
        <f t="shared" si="234"/>
        <v>No</v>
      </c>
      <c r="AC1092" s="9" t="s">
        <v>4262</v>
      </c>
      <c r="AD1092">
        <f>IF(AC1092="",0,LEN(AC1092)-LEN(SUBSTITUTE(AC1092,",",""))+1)</f>
        <v>1</v>
      </c>
    </row>
    <row r="1093" spans="1:30" ht="12.5" x14ac:dyDescent="0.25">
      <c r="A1093" s="1" t="s">
        <v>4263</v>
      </c>
      <c r="B1093" s="1" t="s">
        <v>4264</v>
      </c>
      <c r="C1093" s="1" t="str">
        <v>Mark Savage</v>
      </c>
      <c r="D1093" s="1" t="s">
        <v>4265</v>
      </c>
      <c r="E1093" s="1" t="str">
        <v>kristi19@gmail.com</v>
      </c>
      <c r="F1093" t="str">
        <f t="shared" si="223"/>
        <v>Valid</v>
      </c>
      <c r="G1093" s="1" t="s">
        <v>119</v>
      </c>
      <c r="H1093" s="1" t="str">
        <f t="shared" si="224"/>
        <v>Female</v>
      </c>
      <c r="I1093" s="1" t="s">
        <v>28</v>
      </c>
      <c r="J1093" t="str">
        <f t="shared" si="225"/>
        <v>INDIA</v>
      </c>
      <c r="L1093" s="1">
        <f t="shared" si="226"/>
        <v>19</v>
      </c>
      <c r="M1093" s="1" t="str">
        <f t="shared" si="227"/>
        <v>Student</v>
      </c>
      <c r="N1093" s="9">
        <v>45187</v>
      </c>
      <c r="O1093" s="1" t="s">
        <v>158</v>
      </c>
      <c r="P1093" s="1" t="s">
        <v>59</v>
      </c>
      <c r="Q1093" s="4">
        <v>0.26</v>
      </c>
      <c r="R1093" s="13">
        <f t="shared" si="228"/>
        <v>26</v>
      </c>
      <c r="S1093" s="6">
        <f t="shared" si="222"/>
        <v>0.26</v>
      </c>
      <c r="T1093" s="1">
        <v>2</v>
      </c>
      <c r="U1093" s="1">
        <f t="shared" si="229"/>
        <v>2</v>
      </c>
      <c r="V1093" s="1">
        <f t="shared" si="230"/>
        <v>18.8</v>
      </c>
      <c r="W1093" s="10" t="str">
        <f t="shared" si="231"/>
        <v>Low</v>
      </c>
      <c r="X1093" s="1" t="s">
        <v>38</v>
      </c>
      <c r="Y1093" s="1" t="str">
        <f t="shared" si="232"/>
        <v>No</v>
      </c>
      <c r="Z1093" s="14">
        <v>3</v>
      </c>
      <c r="AA1093" s="18">
        <f t="shared" si="233"/>
        <v>3</v>
      </c>
      <c r="AB1093" s="18" t="str">
        <f t="shared" si="234"/>
        <v>No</v>
      </c>
      <c r="AC1093" s="9" t="s">
        <v>3374</v>
      </c>
      <c r="AD1093">
        <f>IF(AC1093="",0,LEN(AC1093)-LEN(SUBSTITUTE(AC1093,",",""))+1)</f>
        <v>5</v>
      </c>
    </row>
    <row r="1094" spans="1:30" ht="12.5" x14ac:dyDescent="0.25">
      <c r="A1094" s="1" t="s">
        <v>4266</v>
      </c>
      <c r="B1094" s="1" t="s">
        <v>4267</v>
      </c>
      <c r="C1094" s="1" t="str">
        <v>Angela Davis</v>
      </c>
      <c r="D1094" s="1" t="s">
        <v>4268</v>
      </c>
      <c r="E1094" s="1" t="str">
        <v>hamiltongina@williams.biz</v>
      </c>
      <c r="F1094" t="str">
        <f t="shared" si="223"/>
        <v>Valid</v>
      </c>
      <c r="G1094" s="1" t="s">
        <v>57</v>
      </c>
      <c r="H1094" s="1" t="str">
        <f t="shared" si="224"/>
        <v>Female</v>
      </c>
      <c r="I1094" s="1" t="s">
        <v>136</v>
      </c>
      <c r="J1094" t="str">
        <f t="shared" si="225"/>
        <v>UK</v>
      </c>
      <c r="L1094" s="1">
        <f t="shared" si="226"/>
        <v>19</v>
      </c>
      <c r="M1094" s="1" t="str">
        <f t="shared" si="227"/>
        <v>Student</v>
      </c>
      <c r="N1094" s="2">
        <v>44627</v>
      </c>
      <c r="O1094" s="1" t="s">
        <v>52</v>
      </c>
      <c r="P1094" s="1" t="s">
        <v>37</v>
      </c>
      <c r="Q1094" s="4">
        <v>49</v>
      </c>
      <c r="R1094" s="13">
        <f t="shared" si="228"/>
        <v>49</v>
      </c>
      <c r="S1094" s="6">
        <f t="shared" si="222"/>
        <v>0.49</v>
      </c>
      <c r="T1094" s="1">
        <v>2</v>
      </c>
      <c r="U1094" s="1">
        <f t="shared" si="229"/>
        <v>2</v>
      </c>
      <c r="V1094" s="1">
        <f t="shared" si="230"/>
        <v>34.9</v>
      </c>
      <c r="W1094" s="10" t="str">
        <f t="shared" si="231"/>
        <v>Low</v>
      </c>
      <c r="X1094" s="1" t="s">
        <v>38</v>
      </c>
      <c r="Y1094" s="1" t="str">
        <f t="shared" si="232"/>
        <v>No</v>
      </c>
      <c r="Z1094" s="14">
        <v>6</v>
      </c>
      <c r="AA1094" s="18">
        <f t="shared" si="233"/>
        <v>6</v>
      </c>
      <c r="AB1094" s="18" t="str">
        <f t="shared" si="234"/>
        <v>No</v>
      </c>
      <c r="AC1094" s="9">
        <v>44627</v>
      </c>
      <c r="AD1094">
        <f>IF(AC1094="",0,LEN(AC1094)-LEN(SUBSTITUTE(AC1094,",",""))+1)</f>
        <v>1</v>
      </c>
    </row>
    <row r="1095" spans="1:30" ht="12.5" x14ac:dyDescent="0.25">
      <c r="A1095" s="1" t="s">
        <v>4269</v>
      </c>
      <c r="B1095" s="1" t="s">
        <v>4270</v>
      </c>
      <c r="C1095" s="1" t="str">
        <v>Michelle Simpson</v>
      </c>
      <c r="D1095" s="1" t="s">
        <v>4271</v>
      </c>
      <c r="E1095" s="1" t="str">
        <v>rroberts@hancock.com</v>
      </c>
      <c r="F1095" t="str">
        <f t="shared" si="223"/>
        <v>Valid</v>
      </c>
      <c r="G1095" s="1" t="s">
        <v>17</v>
      </c>
      <c r="H1095" s="1" t="str">
        <f t="shared" si="224"/>
        <v>Female</v>
      </c>
      <c r="I1095" s="1" t="s">
        <v>136</v>
      </c>
      <c r="J1095" t="str">
        <f t="shared" si="225"/>
        <v>UK</v>
      </c>
      <c r="K1095" s="14">
        <v>0</v>
      </c>
      <c r="L1095" s="1">
        <f t="shared" si="226"/>
        <v>19</v>
      </c>
      <c r="M1095" s="1" t="str">
        <f t="shared" si="227"/>
        <v>Student</v>
      </c>
      <c r="N1095" s="9">
        <v>45155</v>
      </c>
      <c r="O1095" s="1" t="s">
        <v>301</v>
      </c>
      <c r="P1095" s="1" t="s">
        <v>20</v>
      </c>
      <c r="Q1095" s="4">
        <v>0.31</v>
      </c>
      <c r="R1095" s="13">
        <f t="shared" si="228"/>
        <v>31</v>
      </c>
      <c r="S1095" s="6">
        <f t="shared" si="222"/>
        <v>0.31</v>
      </c>
      <c r="T1095" s="1">
        <v>45</v>
      </c>
      <c r="U1095" s="1">
        <f t="shared" si="229"/>
        <v>45</v>
      </c>
      <c r="V1095" s="1">
        <f t="shared" si="230"/>
        <v>35.200000000000003</v>
      </c>
      <c r="W1095" s="10" t="str">
        <f t="shared" si="231"/>
        <v>Low</v>
      </c>
      <c r="X1095" s="1">
        <v>1</v>
      </c>
      <c r="Y1095" s="1" t="str">
        <f t="shared" si="232"/>
        <v>Yes</v>
      </c>
      <c r="AA1095" s="18" t="str">
        <f t="shared" si="233"/>
        <v>Invalid</v>
      </c>
      <c r="AB1095" s="18" t="str">
        <f t="shared" si="234"/>
        <v>High Performer</v>
      </c>
      <c r="AC1095" s="9" t="s">
        <v>990</v>
      </c>
      <c r="AD1095">
        <f>IF(AC1095="",0,LEN(AC1095)-LEN(SUBSTITUTE(AC1095,",",""))+1)</f>
        <v>5</v>
      </c>
    </row>
    <row r="1096" spans="1:30" ht="12.5" x14ac:dyDescent="0.25">
      <c r="A1096" s="1" t="s">
        <v>4272</v>
      </c>
      <c r="B1096" s="1" t="s">
        <v>4273</v>
      </c>
      <c r="C1096" s="1" t="str">
        <v>Joshua Kaufman</v>
      </c>
      <c r="D1096" s="1" t="s">
        <v>4274</v>
      </c>
      <c r="E1096" s="1" t="str">
        <v>lopezmelinda@martin.org</v>
      </c>
      <c r="F1096" t="str">
        <f t="shared" si="223"/>
        <v>Valid</v>
      </c>
      <c r="G1096" s="1" t="s">
        <v>17</v>
      </c>
      <c r="H1096" s="1" t="str">
        <f t="shared" si="224"/>
        <v>Female</v>
      </c>
      <c r="I1096" s="1" t="s">
        <v>28</v>
      </c>
      <c r="J1096" t="str">
        <f t="shared" si="225"/>
        <v>INDIA</v>
      </c>
      <c r="K1096" s="14">
        <v>39</v>
      </c>
      <c r="L1096" s="1">
        <f t="shared" si="226"/>
        <v>39</v>
      </c>
      <c r="M1096" s="1" t="str">
        <f t="shared" si="227"/>
        <v>Mid Career</v>
      </c>
      <c r="N1096" s="2">
        <v>44781</v>
      </c>
      <c r="O1096" s="1" t="s">
        <v>158</v>
      </c>
      <c r="P1096" s="1" t="s">
        <v>59</v>
      </c>
      <c r="Q1096" s="4">
        <v>0.9</v>
      </c>
      <c r="R1096" s="13">
        <f t="shared" si="228"/>
        <v>90</v>
      </c>
      <c r="S1096" s="6">
        <f t="shared" si="222"/>
        <v>0.9</v>
      </c>
      <c r="T1096" s="1">
        <v>2</v>
      </c>
      <c r="U1096" s="1">
        <f t="shared" si="229"/>
        <v>2</v>
      </c>
      <c r="V1096" s="1">
        <f t="shared" si="230"/>
        <v>63.599999999999994</v>
      </c>
      <c r="W1096" s="10" t="str">
        <f t="shared" si="231"/>
        <v>Medium</v>
      </c>
      <c r="X1096" s="1">
        <v>0</v>
      </c>
      <c r="Y1096" s="1" t="str">
        <f t="shared" si="232"/>
        <v>No</v>
      </c>
      <c r="Z1096" s="14">
        <v>6</v>
      </c>
      <c r="AA1096" s="18">
        <f t="shared" si="233"/>
        <v>6</v>
      </c>
      <c r="AB1096" s="18" t="str">
        <f t="shared" si="234"/>
        <v>No</v>
      </c>
      <c r="AC1096" s="9" t="s">
        <v>4275</v>
      </c>
      <c r="AD1096">
        <f>IF(AC1096="",0,LEN(AC1096)-LEN(SUBSTITUTE(AC1096,",",""))+1)</f>
        <v>6</v>
      </c>
    </row>
    <row r="1097" spans="1:30" ht="12.5" x14ac:dyDescent="0.25">
      <c r="A1097" s="1" t="s">
        <v>4276</v>
      </c>
      <c r="B1097" s="1" t="s">
        <v>4277</v>
      </c>
      <c r="C1097" s="1" t="str">
        <v>Jeffery Summers</v>
      </c>
      <c r="D1097" s="1" t="s">
        <v>4278</v>
      </c>
      <c r="E1097" s="1" t="str">
        <v>penatammy@campbell-martin.com</v>
      </c>
      <c r="F1097" t="str">
        <f t="shared" si="223"/>
        <v>Valid</v>
      </c>
      <c r="G1097" s="1" t="s">
        <v>95</v>
      </c>
      <c r="H1097" s="1" t="str">
        <f t="shared" si="224"/>
        <v>Male</v>
      </c>
      <c r="I1097" s="1" t="s">
        <v>44</v>
      </c>
      <c r="J1097" t="str">
        <f t="shared" si="225"/>
        <v>CANADA</v>
      </c>
      <c r="K1097" s="14">
        <v>36</v>
      </c>
      <c r="L1097" s="1">
        <f t="shared" si="226"/>
        <v>36</v>
      </c>
      <c r="M1097" s="1" t="str">
        <f t="shared" si="227"/>
        <v>Mid Career</v>
      </c>
      <c r="N1097" s="2">
        <v>45237</v>
      </c>
      <c r="O1097" s="1" t="s">
        <v>45</v>
      </c>
      <c r="P1097" s="1" t="s">
        <v>20</v>
      </c>
      <c r="Q1097" s="4">
        <v>0.59</v>
      </c>
      <c r="R1097" s="13">
        <f t="shared" si="228"/>
        <v>59</v>
      </c>
      <c r="S1097" s="6">
        <f t="shared" si="222"/>
        <v>0.59</v>
      </c>
      <c r="T1097" s="1">
        <v>1.5</v>
      </c>
      <c r="U1097" s="1">
        <f t="shared" si="229"/>
        <v>1.5</v>
      </c>
      <c r="V1097" s="1">
        <f t="shared" si="230"/>
        <v>41.75</v>
      </c>
      <c r="W1097" s="10" t="str">
        <f t="shared" si="231"/>
        <v>Medium</v>
      </c>
      <c r="X1097" s="1" t="s">
        <v>38</v>
      </c>
      <c r="Y1097" s="1" t="str">
        <f t="shared" si="232"/>
        <v>No</v>
      </c>
      <c r="Z1097" s="14">
        <v>3</v>
      </c>
      <c r="AA1097" s="18">
        <f t="shared" si="233"/>
        <v>3</v>
      </c>
      <c r="AB1097" s="18" t="str">
        <f t="shared" si="234"/>
        <v>No</v>
      </c>
      <c r="AC1097" s="9" t="s">
        <v>4279</v>
      </c>
      <c r="AD1097">
        <f>IF(AC1097="",0,LEN(AC1097)-LEN(SUBSTITUTE(AC1097,",",""))+1)</f>
        <v>8</v>
      </c>
    </row>
    <row r="1098" spans="1:30" ht="12.5" x14ac:dyDescent="0.25">
      <c r="A1098" s="1" t="s">
        <v>4280</v>
      </c>
      <c r="B1098" s="1" t="s">
        <v>4281</v>
      </c>
      <c r="C1098" s="1" t="str">
        <v>Perry Jordan</v>
      </c>
      <c r="D1098" s="1" t="s">
        <v>4282</v>
      </c>
      <c r="E1098" s="1" t="str">
        <v>rowlandemily@yahoo.com</v>
      </c>
      <c r="F1098" t="str">
        <f t="shared" si="223"/>
        <v>Valid</v>
      </c>
      <c r="G1098" s="1" t="s">
        <v>17</v>
      </c>
      <c r="H1098" s="1" t="str">
        <f t="shared" si="224"/>
        <v>Female</v>
      </c>
      <c r="I1098" s="1" t="s">
        <v>89</v>
      </c>
      <c r="J1098" t="str">
        <f t="shared" si="225"/>
        <v>GERMANY</v>
      </c>
      <c r="L1098" s="1">
        <f t="shared" si="226"/>
        <v>19</v>
      </c>
      <c r="M1098" s="1" t="str">
        <f t="shared" si="227"/>
        <v>Student</v>
      </c>
      <c r="N1098" s="9">
        <v>44755</v>
      </c>
      <c r="O1098" s="1" t="s">
        <v>170</v>
      </c>
      <c r="P1098" s="1" t="s">
        <v>147</v>
      </c>
      <c r="Q1098" s="4">
        <v>0.76</v>
      </c>
      <c r="R1098" s="13">
        <f t="shared" si="228"/>
        <v>76</v>
      </c>
      <c r="S1098" s="6">
        <f t="shared" si="222"/>
        <v>0.76</v>
      </c>
      <c r="T1098" s="1" t="s">
        <v>21</v>
      </c>
      <c r="U1098" s="1">
        <f t="shared" si="229"/>
        <v>1.5</v>
      </c>
      <c r="V1098" s="1">
        <f t="shared" si="230"/>
        <v>53.65</v>
      </c>
      <c r="W1098" s="10" t="str">
        <f t="shared" si="231"/>
        <v>Medium</v>
      </c>
      <c r="X1098" s="1" t="s">
        <v>38</v>
      </c>
      <c r="Y1098" s="1" t="str">
        <f t="shared" si="232"/>
        <v>No</v>
      </c>
      <c r="Z1098" s="14">
        <v>3</v>
      </c>
      <c r="AA1098" s="18">
        <f t="shared" si="233"/>
        <v>3</v>
      </c>
      <c r="AB1098" s="18" t="str">
        <f t="shared" si="234"/>
        <v>No</v>
      </c>
      <c r="AC1098" s="9" t="s">
        <v>4283</v>
      </c>
      <c r="AD1098">
        <f>IF(AC1098="",0,LEN(AC1098)-LEN(SUBSTITUTE(AC1098,",",""))+1)</f>
        <v>5</v>
      </c>
    </row>
    <row r="1099" spans="1:30" ht="12.5" x14ac:dyDescent="0.25">
      <c r="A1099" s="1" t="s">
        <v>4284</v>
      </c>
      <c r="B1099" s="1" t="s">
        <v>4285</v>
      </c>
      <c r="C1099" s="1" t="str">
        <v>Lisa Chung</v>
      </c>
      <c r="D1099" s="1" t="s">
        <v>4286</v>
      </c>
      <c r="E1099" s="1" t="str">
        <v>shannon75@yahoo.com</v>
      </c>
      <c r="F1099" t="str">
        <f t="shared" si="223"/>
        <v>Valid</v>
      </c>
      <c r="G1099" s="1" t="s">
        <v>43</v>
      </c>
      <c r="H1099" s="1" t="str">
        <f t="shared" si="224"/>
        <v>Female</v>
      </c>
      <c r="I1099" s="1" t="s">
        <v>136</v>
      </c>
      <c r="J1099" t="str">
        <f t="shared" si="225"/>
        <v>UK</v>
      </c>
      <c r="K1099" s="14">
        <v>0</v>
      </c>
      <c r="L1099" s="1">
        <f t="shared" si="226"/>
        <v>19</v>
      </c>
      <c r="M1099" s="1" t="str">
        <f t="shared" si="227"/>
        <v>Student</v>
      </c>
      <c r="N1099" s="2">
        <v>45453</v>
      </c>
      <c r="O1099" s="1" t="s">
        <v>170</v>
      </c>
      <c r="P1099" s="1" t="s">
        <v>147</v>
      </c>
      <c r="Q1099" s="4">
        <v>0.43</v>
      </c>
      <c r="R1099" s="13">
        <f t="shared" si="228"/>
        <v>43</v>
      </c>
      <c r="S1099" s="6">
        <f t="shared" si="222"/>
        <v>0.43</v>
      </c>
      <c r="T1099" s="1">
        <v>2</v>
      </c>
      <c r="U1099" s="1">
        <f t="shared" si="229"/>
        <v>2</v>
      </c>
      <c r="V1099" s="1">
        <f t="shared" si="230"/>
        <v>30.7</v>
      </c>
      <c r="W1099" s="10" t="str">
        <f t="shared" si="231"/>
        <v>Low</v>
      </c>
      <c r="X1099" s="1" t="s">
        <v>76</v>
      </c>
      <c r="Y1099" s="1" t="str">
        <f t="shared" si="232"/>
        <v>Yes</v>
      </c>
      <c r="Z1099" s="14">
        <v>6</v>
      </c>
      <c r="AA1099" s="18">
        <f t="shared" si="233"/>
        <v>6</v>
      </c>
      <c r="AB1099" s="18" t="str">
        <f t="shared" si="234"/>
        <v>High Performer</v>
      </c>
      <c r="AC1099" s="9">
        <v>45453</v>
      </c>
      <c r="AD1099">
        <f>IF(AC1099="",0,LEN(AC1099)-LEN(SUBSTITUTE(AC1099,",",""))+1)</f>
        <v>1</v>
      </c>
    </row>
    <row r="1100" spans="1:30" ht="12.5" x14ac:dyDescent="0.25">
      <c r="A1100" s="1" t="s">
        <v>4287</v>
      </c>
      <c r="B1100" s="1" t="s">
        <v>4288</v>
      </c>
      <c r="C1100" s="1" t="str">
        <v>Mrs. Laurie Williams Md</v>
      </c>
      <c r="D1100" s="1" t="s">
        <v>4289</v>
      </c>
      <c r="E1100" s="1" t="str">
        <v>ynguyen@yahoo.com</v>
      </c>
      <c r="F1100" t="str">
        <f t="shared" si="223"/>
        <v>Valid</v>
      </c>
      <c r="G1100" s="1" t="s">
        <v>88</v>
      </c>
      <c r="H1100" s="1" t="str">
        <f t="shared" si="224"/>
        <v>Male</v>
      </c>
      <c r="I1100" s="1" t="s">
        <v>28</v>
      </c>
      <c r="J1100" t="str">
        <f t="shared" si="225"/>
        <v>INDIA</v>
      </c>
      <c r="K1100" s="14">
        <v>0</v>
      </c>
      <c r="L1100" s="1">
        <f t="shared" si="226"/>
        <v>19</v>
      </c>
      <c r="M1100" s="1" t="str">
        <f t="shared" si="227"/>
        <v>Student</v>
      </c>
      <c r="N1100" s="9">
        <v>45124</v>
      </c>
      <c r="O1100" s="1" t="s">
        <v>19</v>
      </c>
      <c r="P1100" s="1" t="s">
        <v>20</v>
      </c>
      <c r="Q1100" s="4">
        <v>77</v>
      </c>
      <c r="R1100" s="13">
        <f t="shared" si="228"/>
        <v>77</v>
      </c>
      <c r="S1100" s="6">
        <f t="shared" si="222"/>
        <v>0.77</v>
      </c>
      <c r="T1100" s="1" t="s">
        <v>21</v>
      </c>
      <c r="U1100" s="1">
        <f t="shared" si="229"/>
        <v>1.5</v>
      </c>
      <c r="V1100" s="1">
        <f t="shared" si="230"/>
        <v>54.35</v>
      </c>
      <c r="W1100" s="10" t="str">
        <f t="shared" si="231"/>
        <v>Medium</v>
      </c>
      <c r="X1100" s="1" t="s">
        <v>32</v>
      </c>
      <c r="Y1100" s="1" t="str">
        <f t="shared" si="232"/>
        <v>Yes</v>
      </c>
      <c r="Z1100" s="14">
        <v>5</v>
      </c>
      <c r="AA1100" s="18">
        <f t="shared" si="233"/>
        <v>5</v>
      </c>
      <c r="AB1100" s="18" t="str">
        <f t="shared" si="234"/>
        <v>High Performer</v>
      </c>
      <c r="AC1100" s="9" t="s">
        <v>4290</v>
      </c>
      <c r="AD1100">
        <f>IF(AC1100="",0,LEN(AC1100)-LEN(SUBSTITUTE(AC1100,",",""))+1)</f>
        <v>3</v>
      </c>
    </row>
    <row r="1101" spans="1:30" ht="12.5" x14ac:dyDescent="0.25">
      <c r="A1101" s="1" t="s">
        <v>4291</v>
      </c>
      <c r="B1101" s="1" t="s">
        <v>4292</v>
      </c>
      <c r="C1101" s="1" t="str">
        <v>Oscar Cruz</v>
      </c>
      <c r="D1101" s="1" t="s">
        <v>4293</v>
      </c>
      <c r="E1101" s="1" t="str">
        <v>kristinajames@hernandez.com</v>
      </c>
      <c r="F1101" t="str">
        <f t="shared" si="223"/>
        <v>Valid</v>
      </c>
      <c r="G1101" s="1" t="s">
        <v>17</v>
      </c>
      <c r="H1101" s="1" t="str">
        <f t="shared" si="224"/>
        <v>Female</v>
      </c>
      <c r="I1101" s="1" t="s">
        <v>44</v>
      </c>
      <c r="J1101" t="str">
        <f t="shared" si="225"/>
        <v>CANADA</v>
      </c>
      <c r="L1101" s="1">
        <f t="shared" si="226"/>
        <v>19</v>
      </c>
      <c r="M1101" s="1" t="str">
        <f t="shared" si="227"/>
        <v>Student</v>
      </c>
      <c r="N1101" s="9">
        <v>45378</v>
      </c>
      <c r="O1101" s="1" t="s">
        <v>90</v>
      </c>
      <c r="P1101" s="1" t="s">
        <v>31</v>
      </c>
      <c r="Q1101" s="4">
        <v>0.55000000000000004</v>
      </c>
      <c r="R1101" s="13">
        <f t="shared" si="228"/>
        <v>55.000000000000007</v>
      </c>
      <c r="S1101" s="6">
        <f t="shared" si="222"/>
        <v>0.55000000000000004</v>
      </c>
      <c r="T1101" s="1" t="s">
        <v>64</v>
      </c>
      <c r="U1101" s="1">
        <f t="shared" si="229"/>
        <v>2</v>
      </c>
      <c r="V1101" s="1">
        <f t="shared" si="230"/>
        <v>39.1</v>
      </c>
      <c r="W1101" s="10" t="str">
        <f t="shared" si="231"/>
        <v>Low</v>
      </c>
      <c r="X1101" s="1">
        <v>1</v>
      </c>
      <c r="Y1101" s="1" t="str">
        <f t="shared" si="232"/>
        <v>Yes</v>
      </c>
      <c r="Z1101" s="14">
        <v>5</v>
      </c>
      <c r="AA1101" s="18">
        <f t="shared" si="233"/>
        <v>5</v>
      </c>
      <c r="AB1101" s="18" t="str">
        <f t="shared" si="234"/>
        <v>High Performer</v>
      </c>
      <c r="AC1101" s="9" t="s">
        <v>4294</v>
      </c>
      <c r="AD1101">
        <f>IF(AC1101="",0,LEN(AC1101)-LEN(SUBSTITUTE(AC1101,",",""))+1)</f>
        <v>7</v>
      </c>
    </row>
    <row r="1102" spans="1:30" ht="12.5" x14ac:dyDescent="0.25">
      <c r="A1102" s="1" t="s">
        <v>4295</v>
      </c>
      <c r="B1102" s="1" t="s">
        <v>4296</v>
      </c>
      <c r="C1102" s="1" t="str">
        <v>James Hernandez</v>
      </c>
      <c r="D1102" s="1" t="s">
        <v>4297</v>
      </c>
      <c r="E1102" s="1" t="str">
        <v>andrewmyers@yahoo.com</v>
      </c>
      <c r="F1102" t="str">
        <f t="shared" si="223"/>
        <v>Valid</v>
      </c>
      <c r="G1102" s="1" t="s">
        <v>57</v>
      </c>
      <c r="H1102" s="1" t="str">
        <f t="shared" si="224"/>
        <v>Female</v>
      </c>
      <c r="I1102" s="1" t="s">
        <v>96</v>
      </c>
      <c r="J1102" t="str">
        <f t="shared" si="225"/>
        <v>INDIA</v>
      </c>
      <c r="L1102" s="1">
        <f t="shared" si="226"/>
        <v>19</v>
      </c>
      <c r="M1102" s="1" t="str">
        <f t="shared" si="227"/>
        <v>Student</v>
      </c>
      <c r="N1102" s="9">
        <v>44892</v>
      </c>
      <c r="O1102" s="1" t="s">
        <v>235</v>
      </c>
      <c r="P1102" s="1" t="s">
        <v>147</v>
      </c>
      <c r="Q1102" s="4">
        <v>0.73</v>
      </c>
      <c r="R1102" s="13">
        <f t="shared" si="228"/>
        <v>73</v>
      </c>
      <c r="S1102" s="6">
        <f t="shared" si="222"/>
        <v>0.73</v>
      </c>
      <c r="T1102" s="1">
        <v>1.5</v>
      </c>
      <c r="U1102" s="1">
        <f t="shared" si="229"/>
        <v>1.5</v>
      </c>
      <c r="V1102" s="1">
        <f t="shared" si="230"/>
        <v>51.55</v>
      </c>
      <c r="W1102" s="10" t="str">
        <f t="shared" si="231"/>
        <v>Medium</v>
      </c>
      <c r="X1102" s="1">
        <v>0</v>
      </c>
      <c r="Y1102" s="1" t="str">
        <f t="shared" si="232"/>
        <v>No</v>
      </c>
      <c r="Z1102" s="14">
        <v>2</v>
      </c>
      <c r="AA1102" s="18">
        <f t="shared" si="233"/>
        <v>2</v>
      </c>
      <c r="AB1102" s="18" t="str">
        <f t="shared" si="234"/>
        <v>No</v>
      </c>
      <c r="AC1102" s="9" t="s">
        <v>4298</v>
      </c>
      <c r="AD1102">
        <f>IF(AC1102="",0,LEN(AC1102)-LEN(SUBSTITUTE(AC1102,",",""))+1)</f>
        <v>2</v>
      </c>
    </row>
    <row r="1103" spans="1:30" ht="12.5" x14ac:dyDescent="0.25">
      <c r="A1103" s="1" t="s">
        <v>4299</v>
      </c>
      <c r="B1103" s="1" t="s">
        <v>4300</v>
      </c>
      <c r="C1103" s="1" t="str">
        <v>Kathryn Graham</v>
      </c>
      <c r="D1103" s="1" t="s">
        <v>4301</v>
      </c>
      <c r="E1103" s="1" t="str">
        <v>dcosta@ali-jones.com</v>
      </c>
      <c r="F1103" t="str">
        <f t="shared" si="223"/>
        <v>Valid</v>
      </c>
      <c r="G1103" s="1" t="s">
        <v>88</v>
      </c>
      <c r="H1103" s="1" t="str">
        <f t="shared" si="224"/>
        <v>Male</v>
      </c>
      <c r="I1103" s="1" t="s">
        <v>28</v>
      </c>
      <c r="J1103" t="str">
        <f t="shared" si="225"/>
        <v>INDIA</v>
      </c>
      <c r="K1103" s="14">
        <v>29</v>
      </c>
      <c r="L1103" s="1">
        <f t="shared" si="226"/>
        <v>29</v>
      </c>
      <c r="M1103" s="1" t="str">
        <f t="shared" si="227"/>
        <v>Early Career</v>
      </c>
      <c r="N1103" s="2">
        <v>45481</v>
      </c>
      <c r="O1103" s="1" t="s">
        <v>146</v>
      </c>
      <c r="P1103" s="1" t="s">
        <v>147</v>
      </c>
      <c r="Q1103" s="4">
        <v>0.28999999999999998</v>
      </c>
      <c r="R1103" s="13">
        <f t="shared" si="228"/>
        <v>28.999999999999996</v>
      </c>
      <c r="S1103" s="6">
        <f t="shared" si="222"/>
        <v>0.28999999999999998</v>
      </c>
      <c r="T1103" s="1">
        <v>1.5</v>
      </c>
      <c r="U1103" s="1">
        <f t="shared" si="229"/>
        <v>1.5</v>
      </c>
      <c r="V1103" s="1">
        <f t="shared" si="230"/>
        <v>20.749999999999996</v>
      </c>
      <c r="W1103" s="10" t="str">
        <f t="shared" si="231"/>
        <v>Low</v>
      </c>
      <c r="X1103" s="1" t="s">
        <v>76</v>
      </c>
      <c r="Y1103" s="1" t="str">
        <f t="shared" si="232"/>
        <v>Yes</v>
      </c>
      <c r="Z1103" s="14">
        <v>2</v>
      </c>
      <c r="AA1103" s="18">
        <f t="shared" si="233"/>
        <v>2</v>
      </c>
      <c r="AB1103" s="18" t="str">
        <f t="shared" si="234"/>
        <v>No</v>
      </c>
      <c r="AC1103" s="9" t="s">
        <v>4302</v>
      </c>
      <c r="AD1103">
        <f>IF(AC1103="",0,LEN(AC1103)-LEN(SUBSTITUTE(AC1103,",",""))+1)</f>
        <v>7</v>
      </c>
    </row>
    <row r="1104" spans="1:30" ht="12.5" x14ac:dyDescent="0.25">
      <c r="A1104" s="1" t="s">
        <v>4303</v>
      </c>
      <c r="B1104" s="1" t="s">
        <v>4304</v>
      </c>
      <c r="C1104" s="1" t="str">
        <v>Kathleen Robinson</v>
      </c>
      <c r="D1104" s="1" t="s">
        <v>4305</v>
      </c>
      <c r="E1104" s="1" t="str">
        <v>fryecrystal@yahoo.com</v>
      </c>
      <c r="F1104" t="str">
        <f t="shared" si="223"/>
        <v>Valid</v>
      </c>
      <c r="G1104" s="1" t="s">
        <v>119</v>
      </c>
      <c r="H1104" s="1" t="str">
        <f t="shared" si="224"/>
        <v>Female</v>
      </c>
      <c r="I1104" s="1" t="s">
        <v>89</v>
      </c>
      <c r="J1104" t="str">
        <f t="shared" si="225"/>
        <v>GERMANY</v>
      </c>
      <c r="K1104" s="14">
        <v>0</v>
      </c>
      <c r="L1104" s="1">
        <f t="shared" si="226"/>
        <v>19</v>
      </c>
      <c r="M1104" s="1" t="str">
        <f t="shared" si="227"/>
        <v>Student</v>
      </c>
      <c r="N1104" s="9">
        <v>45398</v>
      </c>
      <c r="O1104" s="1" t="s">
        <v>45</v>
      </c>
      <c r="P1104" s="1" t="s">
        <v>20</v>
      </c>
      <c r="Q1104" s="4">
        <v>0.38</v>
      </c>
      <c r="R1104" s="13">
        <f t="shared" si="228"/>
        <v>38</v>
      </c>
      <c r="S1104" s="6">
        <f t="shared" si="222"/>
        <v>0.38</v>
      </c>
      <c r="T1104" s="1">
        <v>45</v>
      </c>
      <c r="U1104" s="1">
        <f t="shared" si="229"/>
        <v>45</v>
      </c>
      <c r="V1104" s="1">
        <f t="shared" si="230"/>
        <v>40.099999999999994</v>
      </c>
      <c r="W1104" s="10" t="str">
        <f t="shared" si="231"/>
        <v>Low</v>
      </c>
      <c r="X1104" s="1" t="s">
        <v>38</v>
      </c>
      <c r="Y1104" s="1" t="str">
        <f t="shared" si="232"/>
        <v>No</v>
      </c>
      <c r="Z1104" s="14">
        <v>6</v>
      </c>
      <c r="AA1104" s="18">
        <f t="shared" si="233"/>
        <v>6</v>
      </c>
      <c r="AB1104" s="18" t="str">
        <f t="shared" si="234"/>
        <v>No</v>
      </c>
      <c r="AC1104" s="9" t="s">
        <v>4306</v>
      </c>
      <c r="AD1104">
        <f>IF(AC1104="",0,LEN(AC1104)-LEN(SUBSTITUTE(AC1104,",",""))+1)</f>
        <v>5</v>
      </c>
    </row>
    <row r="1105" spans="1:30" ht="12.5" x14ac:dyDescent="0.25">
      <c r="A1105" s="1" t="s">
        <v>4307</v>
      </c>
      <c r="B1105" s="1" t="s">
        <v>4308</v>
      </c>
      <c r="C1105" s="1" t="str">
        <v>Linda Moreno</v>
      </c>
      <c r="D1105" s="1" t="s">
        <v>4309</v>
      </c>
      <c r="E1105" s="1" t="str">
        <v>lindsay25@hotmail.com</v>
      </c>
      <c r="F1105" t="str">
        <f t="shared" si="223"/>
        <v>Valid</v>
      </c>
      <c r="G1105" s="1" t="s">
        <v>109</v>
      </c>
      <c r="H1105" s="1" t="str">
        <f t="shared" si="224"/>
        <v>Male</v>
      </c>
      <c r="I1105" s="1" t="s">
        <v>96</v>
      </c>
      <c r="J1105" t="str">
        <f t="shared" si="225"/>
        <v>INDIA</v>
      </c>
      <c r="K1105" s="14">
        <v>22</v>
      </c>
      <c r="L1105" s="1">
        <f t="shared" si="226"/>
        <v>22</v>
      </c>
      <c r="M1105" s="1" t="str">
        <f t="shared" si="227"/>
        <v>Early Career</v>
      </c>
      <c r="N1105" s="3">
        <v>45608</v>
      </c>
      <c r="O1105" s="1" t="s">
        <v>235</v>
      </c>
      <c r="P1105" s="1" t="s">
        <v>147</v>
      </c>
      <c r="Q1105" s="4">
        <v>0.8</v>
      </c>
      <c r="R1105" s="13">
        <f t="shared" si="228"/>
        <v>80</v>
      </c>
      <c r="S1105" s="6">
        <f t="shared" si="222"/>
        <v>0.8</v>
      </c>
      <c r="T1105" s="1" t="s">
        <v>64</v>
      </c>
      <c r="U1105" s="1">
        <f t="shared" si="229"/>
        <v>2</v>
      </c>
      <c r="V1105" s="1">
        <f t="shared" si="230"/>
        <v>56.6</v>
      </c>
      <c r="W1105" s="10" t="str">
        <f t="shared" si="231"/>
        <v>Medium</v>
      </c>
      <c r="X1105" s="1" t="s">
        <v>76</v>
      </c>
      <c r="Y1105" s="1" t="str">
        <f t="shared" si="232"/>
        <v>Yes</v>
      </c>
      <c r="Z1105" s="14">
        <v>5</v>
      </c>
      <c r="AA1105" s="18">
        <f t="shared" si="233"/>
        <v>5</v>
      </c>
      <c r="AB1105" s="18" t="str">
        <f t="shared" si="234"/>
        <v>High Performer</v>
      </c>
      <c r="AC1105" s="9" t="s">
        <v>4310</v>
      </c>
      <c r="AD1105">
        <f>IF(AC1105="",0,LEN(AC1105)-LEN(SUBSTITUTE(AC1105,",",""))+1)</f>
        <v>3</v>
      </c>
    </row>
    <row r="1106" spans="1:30" ht="12.5" x14ac:dyDescent="0.25">
      <c r="A1106" s="1" t="s">
        <v>4311</v>
      </c>
      <c r="B1106" s="1" t="s">
        <v>4312</v>
      </c>
      <c r="C1106" s="1" t="str">
        <v>Daniel Nguyen</v>
      </c>
      <c r="D1106" s="1" t="s">
        <v>4313</v>
      </c>
      <c r="E1106" s="1" t="str">
        <v>cynthia74@peterson.com</v>
      </c>
      <c r="F1106" t="str">
        <f t="shared" si="223"/>
        <v>Valid</v>
      </c>
      <c r="G1106" s="1" t="s">
        <v>88</v>
      </c>
      <c r="H1106" s="1" t="str">
        <f t="shared" si="224"/>
        <v>Male</v>
      </c>
      <c r="I1106" s="1" t="s">
        <v>28</v>
      </c>
      <c r="J1106" t="str">
        <f t="shared" si="225"/>
        <v>INDIA</v>
      </c>
      <c r="L1106" s="1">
        <f t="shared" si="226"/>
        <v>19</v>
      </c>
      <c r="M1106" s="1" t="str">
        <f t="shared" si="227"/>
        <v>Student</v>
      </c>
      <c r="N1106" s="2">
        <v>45600</v>
      </c>
      <c r="O1106" s="1" t="s">
        <v>90</v>
      </c>
      <c r="P1106" s="1" t="s">
        <v>31</v>
      </c>
      <c r="Q1106" s="4">
        <v>80</v>
      </c>
      <c r="R1106" s="13">
        <f t="shared" si="228"/>
        <v>80</v>
      </c>
      <c r="S1106" s="6">
        <f t="shared" si="222"/>
        <v>0.8</v>
      </c>
      <c r="T1106" s="1" t="s">
        <v>46</v>
      </c>
      <c r="U1106" s="1">
        <f t="shared" si="229"/>
        <v>1</v>
      </c>
      <c r="V1106" s="1">
        <f t="shared" si="230"/>
        <v>56.3</v>
      </c>
      <c r="W1106" s="10" t="str">
        <f t="shared" si="231"/>
        <v>Medium</v>
      </c>
      <c r="X1106" s="1" t="s">
        <v>32</v>
      </c>
      <c r="Y1106" s="1" t="str">
        <f t="shared" si="232"/>
        <v>Yes</v>
      </c>
      <c r="Z1106" s="14">
        <v>3</v>
      </c>
      <c r="AA1106" s="18">
        <f t="shared" si="233"/>
        <v>3</v>
      </c>
      <c r="AB1106" s="18" t="str">
        <f t="shared" si="234"/>
        <v>No</v>
      </c>
      <c r="AC1106" s="9" t="s">
        <v>4314</v>
      </c>
      <c r="AD1106">
        <f>IF(AC1106="",0,LEN(AC1106)-LEN(SUBSTITUTE(AC1106,",",""))+1)</f>
        <v>4</v>
      </c>
    </row>
    <row r="1107" spans="1:30" ht="12.5" x14ac:dyDescent="0.25">
      <c r="A1107" s="1" t="s">
        <v>4315</v>
      </c>
      <c r="B1107" s="1" t="s">
        <v>4316</v>
      </c>
      <c r="C1107" s="1" t="str">
        <v>Michelle Lynch</v>
      </c>
      <c r="D1107" s="1" t="s">
        <v>4317</v>
      </c>
      <c r="E1107" s="1" t="str">
        <v>belliott@dixon-davis.com</v>
      </c>
      <c r="F1107" t="str">
        <f t="shared" si="223"/>
        <v>Valid</v>
      </c>
      <c r="G1107" s="1" t="s">
        <v>43</v>
      </c>
      <c r="H1107" s="1" t="str">
        <f t="shared" si="224"/>
        <v>Female</v>
      </c>
      <c r="I1107" s="1" t="s">
        <v>51</v>
      </c>
      <c r="J1107" t="str">
        <f t="shared" si="225"/>
        <v>UK</v>
      </c>
      <c r="K1107" s="14">
        <v>0</v>
      </c>
      <c r="L1107" s="1">
        <f t="shared" si="226"/>
        <v>19</v>
      </c>
      <c r="M1107" s="1" t="str">
        <f t="shared" si="227"/>
        <v>Student</v>
      </c>
      <c r="N1107" s="9">
        <v>45157</v>
      </c>
      <c r="O1107" s="1" t="s">
        <v>158</v>
      </c>
      <c r="P1107" s="1" t="s">
        <v>59</v>
      </c>
      <c r="Q1107" s="4">
        <v>47</v>
      </c>
      <c r="R1107" s="13">
        <f t="shared" si="228"/>
        <v>47</v>
      </c>
      <c r="S1107" s="6">
        <f t="shared" si="222"/>
        <v>0.47</v>
      </c>
      <c r="T1107" s="1" t="s">
        <v>46</v>
      </c>
      <c r="U1107" s="1">
        <f t="shared" si="229"/>
        <v>1</v>
      </c>
      <c r="V1107" s="1">
        <f t="shared" si="230"/>
        <v>33.199999999999996</v>
      </c>
      <c r="W1107" s="10" t="str">
        <f t="shared" si="231"/>
        <v>Low</v>
      </c>
      <c r="X1107" s="1">
        <v>1</v>
      </c>
      <c r="Y1107" s="1" t="str">
        <f t="shared" si="232"/>
        <v>Yes</v>
      </c>
      <c r="Z1107" s="14">
        <v>4</v>
      </c>
      <c r="AA1107" s="18">
        <f t="shared" si="233"/>
        <v>4</v>
      </c>
      <c r="AB1107" s="18" t="str">
        <f t="shared" si="234"/>
        <v>High Performer</v>
      </c>
      <c r="AC1107" s="9" t="s">
        <v>3588</v>
      </c>
      <c r="AD1107">
        <f>IF(AC1107="",0,LEN(AC1107)-LEN(SUBSTITUTE(AC1107,",",""))+1)</f>
        <v>4</v>
      </c>
    </row>
    <row r="1108" spans="1:30" ht="12.5" x14ac:dyDescent="0.25">
      <c r="A1108" s="1" t="s">
        <v>4318</v>
      </c>
      <c r="B1108" s="1" t="s">
        <v>4319</v>
      </c>
      <c r="C1108" s="1" t="str">
        <v>Steven Valentine</v>
      </c>
      <c r="D1108" s="1" t="s">
        <v>4320</v>
      </c>
      <c r="E1108" s="1" t="str">
        <v>colekimberly@yahoo.com</v>
      </c>
      <c r="F1108" t="str">
        <f t="shared" si="223"/>
        <v>Valid</v>
      </c>
      <c r="G1108" s="1" t="s">
        <v>95</v>
      </c>
      <c r="H1108" s="1" t="str">
        <f t="shared" si="224"/>
        <v>Male</v>
      </c>
      <c r="I1108" s="1" t="s">
        <v>18</v>
      </c>
      <c r="J1108" t="str">
        <f t="shared" si="225"/>
        <v>US</v>
      </c>
      <c r="K1108" s="14">
        <v>0</v>
      </c>
      <c r="L1108" s="1">
        <f t="shared" si="226"/>
        <v>19</v>
      </c>
      <c r="M1108" s="1" t="str">
        <f t="shared" si="227"/>
        <v>Student</v>
      </c>
      <c r="N1108" s="9">
        <v>45626</v>
      </c>
      <c r="O1108" s="1" t="s">
        <v>114</v>
      </c>
      <c r="P1108" s="1" t="s">
        <v>59</v>
      </c>
      <c r="Q1108" s="4">
        <v>0.36</v>
      </c>
      <c r="R1108" s="13">
        <f t="shared" si="228"/>
        <v>36</v>
      </c>
      <c r="S1108" s="6">
        <f t="shared" si="222"/>
        <v>0.36</v>
      </c>
      <c r="T1108" s="1" t="s">
        <v>21</v>
      </c>
      <c r="U1108" s="1">
        <f t="shared" si="229"/>
        <v>1.5</v>
      </c>
      <c r="V1108" s="1">
        <f t="shared" si="230"/>
        <v>25.65</v>
      </c>
      <c r="W1108" s="10" t="str">
        <f t="shared" si="231"/>
        <v>Low</v>
      </c>
      <c r="X1108" s="1" t="s">
        <v>22</v>
      </c>
      <c r="Y1108" s="1" t="str">
        <f t="shared" si="232"/>
        <v>No</v>
      </c>
      <c r="Z1108" s="14">
        <v>4</v>
      </c>
      <c r="AA1108" s="18">
        <f t="shared" si="233"/>
        <v>4</v>
      </c>
      <c r="AB1108" s="18" t="str">
        <f t="shared" si="234"/>
        <v>No</v>
      </c>
      <c r="AC1108" s="9" t="s">
        <v>1840</v>
      </c>
      <c r="AD1108">
        <f>IF(AC1108="",0,LEN(AC1108)-LEN(SUBSTITUTE(AC1108,",",""))+1)</f>
        <v>3</v>
      </c>
    </row>
    <row r="1109" spans="1:30" ht="12.5" x14ac:dyDescent="0.25">
      <c r="A1109" s="1" t="s">
        <v>4321</v>
      </c>
      <c r="B1109" s="1" t="s">
        <v>4322</v>
      </c>
      <c r="C1109" s="1" t="str">
        <v>Daniel Smith</v>
      </c>
      <c r="D1109" s="1" t="s">
        <v>4323</v>
      </c>
      <c r="E1109" s="1" t="str">
        <v>yhoffman@yahoo.com</v>
      </c>
      <c r="F1109" t="str">
        <f t="shared" si="223"/>
        <v>Valid</v>
      </c>
      <c r="G1109" s="1" t="s">
        <v>57</v>
      </c>
      <c r="H1109" s="1" t="str">
        <f t="shared" si="224"/>
        <v>Female</v>
      </c>
      <c r="I1109" s="1" t="s">
        <v>44</v>
      </c>
      <c r="J1109" t="str">
        <f t="shared" si="225"/>
        <v>CANADA</v>
      </c>
      <c r="L1109" s="1">
        <f t="shared" si="226"/>
        <v>19</v>
      </c>
      <c r="M1109" s="1" t="str">
        <f t="shared" si="227"/>
        <v>Student</v>
      </c>
      <c r="N1109" s="9">
        <v>44880</v>
      </c>
      <c r="O1109" s="1" t="s">
        <v>301</v>
      </c>
      <c r="P1109" s="1" t="s">
        <v>20</v>
      </c>
      <c r="Q1109" s="4">
        <v>0.83</v>
      </c>
      <c r="R1109" s="13">
        <f t="shared" si="228"/>
        <v>83</v>
      </c>
      <c r="S1109" s="6">
        <f t="shared" si="222"/>
        <v>0.83</v>
      </c>
      <c r="T1109" s="1" t="s">
        <v>64</v>
      </c>
      <c r="U1109" s="1">
        <f t="shared" si="229"/>
        <v>2</v>
      </c>
      <c r="V1109" s="1">
        <f t="shared" si="230"/>
        <v>58.699999999999996</v>
      </c>
      <c r="W1109" s="10" t="str">
        <f t="shared" si="231"/>
        <v>Medium</v>
      </c>
      <c r="X1109" s="1" t="s">
        <v>38</v>
      </c>
      <c r="Y1109" s="1" t="str">
        <f t="shared" si="232"/>
        <v>No</v>
      </c>
      <c r="Z1109" s="14">
        <v>6</v>
      </c>
      <c r="AA1109" s="18">
        <f t="shared" si="233"/>
        <v>6</v>
      </c>
      <c r="AB1109" s="18" t="str">
        <f t="shared" si="234"/>
        <v>No</v>
      </c>
      <c r="AC1109" s="9" t="s">
        <v>4324</v>
      </c>
      <c r="AD1109">
        <f>IF(AC1109="",0,LEN(AC1109)-LEN(SUBSTITUTE(AC1109,",",""))+1)</f>
        <v>5</v>
      </c>
    </row>
    <row r="1110" spans="1:30" ht="12.5" x14ac:dyDescent="0.25">
      <c r="A1110" s="1" t="s">
        <v>4325</v>
      </c>
      <c r="B1110" s="1" t="s">
        <v>4326</v>
      </c>
      <c r="C1110" s="1" t="str">
        <v>Christina Cochran</v>
      </c>
      <c r="D1110" s="1" t="s">
        <v>4327</v>
      </c>
      <c r="E1110" s="1" t="str">
        <v>phillipsbruce@mills.com</v>
      </c>
      <c r="F1110" t="str">
        <f t="shared" si="223"/>
        <v>Valid</v>
      </c>
      <c r="G1110" s="1" t="s">
        <v>17</v>
      </c>
      <c r="H1110" s="1" t="str">
        <f t="shared" si="224"/>
        <v>Female</v>
      </c>
      <c r="I1110" s="1" t="s">
        <v>44</v>
      </c>
      <c r="J1110" t="str">
        <f t="shared" si="225"/>
        <v>CANADA</v>
      </c>
      <c r="L1110" s="1">
        <f t="shared" si="226"/>
        <v>19</v>
      </c>
      <c r="M1110" s="1" t="str">
        <f t="shared" si="227"/>
        <v>Student</v>
      </c>
      <c r="N1110" s="9">
        <v>45155</v>
      </c>
      <c r="O1110" s="1" t="s">
        <v>30</v>
      </c>
      <c r="P1110" s="1" t="s">
        <v>31</v>
      </c>
      <c r="Q1110" s="4">
        <v>0.88</v>
      </c>
      <c r="R1110" s="13">
        <f t="shared" si="228"/>
        <v>88</v>
      </c>
      <c r="S1110" s="6">
        <f t="shared" si="222"/>
        <v>0.88</v>
      </c>
      <c r="T1110" s="1" t="s">
        <v>64</v>
      </c>
      <c r="U1110" s="1">
        <f t="shared" si="229"/>
        <v>2</v>
      </c>
      <c r="V1110" s="1">
        <f t="shared" si="230"/>
        <v>62.199999999999996</v>
      </c>
      <c r="W1110" s="10" t="str">
        <f t="shared" si="231"/>
        <v>Medium</v>
      </c>
      <c r="X1110" s="1" t="s">
        <v>32</v>
      </c>
      <c r="Y1110" s="1" t="str">
        <f t="shared" si="232"/>
        <v>Yes</v>
      </c>
      <c r="Z1110" s="14">
        <v>4</v>
      </c>
      <c r="AA1110" s="18">
        <f t="shared" si="233"/>
        <v>4</v>
      </c>
      <c r="AB1110" s="18" t="str">
        <f t="shared" si="234"/>
        <v>High Performer</v>
      </c>
      <c r="AC1110" s="9" t="s">
        <v>4328</v>
      </c>
      <c r="AD1110">
        <f>IF(AC1110="",0,LEN(AC1110)-LEN(SUBSTITUTE(AC1110,",",""))+1)</f>
        <v>3</v>
      </c>
    </row>
    <row r="1111" spans="1:30" ht="12.5" x14ac:dyDescent="0.25">
      <c r="A1111" s="1" t="s">
        <v>4329</v>
      </c>
      <c r="B1111" s="1" t="s">
        <v>4330</v>
      </c>
      <c r="C1111" s="1" t="str">
        <v>Alexandra Green</v>
      </c>
      <c r="D1111" s="1" t="s">
        <v>4331</v>
      </c>
      <c r="E1111" s="1" t="str">
        <v>anthony61@marshall-browning.com</v>
      </c>
      <c r="F1111" t="str">
        <f t="shared" si="223"/>
        <v>Valid</v>
      </c>
      <c r="G1111" s="1" t="s">
        <v>27</v>
      </c>
      <c r="H1111" s="1" t="str">
        <f t="shared" si="224"/>
        <v>Male</v>
      </c>
      <c r="I1111" s="1" t="s">
        <v>89</v>
      </c>
      <c r="J1111" t="str">
        <f t="shared" si="225"/>
        <v>GERMANY</v>
      </c>
      <c r="L1111" s="1">
        <f t="shared" si="226"/>
        <v>19</v>
      </c>
      <c r="M1111" s="1" t="str">
        <f t="shared" si="227"/>
        <v>Student</v>
      </c>
      <c r="N1111" s="9">
        <v>45043</v>
      </c>
      <c r="O1111" s="1" t="s">
        <v>30</v>
      </c>
      <c r="P1111" s="1" t="s">
        <v>31</v>
      </c>
      <c r="Q1111" s="4">
        <v>41</v>
      </c>
      <c r="R1111" s="13">
        <f t="shared" si="228"/>
        <v>41</v>
      </c>
      <c r="S1111" s="6">
        <f t="shared" si="222"/>
        <v>0.41</v>
      </c>
      <c r="T1111" s="1">
        <v>2</v>
      </c>
      <c r="U1111" s="1">
        <f t="shared" si="229"/>
        <v>2</v>
      </c>
      <c r="V1111" s="1">
        <f t="shared" si="230"/>
        <v>29.3</v>
      </c>
      <c r="W1111" s="10" t="str">
        <f t="shared" si="231"/>
        <v>Low</v>
      </c>
      <c r="X1111" s="1" t="s">
        <v>38</v>
      </c>
      <c r="Y1111" s="1" t="str">
        <f t="shared" si="232"/>
        <v>No</v>
      </c>
      <c r="Z1111" s="14">
        <v>2</v>
      </c>
      <c r="AA1111" s="18">
        <f t="shared" si="233"/>
        <v>2</v>
      </c>
      <c r="AB1111" s="18" t="str">
        <f t="shared" si="234"/>
        <v>No</v>
      </c>
      <c r="AC1111" s="9" t="s">
        <v>4332</v>
      </c>
      <c r="AD1111">
        <f>IF(AC1111="",0,LEN(AC1111)-LEN(SUBSTITUTE(AC1111,",",""))+1)</f>
        <v>4</v>
      </c>
    </row>
    <row r="1112" spans="1:30" ht="12.5" x14ac:dyDescent="0.25">
      <c r="A1112" s="1" t="s">
        <v>4333</v>
      </c>
      <c r="B1112" s="1" t="s">
        <v>4334</v>
      </c>
      <c r="C1112" s="1" t="str">
        <v>Olivia Rodriguez</v>
      </c>
      <c r="D1112" s="1" t="s">
        <v>4335</v>
      </c>
      <c r="E1112" s="1" t="str">
        <v>thill@hotmail.com</v>
      </c>
      <c r="F1112" t="str">
        <f t="shared" si="223"/>
        <v>Valid</v>
      </c>
      <c r="G1112" s="1" t="s">
        <v>27</v>
      </c>
      <c r="H1112" s="1" t="str">
        <f t="shared" si="224"/>
        <v>Male</v>
      </c>
      <c r="I1112" s="1" t="s">
        <v>89</v>
      </c>
      <c r="J1112" t="str">
        <f t="shared" si="225"/>
        <v>GERMANY</v>
      </c>
      <c r="K1112" s="14">
        <v>0</v>
      </c>
      <c r="L1112" s="1">
        <f t="shared" si="226"/>
        <v>19</v>
      </c>
      <c r="M1112" s="1" t="str">
        <f t="shared" si="227"/>
        <v>Student</v>
      </c>
      <c r="N1112" s="9">
        <v>45351</v>
      </c>
      <c r="O1112" s="1" t="s">
        <v>52</v>
      </c>
      <c r="P1112" s="1" t="s">
        <v>37</v>
      </c>
      <c r="Q1112" s="4">
        <v>0.98</v>
      </c>
      <c r="R1112" s="13">
        <f t="shared" si="228"/>
        <v>98</v>
      </c>
      <c r="S1112" s="6">
        <f t="shared" si="222"/>
        <v>0.98</v>
      </c>
      <c r="T1112" s="1" t="s">
        <v>46</v>
      </c>
      <c r="U1112" s="1">
        <f t="shared" si="229"/>
        <v>1</v>
      </c>
      <c r="V1112" s="1">
        <f t="shared" si="230"/>
        <v>68.899999999999991</v>
      </c>
      <c r="W1112" s="10" t="str">
        <f t="shared" si="231"/>
        <v>Medium</v>
      </c>
      <c r="X1112" s="1">
        <v>1</v>
      </c>
      <c r="Y1112" s="1" t="str">
        <f t="shared" si="232"/>
        <v>Yes</v>
      </c>
      <c r="Z1112" s="14">
        <v>5</v>
      </c>
      <c r="AA1112" s="18">
        <f t="shared" si="233"/>
        <v>5</v>
      </c>
      <c r="AB1112" s="18" t="str">
        <f t="shared" si="234"/>
        <v>High Performer</v>
      </c>
      <c r="AC1112" s="9" t="s">
        <v>4336</v>
      </c>
      <c r="AD1112">
        <f>IF(AC1112="",0,LEN(AC1112)-LEN(SUBSTITUTE(AC1112,",",""))+1)</f>
        <v>7</v>
      </c>
    </row>
    <row r="1113" spans="1:30" ht="12.5" x14ac:dyDescent="0.25">
      <c r="A1113" s="1" t="s">
        <v>4337</v>
      </c>
      <c r="B1113" s="1" t="s">
        <v>4338</v>
      </c>
      <c r="C1113" s="1" t="str">
        <v>Alan Williams</v>
      </c>
      <c r="D1113" s="1" t="s">
        <v>4339</v>
      </c>
      <c r="E1113" s="1" t="str">
        <v>uwood@hotmail.com</v>
      </c>
      <c r="F1113" t="str">
        <f t="shared" si="223"/>
        <v>Valid</v>
      </c>
      <c r="G1113" s="1" t="s">
        <v>43</v>
      </c>
      <c r="H1113" s="1" t="str">
        <f t="shared" si="224"/>
        <v>Female</v>
      </c>
      <c r="I1113" s="1" t="s">
        <v>89</v>
      </c>
      <c r="J1113" t="str">
        <f t="shared" si="225"/>
        <v>GERMANY</v>
      </c>
      <c r="K1113" s="14">
        <v>0</v>
      </c>
      <c r="L1113" s="1">
        <f t="shared" si="226"/>
        <v>19</v>
      </c>
      <c r="M1113" s="1" t="str">
        <f t="shared" si="227"/>
        <v>Student</v>
      </c>
      <c r="N1113" s="2">
        <v>45599</v>
      </c>
      <c r="O1113" s="1" t="s">
        <v>69</v>
      </c>
      <c r="P1113" s="1" t="s">
        <v>31</v>
      </c>
      <c r="Q1113" s="4">
        <v>0.22</v>
      </c>
      <c r="R1113" s="13">
        <f t="shared" si="228"/>
        <v>22</v>
      </c>
      <c r="S1113" s="6">
        <f t="shared" si="222"/>
        <v>0.22</v>
      </c>
      <c r="T1113" s="1" t="s">
        <v>64</v>
      </c>
      <c r="U1113" s="1">
        <f t="shared" si="229"/>
        <v>2</v>
      </c>
      <c r="V1113" s="1">
        <f t="shared" si="230"/>
        <v>15.999999999999998</v>
      </c>
      <c r="W1113" s="10" t="str">
        <f t="shared" si="231"/>
        <v>Low</v>
      </c>
      <c r="X1113" s="1" t="s">
        <v>22</v>
      </c>
      <c r="Y1113" s="1" t="str">
        <f t="shared" si="232"/>
        <v>No</v>
      </c>
      <c r="Z1113" s="14">
        <v>1</v>
      </c>
      <c r="AA1113" s="18">
        <f t="shared" si="233"/>
        <v>1</v>
      </c>
      <c r="AB1113" s="18" t="str">
        <f t="shared" si="234"/>
        <v>No</v>
      </c>
      <c r="AC1113" s="9" t="s">
        <v>4340</v>
      </c>
      <c r="AD1113">
        <f>IF(AC1113="",0,LEN(AC1113)-LEN(SUBSTITUTE(AC1113,",",""))+1)</f>
        <v>4</v>
      </c>
    </row>
    <row r="1114" spans="1:30" ht="12.5" x14ac:dyDescent="0.25">
      <c r="A1114" s="1" t="s">
        <v>4341</v>
      </c>
      <c r="B1114" s="1" t="s">
        <v>4342</v>
      </c>
      <c r="C1114" s="1" t="str">
        <v>Jennifer Nguyen</v>
      </c>
      <c r="D1114" s="1" t="s">
        <v>4343</v>
      </c>
      <c r="E1114" s="1" t="str">
        <v>mario90@brown.com</v>
      </c>
      <c r="F1114" t="str">
        <f t="shared" si="223"/>
        <v>Valid</v>
      </c>
      <c r="G1114" s="1" t="s">
        <v>27</v>
      </c>
      <c r="H1114" s="1" t="str">
        <f t="shared" si="224"/>
        <v>Male</v>
      </c>
      <c r="I1114" s="1" t="s">
        <v>74</v>
      </c>
      <c r="J1114" t="str">
        <f t="shared" si="225"/>
        <v>USA</v>
      </c>
      <c r="K1114" s="14">
        <v>26</v>
      </c>
      <c r="L1114" s="1">
        <f t="shared" si="226"/>
        <v>26</v>
      </c>
      <c r="M1114" s="1" t="str">
        <f t="shared" si="227"/>
        <v>Early Career</v>
      </c>
      <c r="N1114" s="3">
        <v>45210</v>
      </c>
      <c r="O1114" s="1" t="s">
        <v>58</v>
      </c>
      <c r="P1114" s="1" t="s">
        <v>59</v>
      </c>
      <c r="Q1114" s="4">
        <v>0.34</v>
      </c>
      <c r="R1114" s="13">
        <f t="shared" si="228"/>
        <v>34</v>
      </c>
      <c r="S1114" s="6">
        <f t="shared" si="222"/>
        <v>0.34</v>
      </c>
      <c r="T1114" s="1" t="s">
        <v>64</v>
      </c>
      <c r="U1114" s="1">
        <f t="shared" si="229"/>
        <v>2</v>
      </c>
      <c r="V1114" s="1">
        <f t="shared" si="230"/>
        <v>24.4</v>
      </c>
      <c r="W1114" s="10" t="str">
        <f t="shared" si="231"/>
        <v>Low</v>
      </c>
      <c r="X1114" s="1">
        <v>1</v>
      </c>
      <c r="Y1114" s="1" t="str">
        <f t="shared" si="232"/>
        <v>Yes</v>
      </c>
      <c r="Z1114" s="14">
        <v>5</v>
      </c>
      <c r="AA1114" s="18">
        <f t="shared" si="233"/>
        <v>5</v>
      </c>
      <c r="AB1114" s="18" t="str">
        <f t="shared" si="234"/>
        <v>High Performer</v>
      </c>
      <c r="AC1114" s="9" t="s">
        <v>4344</v>
      </c>
      <c r="AD1114">
        <f>IF(AC1114="",0,LEN(AC1114)-LEN(SUBSTITUTE(AC1114,",",""))+1)</f>
        <v>4</v>
      </c>
    </row>
    <row r="1115" spans="1:30" ht="12.5" x14ac:dyDescent="0.25">
      <c r="A1115" s="1" t="s">
        <v>4345</v>
      </c>
      <c r="B1115" s="1" t="s">
        <v>4346</v>
      </c>
      <c r="C1115" s="1" t="str">
        <v>Miguel Davis</v>
      </c>
      <c r="D1115" s="1" t="s">
        <v>4347</v>
      </c>
      <c r="E1115" s="1" t="str">
        <v>matthew65@gmail.com</v>
      </c>
      <c r="F1115" t="str">
        <f t="shared" si="223"/>
        <v>Valid</v>
      </c>
      <c r="G1115" s="1" t="s">
        <v>27</v>
      </c>
      <c r="H1115" s="1" t="str">
        <f t="shared" si="224"/>
        <v>Male</v>
      </c>
      <c r="I1115" s="1" t="s">
        <v>96</v>
      </c>
      <c r="J1115" t="str">
        <f t="shared" si="225"/>
        <v>INDIA</v>
      </c>
      <c r="L1115" s="1">
        <f t="shared" si="226"/>
        <v>19</v>
      </c>
      <c r="M1115" s="1" t="str">
        <f t="shared" si="227"/>
        <v>Student</v>
      </c>
      <c r="N1115" s="9">
        <v>44763</v>
      </c>
      <c r="O1115" s="1" t="s">
        <v>158</v>
      </c>
      <c r="P1115" s="1" t="s">
        <v>59</v>
      </c>
      <c r="Q1115" s="4">
        <v>32</v>
      </c>
      <c r="R1115" s="13">
        <f t="shared" si="228"/>
        <v>32</v>
      </c>
      <c r="S1115" s="6">
        <f t="shared" si="222"/>
        <v>0.32</v>
      </c>
      <c r="T1115" s="1" t="s">
        <v>21</v>
      </c>
      <c r="U1115" s="1">
        <f t="shared" si="229"/>
        <v>1.5</v>
      </c>
      <c r="V1115" s="1">
        <f t="shared" si="230"/>
        <v>22.849999999999998</v>
      </c>
      <c r="W1115" s="10" t="str">
        <f t="shared" si="231"/>
        <v>Low</v>
      </c>
      <c r="X1115" s="1" t="s">
        <v>76</v>
      </c>
      <c r="Y1115" s="1" t="str">
        <f t="shared" si="232"/>
        <v>Yes</v>
      </c>
      <c r="Z1115" s="14">
        <v>4</v>
      </c>
      <c r="AA1115" s="18">
        <f t="shared" si="233"/>
        <v>4</v>
      </c>
      <c r="AB1115" s="18" t="str">
        <f t="shared" si="234"/>
        <v>High Performer</v>
      </c>
      <c r="AC1115" s="9" t="s">
        <v>4348</v>
      </c>
      <c r="AD1115">
        <f>IF(AC1115="",0,LEN(AC1115)-LEN(SUBSTITUTE(AC1115,",",""))+1)</f>
        <v>2</v>
      </c>
    </row>
    <row r="1116" spans="1:30" ht="12.5" x14ac:dyDescent="0.25">
      <c r="A1116" s="1" t="s">
        <v>4349</v>
      </c>
      <c r="B1116" s="1" t="s">
        <v>4350</v>
      </c>
      <c r="C1116" s="1" t="str">
        <v>Richard Neal</v>
      </c>
      <c r="D1116" s="1" t="s">
        <v>4351</v>
      </c>
      <c r="E1116" s="1" t="str">
        <v>shanewilson@perez-brown.net</v>
      </c>
      <c r="F1116" t="str">
        <f t="shared" si="223"/>
        <v>Valid</v>
      </c>
      <c r="G1116" s="1" t="s">
        <v>17</v>
      </c>
      <c r="H1116" s="1" t="str">
        <f t="shared" si="224"/>
        <v>Female</v>
      </c>
      <c r="I1116" s="1" t="s">
        <v>156</v>
      </c>
      <c r="J1116" t="str">
        <f t="shared" si="225"/>
        <v>IN</v>
      </c>
      <c r="K1116" s="14">
        <v>42</v>
      </c>
      <c r="L1116" s="1">
        <f t="shared" si="226"/>
        <v>42</v>
      </c>
      <c r="M1116" s="1" t="str">
        <f t="shared" si="227"/>
        <v>Senior</v>
      </c>
      <c r="N1116" s="2">
        <v>45601</v>
      </c>
      <c r="O1116" s="1" t="s">
        <v>114</v>
      </c>
      <c r="P1116" s="1" t="s">
        <v>59</v>
      </c>
      <c r="Q1116" s="4">
        <v>0.55000000000000004</v>
      </c>
      <c r="R1116" s="13">
        <f t="shared" si="228"/>
        <v>55.000000000000007</v>
      </c>
      <c r="S1116" s="6">
        <f t="shared" si="222"/>
        <v>0.55000000000000004</v>
      </c>
      <c r="T1116" s="1">
        <v>45</v>
      </c>
      <c r="U1116" s="1">
        <f t="shared" si="229"/>
        <v>45</v>
      </c>
      <c r="V1116" s="1">
        <f t="shared" si="230"/>
        <v>52</v>
      </c>
      <c r="W1116" s="10" t="str">
        <f t="shared" si="231"/>
        <v>Medium</v>
      </c>
      <c r="X1116" s="1" t="s">
        <v>76</v>
      </c>
      <c r="Y1116" s="1" t="str">
        <f t="shared" si="232"/>
        <v>Yes</v>
      </c>
      <c r="Z1116" s="14">
        <v>4</v>
      </c>
      <c r="AA1116" s="18">
        <f t="shared" si="233"/>
        <v>4</v>
      </c>
      <c r="AB1116" s="18" t="str">
        <f t="shared" si="234"/>
        <v>High Performer</v>
      </c>
      <c r="AC1116" s="9" t="s">
        <v>4352</v>
      </c>
      <c r="AD1116">
        <f>IF(AC1116="",0,LEN(AC1116)-LEN(SUBSTITUTE(AC1116,",",""))+1)</f>
        <v>8</v>
      </c>
    </row>
    <row r="1117" spans="1:30" ht="12.5" x14ac:dyDescent="0.25">
      <c r="A1117" s="1" t="s">
        <v>4353</v>
      </c>
      <c r="B1117" s="1" t="s">
        <v>4354</v>
      </c>
      <c r="C1117" s="1" t="str">
        <v>Andrew Robinson</v>
      </c>
      <c r="D1117" s="1" t="s">
        <v>127</v>
      </c>
      <c r="E1117" s="1" t="str">
        <v>invalid-email</v>
      </c>
      <c r="F1117" t="str">
        <f t="shared" si="223"/>
        <v>Invalid</v>
      </c>
      <c r="G1117" s="1" t="s">
        <v>95</v>
      </c>
      <c r="H1117" s="1" t="str">
        <f t="shared" si="224"/>
        <v>Male</v>
      </c>
      <c r="I1117" s="1" t="s">
        <v>28</v>
      </c>
      <c r="J1117" t="str">
        <f t="shared" si="225"/>
        <v>INDIA</v>
      </c>
      <c r="L1117" s="1">
        <f t="shared" si="226"/>
        <v>19</v>
      </c>
      <c r="M1117" s="1" t="str">
        <f t="shared" si="227"/>
        <v>Student</v>
      </c>
      <c r="N1117" s="9">
        <v>44695</v>
      </c>
      <c r="O1117" s="1" t="s">
        <v>36</v>
      </c>
      <c r="P1117" s="1" t="s">
        <v>37</v>
      </c>
      <c r="Q1117" s="4">
        <v>95</v>
      </c>
      <c r="R1117" s="13">
        <f t="shared" si="228"/>
        <v>95</v>
      </c>
      <c r="S1117" s="6">
        <f t="shared" si="222"/>
        <v>0.95</v>
      </c>
      <c r="T1117" s="1" t="s">
        <v>21</v>
      </c>
      <c r="U1117" s="1">
        <f t="shared" si="229"/>
        <v>1.5</v>
      </c>
      <c r="V1117" s="1">
        <f t="shared" si="230"/>
        <v>66.95</v>
      </c>
      <c r="W1117" s="10" t="str">
        <f t="shared" si="231"/>
        <v>Medium</v>
      </c>
      <c r="X1117" s="1">
        <v>0</v>
      </c>
      <c r="Y1117" s="1" t="str">
        <f t="shared" si="232"/>
        <v>No</v>
      </c>
      <c r="AA1117" s="18" t="str">
        <f t="shared" si="233"/>
        <v>Invalid</v>
      </c>
      <c r="AB1117" s="18" t="str">
        <f t="shared" si="234"/>
        <v>No</v>
      </c>
      <c r="AC1117" s="9" t="s">
        <v>4356</v>
      </c>
      <c r="AD1117">
        <f>IF(AC1117="",0,LEN(AC1117)-LEN(SUBSTITUTE(AC1117,",",""))+1)</f>
        <v>5</v>
      </c>
    </row>
    <row r="1118" spans="1:30" ht="12.5" x14ac:dyDescent="0.25">
      <c r="A1118" s="1" t="s">
        <v>4357</v>
      </c>
      <c r="B1118" s="1" t="s">
        <v>4358</v>
      </c>
      <c r="C1118" s="1" t="str">
        <v>Francisco Hughes</v>
      </c>
      <c r="D1118" s="1" t="s">
        <v>4359</v>
      </c>
      <c r="E1118" s="1" t="str">
        <v>dixonkeith@gmail.com</v>
      </c>
      <c r="F1118" t="str">
        <f t="shared" si="223"/>
        <v>Valid</v>
      </c>
      <c r="G1118" s="1" t="s">
        <v>57</v>
      </c>
      <c r="H1118" s="1" t="str">
        <f t="shared" si="224"/>
        <v>Female</v>
      </c>
      <c r="I1118" s="1" t="s">
        <v>89</v>
      </c>
      <c r="J1118" t="str">
        <f t="shared" si="225"/>
        <v>GERMANY</v>
      </c>
      <c r="K1118" s="14">
        <v>22</v>
      </c>
      <c r="L1118" s="1">
        <f t="shared" si="226"/>
        <v>22</v>
      </c>
      <c r="M1118" s="1" t="str">
        <f t="shared" si="227"/>
        <v>Early Career</v>
      </c>
      <c r="N1118" s="2">
        <v>44989</v>
      </c>
      <c r="O1118" s="1" t="s">
        <v>52</v>
      </c>
      <c r="P1118" s="1" t="s">
        <v>37</v>
      </c>
      <c r="Q1118" s="4">
        <v>0.79</v>
      </c>
      <c r="R1118" s="13">
        <f t="shared" si="228"/>
        <v>79</v>
      </c>
      <c r="S1118" s="6">
        <f t="shared" si="222"/>
        <v>0.79</v>
      </c>
      <c r="T1118" s="1" t="s">
        <v>21</v>
      </c>
      <c r="U1118" s="1">
        <f t="shared" si="229"/>
        <v>1.5</v>
      </c>
      <c r="V1118" s="1">
        <f t="shared" si="230"/>
        <v>55.75</v>
      </c>
      <c r="W1118" s="10" t="str">
        <f t="shared" si="231"/>
        <v>Medium</v>
      </c>
      <c r="X1118" s="1" t="s">
        <v>32</v>
      </c>
      <c r="Y1118" s="1" t="str">
        <f t="shared" si="232"/>
        <v>Yes</v>
      </c>
      <c r="Z1118" s="14">
        <v>5</v>
      </c>
      <c r="AA1118" s="18">
        <f t="shared" si="233"/>
        <v>5</v>
      </c>
      <c r="AB1118" s="18" t="str">
        <f t="shared" si="234"/>
        <v>High Performer</v>
      </c>
      <c r="AC1118" s="9" t="s">
        <v>4360</v>
      </c>
      <c r="AD1118">
        <f>IF(AC1118="",0,LEN(AC1118)-LEN(SUBSTITUTE(AC1118,",",""))+1)</f>
        <v>7</v>
      </c>
    </row>
    <row r="1119" spans="1:30" ht="12.5" x14ac:dyDescent="0.25">
      <c r="A1119" s="1" t="s">
        <v>4361</v>
      </c>
      <c r="B1119" s="1" t="s">
        <v>4362</v>
      </c>
      <c r="C1119" s="1" t="str">
        <v>Curtis Johnson</v>
      </c>
      <c r="D1119" s="1" t="s">
        <v>4363</v>
      </c>
      <c r="E1119" s="1" t="str">
        <v>ssmith@perkins.net</v>
      </c>
      <c r="F1119" t="str">
        <f t="shared" si="223"/>
        <v>Valid</v>
      </c>
      <c r="G1119" s="1" t="s">
        <v>27</v>
      </c>
      <c r="H1119" s="1" t="str">
        <f t="shared" si="224"/>
        <v>Male</v>
      </c>
      <c r="I1119" s="1" t="s">
        <v>136</v>
      </c>
      <c r="J1119" t="str">
        <f t="shared" si="225"/>
        <v>UK</v>
      </c>
      <c r="K1119" s="14">
        <v>21</v>
      </c>
      <c r="L1119" s="1">
        <f t="shared" si="226"/>
        <v>21</v>
      </c>
      <c r="M1119" s="1" t="str">
        <f t="shared" si="227"/>
        <v>Student</v>
      </c>
      <c r="N1119" s="2">
        <v>45932</v>
      </c>
      <c r="O1119" s="1" t="s">
        <v>235</v>
      </c>
      <c r="P1119" s="1" t="s">
        <v>147</v>
      </c>
      <c r="Q1119" s="4">
        <v>0.02</v>
      </c>
      <c r="R1119" s="13">
        <f t="shared" si="228"/>
        <v>2</v>
      </c>
      <c r="S1119" s="6">
        <f t="shared" si="222"/>
        <v>0.02</v>
      </c>
      <c r="T1119" s="1" t="s">
        <v>21</v>
      </c>
      <c r="U1119" s="1">
        <f t="shared" si="229"/>
        <v>1.5</v>
      </c>
      <c r="V1119" s="1">
        <f t="shared" si="230"/>
        <v>1.8499999999999999</v>
      </c>
      <c r="W1119" s="10" t="str">
        <f t="shared" si="231"/>
        <v>Low</v>
      </c>
      <c r="X1119" s="1" t="s">
        <v>38</v>
      </c>
      <c r="Y1119" s="1" t="str">
        <f t="shared" si="232"/>
        <v>No</v>
      </c>
      <c r="Z1119" s="14">
        <v>2</v>
      </c>
      <c r="AA1119" s="18">
        <f t="shared" si="233"/>
        <v>2</v>
      </c>
      <c r="AB1119" s="18" t="str">
        <f t="shared" si="234"/>
        <v>No</v>
      </c>
      <c r="AC1119" s="9" t="s">
        <v>1074</v>
      </c>
      <c r="AD1119">
        <f>IF(AC1119="",0,LEN(AC1119)-LEN(SUBSTITUTE(AC1119,",",""))+1)</f>
        <v>7</v>
      </c>
    </row>
    <row r="1120" spans="1:30" ht="12.5" x14ac:dyDescent="0.25">
      <c r="A1120" s="1" t="s">
        <v>4364</v>
      </c>
      <c r="B1120" s="1" t="s">
        <v>4365</v>
      </c>
      <c r="C1120" s="1" t="str">
        <v>Mark Dean</v>
      </c>
      <c r="D1120" s="1" t="s">
        <v>127</v>
      </c>
      <c r="E1120" s="1" t="str">
        <v>invalid-email</v>
      </c>
      <c r="F1120" t="str">
        <f t="shared" si="223"/>
        <v>Invalid</v>
      </c>
      <c r="G1120" s="1" t="s">
        <v>27</v>
      </c>
      <c r="H1120" s="1" t="str">
        <f t="shared" si="224"/>
        <v>Male</v>
      </c>
      <c r="I1120" s="1" t="s">
        <v>18</v>
      </c>
      <c r="J1120" t="str">
        <f t="shared" si="225"/>
        <v>US</v>
      </c>
      <c r="K1120" s="14">
        <v>0</v>
      </c>
      <c r="L1120" s="1">
        <f t="shared" si="226"/>
        <v>19</v>
      </c>
      <c r="M1120" s="1" t="str">
        <f t="shared" si="227"/>
        <v>Student</v>
      </c>
      <c r="N1120" s="9">
        <v>44913</v>
      </c>
      <c r="O1120" s="1" t="s">
        <v>235</v>
      </c>
      <c r="P1120" s="1" t="s">
        <v>147</v>
      </c>
      <c r="Q1120" s="4">
        <v>0.22</v>
      </c>
      <c r="R1120" s="13">
        <f t="shared" si="228"/>
        <v>22</v>
      </c>
      <c r="S1120" s="6">
        <f t="shared" si="222"/>
        <v>0.22</v>
      </c>
      <c r="T1120" s="1">
        <v>45</v>
      </c>
      <c r="U1120" s="1">
        <f t="shared" si="229"/>
        <v>45</v>
      </c>
      <c r="V1120" s="1">
        <f t="shared" si="230"/>
        <v>28.9</v>
      </c>
      <c r="W1120" s="10" t="str">
        <f t="shared" si="231"/>
        <v>Low</v>
      </c>
      <c r="X1120" s="1" t="s">
        <v>38</v>
      </c>
      <c r="Y1120" s="1" t="str">
        <f t="shared" si="232"/>
        <v>No</v>
      </c>
      <c r="Z1120" s="14">
        <v>2</v>
      </c>
      <c r="AA1120" s="18">
        <f t="shared" si="233"/>
        <v>2</v>
      </c>
      <c r="AB1120" s="18" t="str">
        <f t="shared" si="234"/>
        <v>No</v>
      </c>
      <c r="AC1120" s="9" t="s">
        <v>4366</v>
      </c>
      <c r="AD1120">
        <f>IF(AC1120="",0,LEN(AC1120)-LEN(SUBSTITUTE(AC1120,",",""))+1)</f>
        <v>8</v>
      </c>
    </row>
    <row r="1121" spans="1:30" ht="12.5" x14ac:dyDescent="0.25">
      <c r="A1121" s="1" t="s">
        <v>4367</v>
      </c>
      <c r="B1121" s="1" t="s">
        <v>4368</v>
      </c>
      <c r="C1121" s="1" t="str">
        <v>Dakota Lawson</v>
      </c>
      <c r="D1121" s="1" t="s">
        <v>4369</v>
      </c>
      <c r="E1121" s="1" t="str">
        <v>markgreen@gmail.com</v>
      </c>
      <c r="F1121" t="str">
        <f t="shared" si="223"/>
        <v>Valid</v>
      </c>
      <c r="G1121" s="1" t="s">
        <v>88</v>
      </c>
      <c r="H1121" s="1" t="str">
        <f t="shared" si="224"/>
        <v>Male</v>
      </c>
      <c r="I1121" s="1" t="s">
        <v>28</v>
      </c>
      <c r="J1121" t="str">
        <f t="shared" si="225"/>
        <v>INDIA</v>
      </c>
      <c r="L1121" s="1">
        <f t="shared" si="226"/>
        <v>19</v>
      </c>
      <c r="M1121" s="1" t="str">
        <f t="shared" si="227"/>
        <v>Student</v>
      </c>
      <c r="N1121" s="9">
        <v>45070</v>
      </c>
      <c r="O1121" s="1" t="s">
        <v>235</v>
      </c>
      <c r="P1121" s="1" t="s">
        <v>147</v>
      </c>
      <c r="Q1121" s="4">
        <v>0.56000000000000005</v>
      </c>
      <c r="R1121" s="13">
        <f t="shared" si="228"/>
        <v>56.000000000000007</v>
      </c>
      <c r="S1121" s="6">
        <f t="shared" si="222"/>
        <v>0.56000000000000005</v>
      </c>
      <c r="T1121" s="1">
        <v>1.5</v>
      </c>
      <c r="U1121" s="1">
        <f t="shared" si="229"/>
        <v>1.5</v>
      </c>
      <c r="V1121" s="1">
        <f t="shared" si="230"/>
        <v>39.650000000000006</v>
      </c>
      <c r="W1121" s="10" t="str">
        <f t="shared" si="231"/>
        <v>Low</v>
      </c>
      <c r="X1121" s="1">
        <v>0</v>
      </c>
      <c r="Y1121" s="1" t="str">
        <f t="shared" si="232"/>
        <v>No</v>
      </c>
      <c r="Z1121" s="14">
        <v>4</v>
      </c>
      <c r="AA1121" s="18">
        <f t="shared" si="233"/>
        <v>4</v>
      </c>
      <c r="AB1121" s="18" t="str">
        <f t="shared" si="234"/>
        <v>No</v>
      </c>
      <c r="AC1121" s="9" t="s">
        <v>4370</v>
      </c>
      <c r="AD1121">
        <f>IF(AC1121="",0,LEN(AC1121)-LEN(SUBSTITUTE(AC1121,",",""))+1)</f>
        <v>2</v>
      </c>
    </row>
    <row r="1122" spans="1:30" ht="12.5" x14ac:dyDescent="0.25">
      <c r="A1122" s="1" t="s">
        <v>4371</v>
      </c>
      <c r="B1122" s="1" t="s">
        <v>4372</v>
      </c>
      <c r="C1122" s="1" t="str">
        <v>Marisa Hunt</v>
      </c>
      <c r="D1122" s="1" t="s">
        <v>4373</v>
      </c>
      <c r="E1122" s="1" t="str">
        <v>jackwilliams@gmail.com</v>
      </c>
      <c r="F1122" t="str">
        <f t="shared" si="223"/>
        <v>Valid</v>
      </c>
      <c r="G1122" s="1" t="s">
        <v>43</v>
      </c>
      <c r="H1122" s="1" t="str">
        <f t="shared" si="224"/>
        <v>Female</v>
      </c>
      <c r="I1122" s="1" t="s">
        <v>156</v>
      </c>
      <c r="J1122" t="str">
        <f t="shared" si="225"/>
        <v>IN</v>
      </c>
      <c r="K1122" s="14">
        <v>0</v>
      </c>
      <c r="L1122" s="1">
        <f t="shared" si="226"/>
        <v>19</v>
      </c>
      <c r="M1122" s="1" t="str">
        <f t="shared" si="227"/>
        <v>Student</v>
      </c>
      <c r="N1122" s="2">
        <v>45962</v>
      </c>
      <c r="O1122" s="1" t="s">
        <v>58</v>
      </c>
      <c r="P1122" s="1" t="s">
        <v>59</v>
      </c>
      <c r="Q1122" s="4">
        <v>0.64</v>
      </c>
      <c r="R1122" s="13">
        <f t="shared" si="228"/>
        <v>64</v>
      </c>
      <c r="S1122" s="6">
        <f t="shared" si="222"/>
        <v>0.64</v>
      </c>
      <c r="T1122" s="1">
        <v>2</v>
      </c>
      <c r="U1122" s="1">
        <f t="shared" si="229"/>
        <v>2</v>
      </c>
      <c r="V1122" s="1">
        <f t="shared" si="230"/>
        <v>45.4</v>
      </c>
      <c r="W1122" s="10" t="str">
        <f t="shared" si="231"/>
        <v>Medium</v>
      </c>
      <c r="X1122" s="1">
        <v>0</v>
      </c>
      <c r="Y1122" s="1" t="str">
        <f t="shared" si="232"/>
        <v>No</v>
      </c>
      <c r="Z1122" s="14">
        <v>5</v>
      </c>
      <c r="AA1122" s="18">
        <f t="shared" si="233"/>
        <v>5</v>
      </c>
      <c r="AB1122" s="18" t="str">
        <f t="shared" si="234"/>
        <v>No</v>
      </c>
      <c r="AC1122" s="9" t="s">
        <v>3918</v>
      </c>
      <c r="AD1122">
        <f>IF(AC1122="",0,LEN(AC1122)-LEN(SUBSTITUTE(AC1122,",",""))+1)</f>
        <v>6</v>
      </c>
    </row>
    <row r="1123" spans="1:30" ht="12.5" x14ac:dyDescent="0.25">
      <c r="A1123" s="1" t="s">
        <v>4374</v>
      </c>
      <c r="B1123" s="1" t="s">
        <v>4375</v>
      </c>
      <c r="C1123" s="1" t="str">
        <v>Sandra Craig</v>
      </c>
      <c r="D1123" s="1" t="s">
        <v>4376</v>
      </c>
      <c r="E1123" s="1" t="str">
        <v>steven39@yahoo.com</v>
      </c>
      <c r="F1123" t="str">
        <f t="shared" si="223"/>
        <v>Valid</v>
      </c>
      <c r="G1123" s="1" t="s">
        <v>43</v>
      </c>
      <c r="H1123" s="1" t="str">
        <f t="shared" si="224"/>
        <v>Female</v>
      </c>
      <c r="I1123" s="1" t="s">
        <v>18</v>
      </c>
      <c r="J1123" t="str">
        <f t="shared" si="225"/>
        <v>US</v>
      </c>
      <c r="L1123" s="1">
        <f t="shared" si="226"/>
        <v>19</v>
      </c>
      <c r="M1123" s="1" t="str">
        <f t="shared" si="227"/>
        <v>Student</v>
      </c>
      <c r="N1123" s="9">
        <v>44977</v>
      </c>
      <c r="O1123" s="1" t="s">
        <v>158</v>
      </c>
      <c r="P1123" s="1" t="s">
        <v>59</v>
      </c>
      <c r="Q1123" s="4">
        <v>0.45</v>
      </c>
      <c r="R1123" s="13">
        <f t="shared" si="228"/>
        <v>45</v>
      </c>
      <c r="S1123" s="6">
        <f t="shared" si="222"/>
        <v>0.45</v>
      </c>
      <c r="T1123" s="1" t="s">
        <v>21</v>
      </c>
      <c r="U1123" s="1">
        <f t="shared" si="229"/>
        <v>1.5</v>
      </c>
      <c r="V1123" s="1">
        <f t="shared" si="230"/>
        <v>31.949999999999996</v>
      </c>
      <c r="W1123" s="10" t="str">
        <f t="shared" si="231"/>
        <v>Low</v>
      </c>
      <c r="X1123" s="1">
        <v>0</v>
      </c>
      <c r="Y1123" s="1" t="str">
        <f t="shared" si="232"/>
        <v>No</v>
      </c>
      <c r="Z1123" s="14">
        <v>4</v>
      </c>
      <c r="AA1123" s="18">
        <f t="shared" si="233"/>
        <v>4</v>
      </c>
      <c r="AB1123" s="18" t="str">
        <f t="shared" si="234"/>
        <v>No</v>
      </c>
      <c r="AC1123" s="9" t="s">
        <v>4377</v>
      </c>
      <c r="AD1123">
        <f>IF(AC1123="",0,LEN(AC1123)-LEN(SUBSTITUTE(AC1123,",",""))+1)</f>
        <v>7</v>
      </c>
    </row>
    <row r="1124" spans="1:30" ht="12.5" x14ac:dyDescent="0.25">
      <c r="A1124" s="1" t="s">
        <v>4378</v>
      </c>
      <c r="B1124" s="1" t="s">
        <v>4379</v>
      </c>
      <c r="C1124" s="1" t="str">
        <v>Christopher Cook</v>
      </c>
      <c r="D1124" s="1" t="s">
        <v>4380</v>
      </c>
      <c r="E1124" s="1" t="str">
        <v>dcortez@yahoo.com</v>
      </c>
      <c r="F1124" t="str">
        <f t="shared" si="223"/>
        <v>Valid</v>
      </c>
      <c r="G1124" s="1" t="s">
        <v>95</v>
      </c>
      <c r="H1124" s="1" t="str">
        <f t="shared" si="224"/>
        <v>Male</v>
      </c>
      <c r="I1124" s="1" t="s">
        <v>136</v>
      </c>
      <c r="J1124" t="str">
        <f t="shared" si="225"/>
        <v>UK</v>
      </c>
      <c r="K1124" s="14">
        <v>0</v>
      </c>
      <c r="L1124" s="1">
        <f t="shared" si="226"/>
        <v>19</v>
      </c>
      <c r="M1124" s="1" t="str">
        <f t="shared" si="227"/>
        <v>Student</v>
      </c>
      <c r="N1124" s="2">
        <v>45172</v>
      </c>
      <c r="O1124" s="1" t="s">
        <v>90</v>
      </c>
      <c r="P1124" s="1" t="s">
        <v>31</v>
      </c>
      <c r="Q1124" s="4">
        <v>2</v>
      </c>
      <c r="R1124" s="13">
        <f t="shared" si="228"/>
        <v>2</v>
      </c>
      <c r="S1124" s="6">
        <f t="shared" si="222"/>
        <v>0.02</v>
      </c>
      <c r="T1124" s="1" t="s">
        <v>64</v>
      </c>
      <c r="U1124" s="1">
        <f t="shared" si="229"/>
        <v>2</v>
      </c>
      <c r="V1124" s="1">
        <f t="shared" si="230"/>
        <v>2</v>
      </c>
      <c r="W1124" s="10" t="str">
        <f t="shared" si="231"/>
        <v>Low</v>
      </c>
      <c r="X1124" s="1" t="s">
        <v>38</v>
      </c>
      <c r="Y1124" s="1" t="str">
        <f t="shared" si="232"/>
        <v>No</v>
      </c>
      <c r="Z1124" s="14">
        <v>4</v>
      </c>
      <c r="AA1124" s="18">
        <f t="shared" si="233"/>
        <v>4</v>
      </c>
      <c r="AB1124" s="18" t="str">
        <f t="shared" si="234"/>
        <v>No</v>
      </c>
      <c r="AC1124" s="9" t="s">
        <v>4381</v>
      </c>
      <c r="AD1124">
        <f>IF(AC1124="",0,LEN(AC1124)-LEN(SUBSTITUTE(AC1124,",",""))+1)</f>
        <v>2</v>
      </c>
    </row>
    <row r="1125" spans="1:30" ht="12.5" x14ac:dyDescent="0.25">
      <c r="A1125" s="1" t="s">
        <v>4382</v>
      </c>
      <c r="B1125" s="1" t="s">
        <v>4383</v>
      </c>
      <c r="C1125" s="1" t="str">
        <v>Kyle Norton</v>
      </c>
      <c r="D1125" s="1" t="s">
        <v>4384</v>
      </c>
      <c r="E1125" s="1" t="str">
        <v>jensennicole@harvey.com</v>
      </c>
      <c r="F1125" t="str">
        <f t="shared" si="223"/>
        <v>Valid</v>
      </c>
      <c r="G1125" s="1" t="s">
        <v>43</v>
      </c>
      <c r="H1125" s="1" t="str">
        <f t="shared" si="224"/>
        <v>Female</v>
      </c>
      <c r="I1125" s="1" t="s">
        <v>28</v>
      </c>
      <c r="J1125" t="str">
        <f t="shared" si="225"/>
        <v>INDIA</v>
      </c>
      <c r="L1125" s="1">
        <f t="shared" si="226"/>
        <v>19</v>
      </c>
      <c r="M1125" s="1" t="str">
        <f t="shared" si="227"/>
        <v>Student</v>
      </c>
      <c r="N1125" s="9">
        <v>45592</v>
      </c>
      <c r="O1125" s="1" t="s">
        <v>301</v>
      </c>
      <c r="P1125" s="1" t="s">
        <v>20</v>
      </c>
      <c r="Q1125" s="4">
        <v>0.46</v>
      </c>
      <c r="R1125" s="13">
        <f t="shared" si="228"/>
        <v>46</v>
      </c>
      <c r="S1125" s="6">
        <f t="shared" si="222"/>
        <v>0.46</v>
      </c>
      <c r="T1125" s="1">
        <v>2</v>
      </c>
      <c r="U1125" s="1">
        <f t="shared" si="229"/>
        <v>2</v>
      </c>
      <c r="V1125" s="1">
        <f t="shared" si="230"/>
        <v>32.799999999999997</v>
      </c>
      <c r="W1125" s="10" t="str">
        <f t="shared" si="231"/>
        <v>Low</v>
      </c>
      <c r="X1125" s="1" t="s">
        <v>22</v>
      </c>
      <c r="Y1125" s="1" t="str">
        <f t="shared" si="232"/>
        <v>No</v>
      </c>
      <c r="Z1125" s="14">
        <v>3</v>
      </c>
      <c r="AA1125" s="18">
        <f t="shared" si="233"/>
        <v>3</v>
      </c>
      <c r="AB1125" s="18" t="str">
        <f t="shared" si="234"/>
        <v>No</v>
      </c>
      <c r="AC1125" s="9" t="s">
        <v>4385</v>
      </c>
      <c r="AD1125">
        <f>IF(AC1125="",0,LEN(AC1125)-LEN(SUBSTITUTE(AC1125,",",""))+1)</f>
        <v>5</v>
      </c>
    </row>
    <row r="1126" spans="1:30" ht="12.5" x14ac:dyDescent="0.25">
      <c r="A1126" s="1" t="s">
        <v>4386</v>
      </c>
      <c r="B1126" s="1" t="s">
        <v>4387</v>
      </c>
      <c r="C1126" s="1" t="str">
        <v>Caitlin Brown</v>
      </c>
      <c r="D1126" s="1" t="s">
        <v>4388</v>
      </c>
      <c r="E1126" s="1" t="str">
        <v>tashaharmon@jones-butler.com</v>
      </c>
      <c r="F1126" t="str">
        <f t="shared" si="223"/>
        <v>Valid</v>
      </c>
      <c r="G1126" s="1" t="s">
        <v>27</v>
      </c>
      <c r="H1126" s="1" t="str">
        <f t="shared" si="224"/>
        <v>Male</v>
      </c>
      <c r="I1126" s="1" t="s">
        <v>136</v>
      </c>
      <c r="J1126" t="str">
        <f t="shared" si="225"/>
        <v>UK</v>
      </c>
      <c r="L1126" s="1">
        <f t="shared" si="226"/>
        <v>19</v>
      </c>
      <c r="M1126" s="1" t="str">
        <f t="shared" si="227"/>
        <v>Student</v>
      </c>
      <c r="N1126" s="2">
        <v>44746</v>
      </c>
      <c r="O1126" s="1" t="s">
        <v>45</v>
      </c>
      <c r="P1126" s="1" t="s">
        <v>20</v>
      </c>
      <c r="Q1126" s="4">
        <v>0.7</v>
      </c>
      <c r="R1126" s="13">
        <f t="shared" si="228"/>
        <v>70</v>
      </c>
      <c r="S1126" s="6">
        <f t="shared" si="222"/>
        <v>0.7</v>
      </c>
      <c r="T1126" s="1">
        <v>1.5</v>
      </c>
      <c r="U1126" s="1">
        <f t="shared" si="229"/>
        <v>1.5</v>
      </c>
      <c r="V1126" s="1">
        <f t="shared" si="230"/>
        <v>49.45</v>
      </c>
      <c r="W1126" s="10" t="str">
        <f t="shared" si="231"/>
        <v>Medium</v>
      </c>
      <c r="X1126" s="1" t="s">
        <v>38</v>
      </c>
      <c r="Y1126" s="1" t="str">
        <f t="shared" si="232"/>
        <v>No</v>
      </c>
      <c r="Z1126" s="14">
        <v>1</v>
      </c>
      <c r="AA1126" s="18">
        <f t="shared" si="233"/>
        <v>1</v>
      </c>
      <c r="AB1126" s="18" t="str">
        <f t="shared" si="234"/>
        <v>No</v>
      </c>
      <c r="AC1126" s="9" t="s">
        <v>4389</v>
      </c>
      <c r="AD1126">
        <f>IF(AC1126="",0,LEN(AC1126)-LEN(SUBSTITUTE(AC1126,",",""))+1)</f>
        <v>3</v>
      </c>
    </row>
    <row r="1127" spans="1:30" ht="12.5" x14ac:dyDescent="0.25">
      <c r="A1127" s="1" t="s">
        <v>4390</v>
      </c>
      <c r="B1127" s="1" t="s">
        <v>4391</v>
      </c>
      <c r="C1127" s="1" t="str">
        <v>Dennis Conrad</v>
      </c>
      <c r="D1127" s="1" t="s">
        <v>4392</v>
      </c>
      <c r="E1127" s="1" t="str">
        <v>calhounjulie@mcguire.com</v>
      </c>
      <c r="F1127" t="str">
        <f t="shared" si="223"/>
        <v>Valid</v>
      </c>
      <c r="G1127" s="1" t="s">
        <v>95</v>
      </c>
      <c r="H1127" s="1" t="str">
        <f t="shared" si="224"/>
        <v>Male</v>
      </c>
      <c r="I1127" s="1" t="s">
        <v>51</v>
      </c>
      <c r="J1127" t="str">
        <f t="shared" si="225"/>
        <v>UK</v>
      </c>
      <c r="K1127" s="14">
        <v>0</v>
      </c>
      <c r="L1127" s="1">
        <f t="shared" si="226"/>
        <v>19</v>
      </c>
      <c r="M1127" s="1" t="str">
        <f t="shared" si="227"/>
        <v>Student</v>
      </c>
      <c r="N1127" s="9">
        <v>45120</v>
      </c>
      <c r="O1127" s="1" t="s">
        <v>36</v>
      </c>
      <c r="P1127" s="1" t="s">
        <v>37</v>
      </c>
      <c r="Q1127" s="4">
        <v>0.66</v>
      </c>
      <c r="R1127" s="13">
        <f t="shared" si="228"/>
        <v>66</v>
      </c>
      <c r="S1127" s="6">
        <f t="shared" si="222"/>
        <v>0.66</v>
      </c>
      <c r="T1127" s="1" t="s">
        <v>64</v>
      </c>
      <c r="U1127" s="1">
        <f t="shared" si="229"/>
        <v>2</v>
      </c>
      <c r="V1127" s="1">
        <f t="shared" si="230"/>
        <v>46.8</v>
      </c>
      <c r="W1127" s="10" t="str">
        <f t="shared" si="231"/>
        <v>Medium</v>
      </c>
      <c r="X1127" s="1" t="s">
        <v>38</v>
      </c>
      <c r="Y1127" s="1" t="str">
        <f t="shared" si="232"/>
        <v>No</v>
      </c>
      <c r="Z1127" s="14">
        <v>1</v>
      </c>
      <c r="AA1127" s="18">
        <f t="shared" si="233"/>
        <v>1</v>
      </c>
      <c r="AB1127" s="18" t="str">
        <f t="shared" si="234"/>
        <v>No</v>
      </c>
      <c r="AC1127" s="9" t="s">
        <v>4393</v>
      </c>
      <c r="AD1127">
        <f>IF(AC1127="",0,LEN(AC1127)-LEN(SUBSTITUTE(AC1127,",",""))+1)</f>
        <v>4</v>
      </c>
    </row>
    <row r="1128" spans="1:30" ht="12.5" x14ac:dyDescent="0.25">
      <c r="A1128" s="1" t="s">
        <v>4394</v>
      </c>
      <c r="B1128" s="1" t="s">
        <v>4395</v>
      </c>
      <c r="C1128" s="1" t="str">
        <v>Stephen Neal</v>
      </c>
      <c r="D1128" s="1" t="s">
        <v>4396</v>
      </c>
      <c r="E1128" s="1" t="str">
        <v>andrew97@gmail.com</v>
      </c>
      <c r="F1128" t="str">
        <f t="shared" si="223"/>
        <v>Valid</v>
      </c>
      <c r="G1128" s="1" t="s">
        <v>109</v>
      </c>
      <c r="H1128" s="1" t="str">
        <f t="shared" si="224"/>
        <v>Male</v>
      </c>
      <c r="I1128" s="1" t="s">
        <v>96</v>
      </c>
      <c r="J1128" t="str">
        <f t="shared" si="225"/>
        <v>INDIA</v>
      </c>
      <c r="L1128" s="1">
        <f t="shared" si="226"/>
        <v>19</v>
      </c>
      <c r="M1128" s="1" t="str">
        <f t="shared" si="227"/>
        <v>Student</v>
      </c>
      <c r="N1128" s="9">
        <v>44680</v>
      </c>
      <c r="O1128" s="1" t="s">
        <v>235</v>
      </c>
      <c r="P1128" s="1" t="s">
        <v>147</v>
      </c>
      <c r="Q1128" s="4">
        <v>0.09</v>
      </c>
      <c r="R1128" s="13">
        <f t="shared" si="228"/>
        <v>9</v>
      </c>
      <c r="S1128" s="6">
        <f t="shared" si="222"/>
        <v>0.09</v>
      </c>
      <c r="T1128" s="1" t="s">
        <v>21</v>
      </c>
      <c r="U1128" s="1">
        <f t="shared" si="229"/>
        <v>1.5</v>
      </c>
      <c r="V1128" s="1">
        <f t="shared" si="230"/>
        <v>6.75</v>
      </c>
      <c r="W1128" s="10" t="str">
        <f t="shared" si="231"/>
        <v>Low</v>
      </c>
      <c r="X1128" s="1" t="s">
        <v>32</v>
      </c>
      <c r="Y1128" s="1" t="str">
        <f t="shared" si="232"/>
        <v>Yes</v>
      </c>
      <c r="Z1128" s="14">
        <v>1</v>
      </c>
      <c r="AA1128" s="18">
        <f t="shared" si="233"/>
        <v>1</v>
      </c>
      <c r="AB1128" s="18" t="str">
        <f t="shared" si="234"/>
        <v>No</v>
      </c>
      <c r="AC1128" s="9" t="s">
        <v>4397</v>
      </c>
      <c r="AD1128">
        <f>IF(AC1128="",0,LEN(AC1128)-LEN(SUBSTITUTE(AC1128,",",""))+1)</f>
        <v>1</v>
      </c>
    </row>
    <row r="1129" spans="1:30" ht="12.5" x14ac:dyDescent="0.25">
      <c r="A1129" s="1" t="s">
        <v>4398</v>
      </c>
      <c r="B1129" s="1" t="s">
        <v>4399</v>
      </c>
      <c r="C1129" s="1" t="str">
        <v>Amanda Jimenez</v>
      </c>
      <c r="D1129" s="1" t="s">
        <v>4400</v>
      </c>
      <c r="E1129" s="1" t="str">
        <v>athompson@hotmail.com</v>
      </c>
      <c r="F1129" t="str">
        <f t="shared" si="223"/>
        <v>Valid</v>
      </c>
      <c r="G1129" s="1" t="s">
        <v>95</v>
      </c>
      <c r="H1129" s="1" t="str">
        <f t="shared" si="224"/>
        <v>Male</v>
      </c>
      <c r="I1129" s="1" t="s">
        <v>96</v>
      </c>
      <c r="J1129" t="str">
        <f t="shared" si="225"/>
        <v>INDIA</v>
      </c>
      <c r="K1129" s="14">
        <v>34</v>
      </c>
      <c r="L1129" s="1">
        <f t="shared" si="226"/>
        <v>34</v>
      </c>
      <c r="M1129" s="1" t="str">
        <f t="shared" si="227"/>
        <v>Mid Career</v>
      </c>
      <c r="N1129" s="9">
        <v>45732</v>
      </c>
      <c r="O1129" s="1" t="s">
        <v>235</v>
      </c>
      <c r="P1129" s="1" t="s">
        <v>147</v>
      </c>
      <c r="Q1129" s="4">
        <v>41</v>
      </c>
      <c r="R1129" s="13">
        <f t="shared" si="228"/>
        <v>41</v>
      </c>
      <c r="S1129" s="6">
        <f t="shared" si="222"/>
        <v>0.41</v>
      </c>
      <c r="T1129" s="1" t="s">
        <v>21</v>
      </c>
      <c r="U1129" s="1">
        <f t="shared" si="229"/>
        <v>1.5</v>
      </c>
      <c r="V1129" s="1">
        <f t="shared" si="230"/>
        <v>29.15</v>
      </c>
      <c r="W1129" s="10" t="str">
        <f t="shared" si="231"/>
        <v>Low</v>
      </c>
      <c r="X1129" s="1" t="s">
        <v>22</v>
      </c>
      <c r="Y1129" s="1" t="str">
        <f t="shared" si="232"/>
        <v>No</v>
      </c>
      <c r="Z1129" s="14">
        <v>6</v>
      </c>
      <c r="AA1129" s="18">
        <f t="shared" si="233"/>
        <v>6</v>
      </c>
      <c r="AB1129" s="18" t="str">
        <f t="shared" si="234"/>
        <v>No</v>
      </c>
      <c r="AC1129" s="9" t="s">
        <v>4401</v>
      </c>
      <c r="AD1129">
        <f>IF(AC1129="",0,LEN(AC1129)-LEN(SUBSTITUTE(AC1129,",",""))+1)</f>
        <v>3</v>
      </c>
    </row>
    <row r="1130" spans="1:30" ht="12.5" x14ac:dyDescent="0.25">
      <c r="A1130" s="1" t="s">
        <v>4402</v>
      </c>
      <c r="B1130" s="1" t="s">
        <v>4403</v>
      </c>
      <c r="C1130" s="1" t="str">
        <v>Michelle Higgins</v>
      </c>
      <c r="D1130" s="1" t="s">
        <v>4404</v>
      </c>
      <c r="E1130" s="1" t="str">
        <v>andrew43@norris.com</v>
      </c>
      <c r="F1130" t="str">
        <f t="shared" si="223"/>
        <v>Valid</v>
      </c>
      <c r="G1130" s="1" t="s">
        <v>119</v>
      </c>
      <c r="H1130" s="1" t="str">
        <f t="shared" si="224"/>
        <v>Female</v>
      </c>
      <c r="I1130" s="1" t="s">
        <v>89</v>
      </c>
      <c r="J1130" t="str">
        <f t="shared" si="225"/>
        <v>GERMANY</v>
      </c>
      <c r="K1130" s="14">
        <v>32</v>
      </c>
      <c r="L1130" s="1">
        <f t="shared" si="226"/>
        <v>32</v>
      </c>
      <c r="M1130" s="1" t="str">
        <f t="shared" si="227"/>
        <v>Mid Career</v>
      </c>
      <c r="N1130" s="9">
        <v>44726</v>
      </c>
      <c r="O1130" s="1" t="s">
        <v>301</v>
      </c>
      <c r="P1130" s="1" t="s">
        <v>20</v>
      </c>
      <c r="Q1130" s="4">
        <v>0.77</v>
      </c>
      <c r="R1130" s="13">
        <f t="shared" si="228"/>
        <v>77</v>
      </c>
      <c r="S1130" s="6">
        <f t="shared" si="222"/>
        <v>0.77</v>
      </c>
      <c r="T1130" s="1" t="s">
        <v>21</v>
      </c>
      <c r="U1130" s="1">
        <f t="shared" si="229"/>
        <v>1.5</v>
      </c>
      <c r="V1130" s="1">
        <f t="shared" si="230"/>
        <v>54.35</v>
      </c>
      <c r="W1130" s="10" t="str">
        <f t="shared" si="231"/>
        <v>Medium</v>
      </c>
      <c r="X1130" s="1">
        <v>0</v>
      </c>
      <c r="Y1130" s="1" t="str">
        <f t="shared" si="232"/>
        <v>No</v>
      </c>
      <c r="Z1130" s="14">
        <v>6</v>
      </c>
      <c r="AA1130" s="18">
        <f t="shared" si="233"/>
        <v>6</v>
      </c>
      <c r="AB1130" s="18" t="str">
        <f t="shared" si="234"/>
        <v>No</v>
      </c>
      <c r="AC1130" s="9" t="s">
        <v>4405</v>
      </c>
      <c r="AD1130">
        <f>IF(AC1130="",0,LEN(AC1130)-LEN(SUBSTITUTE(AC1130,",",""))+1)</f>
        <v>3</v>
      </c>
    </row>
    <row r="1131" spans="1:30" ht="12.5" x14ac:dyDescent="0.25">
      <c r="A1131" s="1" t="s">
        <v>4406</v>
      </c>
      <c r="B1131" s="1" t="s">
        <v>4407</v>
      </c>
      <c r="C1131" s="1" t="str">
        <v>Katherine Hall</v>
      </c>
      <c r="D1131" s="1" t="s">
        <v>4408</v>
      </c>
      <c r="E1131" s="1" t="str">
        <v>michael95@hoover-stephens.com</v>
      </c>
      <c r="F1131" t="str">
        <f t="shared" si="223"/>
        <v>Valid</v>
      </c>
      <c r="G1131" s="1" t="s">
        <v>119</v>
      </c>
      <c r="H1131" s="1" t="str">
        <f t="shared" si="224"/>
        <v>Female</v>
      </c>
      <c r="I1131" s="1" t="s">
        <v>18</v>
      </c>
      <c r="J1131" t="str">
        <f t="shared" si="225"/>
        <v>US</v>
      </c>
      <c r="K1131" s="14">
        <v>0</v>
      </c>
      <c r="L1131" s="1">
        <f t="shared" si="226"/>
        <v>19</v>
      </c>
      <c r="M1131" s="1" t="str">
        <f t="shared" si="227"/>
        <v>Student</v>
      </c>
      <c r="N1131" s="9">
        <v>45532</v>
      </c>
      <c r="O1131" s="1" t="s">
        <v>235</v>
      </c>
      <c r="P1131" s="1" t="s">
        <v>147</v>
      </c>
      <c r="Q1131" s="4">
        <v>17</v>
      </c>
      <c r="R1131" s="13">
        <f t="shared" si="228"/>
        <v>17</v>
      </c>
      <c r="S1131" s="6">
        <f t="shared" si="222"/>
        <v>0.17</v>
      </c>
      <c r="T1131" s="1">
        <v>1.5</v>
      </c>
      <c r="U1131" s="1">
        <f t="shared" si="229"/>
        <v>1.5</v>
      </c>
      <c r="V1131" s="1">
        <f t="shared" si="230"/>
        <v>12.349999999999998</v>
      </c>
      <c r="W1131" s="10" t="str">
        <f t="shared" si="231"/>
        <v>Low</v>
      </c>
      <c r="X1131" s="1">
        <v>1</v>
      </c>
      <c r="Y1131" s="1" t="str">
        <f t="shared" si="232"/>
        <v>Yes</v>
      </c>
      <c r="Z1131" s="14">
        <v>1</v>
      </c>
      <c r="AA1131" s="18">
        <f t="shared" si="233"/>
        <v>1</v>
      </c>
      <c r="AB1131" s="18" t="str">
        <f t="shared" si="234"/>
        <v>No</v>
      </c>
      <c r="AC1131" s="9" t="s">
        <v>4409</v>
      </c>
      <c r="AD1131">
        <f>IF(AC1131="",0,LEN(AC1131)-LEN(SUBSTITUTE(AC1131,",",""))+1)</f>
        <v>1</v>
      </c>
    </row>
    <row r="1132" spans="1:30" ht="12.5" x14ac:dyDescent="0.25">
      <c r="A1132" s="1" t="s">
        <v>4410</v>
      </c>
      <c r="B1132" s="1" t="s">
        <v>4411</v>
      </c>
      <c r="C1132" s="1" t="str">
        <v>Erica Fowler</v>
      </c>
      <c r="D1132" s="1" t="s">
        <v>4412</v>
      </c>
      <c r="E1132" s="1" t="str">
        <v>bettywatson@yahoo.com</v>
      </c>
      <c r="F1132" t="str">
        <f t="shared" si="223"/>
        <v>Valid</v>
      </c>
      <c r="G1132" s="1" t="s">
        <v>88</v>
      </c>
      <c r="H1132" s="1" t="str">
        <f t="shared" si="224"/>
        <v>Male</v>
      </c>
      <c r="I1132" s="1" t="s">
        <v>51</v>
      </c>
      <c r="J1132" t="str">
        <f t="shared" si="225"/>
        <v>UK</v>
      </c>
      <c r="L1132" s="1">
        <f t="shared" si="226"/>
        <v>19</v>
      </c>
      <c r="M1132" s="1" t="str">
        <f t="shared" si="227"/>
        <v>Student</v>
      </c>
      <c r="N1132" s="9">
        <v>45681</v>
      </c>
      <c r="O1132" s="1" t="s">
        <v>114</v>
      </c>
      <c r="P1132" s="1" t="s">
        <v>59</v>
      </c>
      <c r="Q1132" s="4">
        <v>0.95</v>
      </c>
      <c r="R1132" s="13">
        <f t="shared" si="228"/>
        <v>95</v>
      </c>
      <c r="S1132" s="6">
        <f t="shared" si="222"/>
        <v>0.95</v>
      </c>
      <c r="T1132" s="1">
        <v>45</v>
      </c>
      <c r="U1132" s="1">
        <f t="shared" si="229"/>
        <v>45</v>
      </c>
      <c r="V1132" s="1">
        <f t="shared" si="230"/>
        <v>80</v>
      </c>
      <c r="W1132" s="10" t="str">
        <f t="shared" si="231"/>
        <v>High</v>
      </c>
      <c r="X1132" s="1" t="s">
        <v>76</v>
      </c>
      <c r="Y1132" s="1" t="str">
        <f t="shared" si="232"/>
        <v>Yes</v>
      </c>
      <c r="Z1132" s="14">
        <v>4</v>
      </c>
      <c r="AA1132" s="18">
        <f t="shared" si="233"/>
        <v>4</v>
      </c>
      <c r="AB1132" s="18" t="str">
        <f t="shared" si="234"/>
        <v>High Performer</v>
      </c>
      <c r="AC1132" s="9" t="s">
        <v>4413</v>
      </c>
      <c r="AD1132">
        <f>IF(AC1132="",0,LEN(AC1132)-LEN(SUBSTITUTE(AC1132,",",""))+1)</f>
        <v>6</v>
      </c>
    </row>
    <row r="1133" spans="1:30" ht="12.5" x14ac:dyDescent="0.25">
      <c r="A1133" s="1" t="s">
        <v>4414</v>
      </c>
      <c r="B1133" s="1" t="s">
        <v>4415</v>
      </c>
      <c r="C1133" s="1" t="str">
        <v>Megan Russell</v>
      </c>
      <c r="D1133" s="1" t="s">
        <v>4416</v>
      </c>
      <c r="E1133" s="1" t="str">
        <v>guzmannicole@yahoo.com</v>
      </c>
      <c r="F1133" t="str">
        <f t="shared" si="223"/>
        <v>Valid</v>
      </c>
      <c r="G1133" s="1" t="s">
        <v>57</v>
      </c>
      <c r="H1133" s="1" t="str">
        <f t="shared" si="224"/>
        <v>Female</v>
      </c>
      <c r="I1133" s="1" t="s">
        <v>136</v>
      </c>
      <c r="J1133" t="str">
        <f t="shared" si="225"/>
        <v>UK</v>
      </c>
      <c r="K1133" s="14">
        <v>24</v>
      </c>
      <c r="L1133" s="1">
        <f t="shared" si="226"/>
        <v>24</v>
      </c>
      <c r="M1133" s="1" t="str">
        <f t="shared" si="227"/>
        <v>Early Career</v>
      </c>
      <c r="N1133" s="2">
        <v>45053</v>
      </c>
      <c r="O1133" s="1" t="s">
        <v>235</v>
      </c>
      <c r="P1133" s="1" t="s">
        <v>147</v>
      </c>
      <c r="Q1133" s="4">
        <v>0.52</v>
      </c>
      <c r="R1133" s="13">
        <f t="shared" si="228"/>
        <v>52</v>
      </c>
      <c r="S1133" s="6">
        <f t="shared" si="222"/>
        <v>0.52</v>
      </c>
      <c r="T1133" s="1">
        <v>2</v>
      </c>
      <c r="U1133" s="1">
        <f t="shared" si="229"/>
        <v>2</v>
      </c>
      <c r="V1133" s="1">
        <f t="shared" si="230"/>
        <v>37</v>
      </c>
      <c r="W1133" s="10" t="str">
        <f t="shared" si="231"/>
        <v>Low</v>
      </c>
      <c r="X1133" s="1">
        <v>0</v>
      </c>
      <c r="Y1133" s="1" t="str">
        <f t="shared" si="232"/>
        <v>No</v>
      </c>
      <c r="Z1133" s="14">
        <v>4</v>
      </c>
      <c r="AA1133" s="18">
        <f t="shared" si="233"/>
        <v>4</v>
      </c>
      <c r="AB1133" s="18" t="str">
        <f t="shared" si="234"/>
        <v>No</v>
      </c>
      <c r="AC1133" s="9" t="s">
        <v>4417</v>
      </c>
      <c r="AD1133">
        <f>IF(AC1133="",0,LEN(AC1133)-LEN(SUBSTITUTE(AC1133,",",""))+1)</f>
        <v>6</v>
      </c>
    </row>
    <row r="1134" spans="1:30" ht="12.5" x14ac:dyDescent="0.25">
      <c r="A1134" s="1" t="s">
        <v>4418</v>
      </c>
      <c r="B1134" s="1" t="s">
        <v>4419</v>
      </c>
      <c r="C1134" s="1" t="str">
        <v>Melanie Preston</v>
      </c>
      <c r="D1134" s="1" t="s">
        <v>4420</v>
      </c>
      <c r="E1134" s="1" t="str">
        <v>carolfernandez@hotmail.com</v>
      </c>
      <c r="F1134" t="str">
        <f t="shared" si="223"/>
        <v>Valid</v>
      </c>
      <c r="G1134" s="1" t="s">
        <v>119</v>
      </c>
      <c r="H1134" s="1" t="str">
        <f t="shared" si="224"/>
        <v>Female</v>
      </c>
      <c r="I1134" s="1" t="s">
        <v>44</v>
      </c>
      <c r="J1134" t="str">
        <f t="shared" si="225"/>
        <v>CANADA</v>
      </c>
      <c r="L1134" s="1">
        <f t="shared" si="226"/>
        <v>19</v>
      </c>
      <c r="M1134" s="1" t="str">
        <f t="shared" si="227"/>
        <v>Student</v>
      </c>
      <c r="N1134" s="9">
        <v>45215</v>
      </c>
      <c r="O1134" s="1" t="s">
        <v>170</v>
      </c>
      <c r="P1134" s="1" t="s">
        <v>147</v>
      </c>
      <c r="Q1134" s="4">
        <v>50</v>
      </c>
      <c r="R1134" s="13">
        <f t="shared" si="228"/>
        <v>50</v>
      </c>
      <c r="S1134" s="6">
        <f t="shared" si="222"/>
        <v>0.5</v>
      </c>
      <c r="T1134" s="1" t="s">
        <v>46</v>
      </c>
      <c r="U1134" s="1">
        <f t="shared" si="229"/>
        <v>1</v>
      </c>
      <c r="V1134" s="1">
        <f t="shared" si="230"/>
        <v>35.299999999999997</v>
      </c>
      <c r="W1134" s="10" t="str">
        <f t="shared" si="231"/>
        <v>Low</v>
      </c>
      <c r="X1134" s="1" t="s">
        <v>38</v>
      </c>
      <c r="Y1134" s="1" t="str">
        <f t="shared" si="232"/>
        <v>No</v>
      </c>
      <c r="Z1134" s="14">
        <v>2</v>
      </c>
      <c r="AA1134" s="18">
        <f t="shared" si="233"/>
        <v>2</v>
      </c>
      <c r="AB1134" s="18" t="str">
        <f t="shared" si="234"/>
        <v>No</v>
      </c>
      <c r="AC1134" s="9" t="s">
        <v>4421</v>
      </c>
      <c r="AD1134">
        <f>IF(AC1134="",0,LEN(AC1134)-LEN(SUBSTITUTE(AC1134,",",""))+1)</f>
        <v>3</v>
      </c>
    </row>
    <row r="1135" spans="1:30" ht="12.5" x14ac:dyDescent="0.25">
      <c r="A1135" s="1" t="s">
        <v>4422</v>
      </c>
      <c r="B1135" s="1" t="s">
        <v>4423</v>
      </c>
      <c r="C1135" s="1" t="str">
        <v>Rebecca Summers</v>
      </c>
      <c r="D1135" s="1" t="s">
        <v>4424</v>
      </c>
      <c r="E1135" s="1" t="str">
        <v>colonnicole@hotmail.com</v>
      </c>
      <c r="F1135" t="str">
        <f t="shared" si="223"/>
        <v>Valid</v>
      </c>
      <c r="G1135" s="1" t="s">
        <v>17</v>
      </c>
      <c r="H1135" s="1" t="str">
        <f t="shared" si="224"/>
        <v>Female</v>
      </c>
      <c r="I1135" s="1" t="s">
        <v>44</v>
      </c>
      <c r="J1135" t="str">
        <f t="shared" si="225"/>
        <v>CANADA</v>
      </c>
      <c r="K1135" s="14">
        <v>29</v>
      </c>
      <c r="L1135" s="1">
        <f t="shared" si="226"/>
        <v>29</v>
      </c>
      <c r="M1135" s="1" t="str">
        <f t="shared" si="227"/>
        <v>Early Career</v>
      </c>
      <c r="N1135" s="3">
        <v>44846</v>
      </c>
      <c r="O1135" s="1" t="s">
        <v>36</v>
      </c>
      <c r="P1135" s="1" t="s">
        <v>37</v>
      </c>
      <c r="Q1135" s="4">
        <v>0.06</v>
      </c>
      <c r="R1135" s="13">
        <f t="shared" si="228"/>
        <v>6</v>
      </c>
      <c r="S1135" s="6">
        <f t="shared" si="222"/>
        <v>0.06</v>
      </c>
      <c r="T1135" s="1" t="s">
        <v>21</v>
      </c>
      <c r="U1135" s="1">
        <f t="shared" si="229"/>
        <v>1.5</v>
      </c>
      <c r="V1135" s="1">
        <f t="shared" si="230"/>
        <v>4.6499999999999995</v>
      </c>
      <c r="W1135" s="10" t="str">
        <f t="shared" si="231"/>
        <v>Low</v>
      </c>
      <c r="X1135" s="1" t="s">
        <v>38</v>
      </c>
      <c r="Y1135" s="1" t="str">
        <f t="shared" si="232"/>
        <v>No</v>
      </c>
      <c r="Z1135" s="14">
        <v>2</v>
      </c>
      <c r="AA1135" s="18">
        <f t="shared" si="233"/>
        <v>2</v>
      </c>
      <c r="AB1135" s="18" t="str">
        <f t="shared" si="234"/>
        <v>No</v>
      </c>
      <c r="AC1135" s="9" t="s">
        <v>4425</v>
      </c>
      <c r="AD1135">
        <f>IF(AC1135="",0,LEN(AC1135)-LEN(SUBSTITUTE(AC1135,",",""))+1)</f>
        <v>8</v>
      </c>
    </row>
    <row r="1136" spans="1:30" ht="12.5" x14ac:dyDescent="0.25">
      <c r="A1136" s="1" t="s">
        <v>4426</v>
      </c>
      <c r="B1136" s="1" t="s">
        <v>4427</v>
      </c>
      <c r="C1136" s="1" t="str">
        <v>Timothy Ortega</v>
      </c>
      <c r="D1136" s="1" t="s">
        <v>4428</v>
      </c>
      <c r="E1136" s="1" t="str">
        <v>gabriellafrench@wilson-dennis.com</v>
      </c>
      <c r="F1136" t="str">
        <f t="shared" si="223"/>
        <v>Valid</v>
      </c>
      <c r="G1136" s="1" t="s">
        <v>119</v>
      </c>
      <c r="H1136" s="1" t="str">
        <f t="shared" si="224"/>
        <v>Female</v>
      </c>
      <c r="I1136" s="1" t="s">
        <v>74</v>
      </c>
      <c r="J1136" t="str">
        <f t="shared" si="225"/>
        <v>USA</v>
      </c>
      <c r="L1136" s="1">
        <f t="shared" si="226"/>
        <v>19</v>
      </c>
      <c r="M1136" s="1" t="str">
        <f t="shared" si="227"/>
        <v>Student</v>
      </c>
      <c r="N1136" s="9">
        <v>45503</v>
      </c>
      <c r="O1136" s="1" t="s">
        <v>158</v>
      </c>
      <c r="P1136" s="1" t="s">
        <v>59</v>
      </c>
      <c r="Q1136" s="4">
        <v>70</v>
      </c>
      <c r="R1136" s="13">
        <f t="shared" si="228"/>
        <v>70</v>
      </c>
      <c r="S1136" s="6">
        <f t="shared" si="222"/>
        <v>0.7</v>
      </c>
      <c r="T1136" s="1">
        <v>2</v>
      </c>
      <c r="U1136" s="1">
        <f t="shared" si="229"/>
        <v>2</v>
      </c>
      <c r="V1136" s="1">
        <f t="shared" si="230"/>
        <v>49.6</v>
      </c>
      <c r="W1136" s="10" t="str">
        <f t="shared" si="231"/>
        <v>Medium</v>
      </c>
      <c r="X1136" s="1">
        <v>1</v>
      </c>
      <c r="Y1136" s="1" t="str">
        <f t="shared" si="232"/>
        <v>Yes</v>
      </c>
      <c r="Z1136" s="14">
        <v>4</v>
      </c>
      <c r="AA1136" s="18">
        <f t="shared" si="233"/>
        <v>4</v>
      </c>
      <c r="AB1136" s="18" t="str">
        <f t="shared" si="234"/>
        <v>High Performer</v>
      </c>
      <c r="AC1136" s="9" t="s">
        <v>4429</v>
      </c>
      <c r="AD1136">
        <f>IF(AC1136="",0,LEN(AC1136)-LEN(SUBSTITUTE(AC1136,",",""))+1)</f>
        <v>5</v>
      </c>
    </row>
    <row r="1137" spans="1:30" ht="12.5" x14ac:dyDescent="0.25">
      <c r="A1137" s="1" t="s">
        <v>4430</v>
      </c>
      <c r="B1137" s="1" t="s">
        <v>4431</v>
      </c>
      <c r="C1137" s="1" t="str">
        <v>Colleen Bell</v>
      </c>
      <c r="D1137" s="1" t="s">
        <v>4432</v>
      </c>
      <c r="E1137" s="1" t="str">
        <v>perezdawn@gmail.com</v>
      </c>
      <c r="F1137" t="str">
        <f t="shared" si="223"/>
        <v>Valid</v>
      </c>
      <c r="G1137" s="1" t="s">
        <v>57</v>
      </c>
      <c r="H1137" s="1" t="str">
        <f t="shared" si="224"/>
        <v>Female</v>
      </c>
      <c r="I1137" s="1" t="s">
        <v>28</v>
      </c>
      <c r="J1137" t="str">
        <f t="shared" si="225"/>
        <v>INDIA</v>
      </c>
      <c r="L1137" s="1">
        <f t="shared" si="226"/>
        <v>19</v>
      </c>
      <c r="M1137" s="1" t="str">
        <f t="shared" si="227"/>
        <v>Student</v>
      </c>
      <c r="N1137" s="2">
        <v>45420</v>
      </c>
      <c r="O1137" s="1" t="s">
        <v>235</v>
      </c>
      <c r="P1137" s="1" t="s">
        <v>147</v>
      </c>
      <c r="Q1137" s="4">
        <v>71</v>
      </c>
      <c r="R1137" s="13">
        <f t="shared" si="228"/>
        <v>71</v>
      </c>
      <c r="S1137" s="6">
        <f t="shared" si="222"/>
        <v>0.71</v>
      </c>
      <c r="T1137" s="1" t="s">
        <v>21</v>
      </c>
      <c r="U1137" s="1">
        <f t="shared" si="229"/>
        <v>1.5</v>
      </c>
      <c r="V1137" s="1">
        <f t="shared" si="230"/>
        <v>50.15</v>
      </c>
      <c r="W1137" s="10" t="str">
        <f t="shared" si="231"/>
        <v>Medium</v>
      </c>
      <c r="X1137" s="1">
        <v>1</v>
      </c>
      <c r="Y1137" s="1" t="str">
        <f t="shared" si="232"/>
        <v>Yes</v>
      </c>
      <c r="Z1137" s="14">
        <v>3</v>
      </c>
      <c r="AA1137" s="18">
        <f t="shared" si="233"/>
        <v>3</v>
      </c>
      <c r="AB1137" s="18" t="str">
        <f t="shared" si="234"/>
        <v>No</v>
      </c>
      <c r="AC1137" s="9" t="s">
        <v>4433</v>
      </c>
      <c r="AD1137">
        <f>IF(AC1137="",0,LEN(AC1137)-LEN(SUBSTITUTE(AC1137,",",""))+1)</f>
        <v>2</v>
      </c>
    </row>
    <row r="1138" spans="1:30" ht="12.5" x14ac:dyDescent="0.25">
      <c r="A1138" s="1" t="s">
        <v>4434</v>
      </c>
      <c r="B1138" s="1" t="s">
        <v>4435</v>
      </c>
      <c r="C1138" s="1" t="str">
        <v>Ricky Wagner</v>
      </c>
      <c r="D1138" s="1" t="s">
        <v>4436</v>
      </c>
      <c r="E1138" s="1" t="str">
        <v>ethomas@clements.com</v>
      </c>
      <c r="F1138" t="str">
        <f t="shared" si="223"/>
        <v>Valid</v>
      </c>
      <c r="G1138" s="1" t="s">
        <v>119</v>
      </c>
      <c r="H1138" s="1" t="str">
        <f t="shared" si="224"/>
        <v>Female</v>
      </c>
      <c r="I1138" s="1" t="s">
        <v>18</v>
      </c>
      <c r="J1138" t="str">
        <f t="shared" si="225"/>
        <v>US</v>
      </c>
      <c r="K1138" s="14">
        <v>0</v>
      </c>
      <c r="L1138" s="1">
        <f t="shared" si="226"/>
        <v>19</v>
      </c>
      <c r="M1138" s="1" t="str">
        <f t="shared" si="227"/>
        <v>Student</v>
      </c>
      <c r="N1138" s="9">
        <v>45736</v>
      </c>
      <c r="O1138" s="1" t="s">
        <v>58</v>
      </c>
      <c r="P1138" s="1" t="s">
        <v>59</v>
      </c>
      <c r="Q1138" s="4">
        <v>0.66</v>
      </c>
      <c r="R1138" s="13">
        <f t="shared" si="228"/>
        <v>66</v>
      </c>
      <c r="S1138" s="6">
        <f t="shared" si="222"/>
        <v>0.66</v>
      </c>
      <c r="T1138" s="1">
        <v>2</v>
      </c>
      <c r="U1138" s="1">
        <f t="shared" si="229"/>
        <v>2</v>
      </c>
      <c r="V1138" s="1">
        <f t="shared" si="230"/>
        <v>46.8</v>
      </c>
      <c r="W1138" s="10" t="str">
        <f t="shared" si="231"/>
        <v>Medium</v>
      </c>
      <c r="X1138" s="1">
        <v>1</v>
      </c>
      <c r="Y1138" s="1" t="str">
        <f t="shared" si="232"/>
        <v>Yes</v>
      </c>
      <c r="Z1138" s="14">
        <v>5</v>
      </c>
      <c r="AA1138" s="18">
        <f t="shared" si="233"/>
        <v>5</v>
      </c>
      <c r="AB1138" s="18" t="str">
        <f t="shared" si="234"/>
        <v>High Performer</v>
      </c>
      <c r="AC1138" s="9" t="s">
        <v>4437</v>
      </c>
      <c r="AD1138">
        <f>IF(AC1138="",0,LEN(AC1138)-LEN(SUBSTITUTE(AC1138,",",""))+1)</f>
        <v>6</v>
      </c>
    </row>
    <row r="1139" spans="1:30" ht="12.5" x14ac:dyDescent="0.25">
      <c r="A1139" s="1" t="s">
        <v>4438</v>
      </c>
      <c r="B1139" s="1" t="s">
        <v>4439</v>
      </c>
      <c r="C1139" s="1" t="str">
        <v>Alan Phillips</v>
      </c>
      <c r="D1139" s="1" t="s">
        <v>4440</v>
      </c>
      <c r="E1139" s="1" t="str">
        <v>mariabecker@king.biz</v>
      </c>
      <c r="F1139" t="str">
        <f t="shared" si="223"/>
        <v>Valid</v>
      </c>
      <c r="G1139" s="1" t="s">
        <v>27</v>
      </c>
      <c r="H1139" s="1" t="str">
        <f t="shared" si="224"/>
        <v>Male</v>
      </c>
      <c r="I1139" s="1" t="s">
        <v>51</v>
      </c>
      <c r="J1139" t="str">
        <f t="shared" si="225"/>
        <v>UK</v>
      </c>
      <c r="K1139" s="14">
        <v>22</v>
      </c>
      <c r="L1139" s="1">
        <f t="shared" si="226"/>
        <v>22</v>
      </c>
      <c r="M1139" s="1" t="str">
        <f t="shared" si="227"/>
        <v>Early Career</v>
      </c>
      <c r="N1139" s="9">
        <v>45499</v>
      </c>
      <c r="O1139" s="1" t="s">
        <v>30</v>
      </c>
      <c r="P1139" s="1" t="s">
        <v>31</v>
      </c>
      <c r="Q1139" s="4">
        <v>48</v>
      </c>
      <c r="R1139" s="13">
        <f t="shared" si="228"/>
        <v>48</v>
      </c>
      <c r="S1139" s="6">
        <f t="shared" si="222"/>
        <v>0.48</v>
      </c>
      <c r="T1139" s="1" t="s">
        <v>21</v>
      </c>
      <c r="U1139" s="1">
        <f t="shared" si="229"/>
        <v>1.5</v>
      </c>
      <c r="V1139" s="1">
        <f t="shared" si="230"/>
        <v>34.049999999999997</v>
      </c>
      <c r="W1139" s="10" t="str">
        <f t="shared" si="231"/>
        <v>Low</v>
      </c>
      <c r="X1139" s="1" t="s">
        <v>38</v>
      </c>
      <c r="Y1139" s="1" t="str">
        <f t="shared" si="232"/>
        <v>No</v>
      </c>
      <c r="Z1139" s="14">
        <v>3</v>
      </c>
      <c r="AA1139" s="18">
        <f t="shared" si="233"/>
        <v>3</v>
      </c>
      <c r="AB1139" s="18" t="str">
        <f t="shared" si="234"/>
        <v>No</v>
      </c>
      <c r="AC1139" s="9" t="s">
        <v>4441</v>
      </c>
      <c r="AD1139">
        <f>IF(AC1139="",0,LEN(AC1139)-LEN(SUBSTITUTE(AC1139,",",""))+1)</f>
        <v>2</v>
      </c>
    </row>
    <row r="1140" spans="1:30" ht="12.5" x14ac:dyDescent="0.25">
      <c r="A1140" s="1" t="s">
        <v>4442</v>
      </c>
      <c r="B1140" s="1" t="s">
        <v>4443</v>
      </c>
      <c r="C1140" s="1" t="str">
        <v>Grace Brooks</v>
      </c>
      <c r="D1140" s="1" t="s">
        <v>4444</v>
      </c>
      <c r="E1140" s="1" t="str">
        <v>eharvey@hotmail.com</v>
      </c>
      <c r="F1140" t="str">
        <f t="shared" si="223"/>
        <v>Valid</v>
      </c>
      <c r="G1140" s="1" t="s">
        <v>88</v>
      </c>
      <c r="H1140" s="1" t="str">
        <f t="shared" si="224"/>
        <v>Male</v>
      </c>
      <c r="I1140" s="1" t="s">
        <v>51</v>
      </c>
      <c r="J1140" t="str">
        <f t="shared" si="225"/>
        <v>UK</v>
      </c>
      <c r="K1140" s="14">
        <v>0</v>
      </c>
      <c r="L1140" s="1">
        <f t="shared" si="226"/>
        <v>19</v>
      </c>
      <c r="M1140" s="1" t="str">
        <f t="shared" si="227"/>
        <v>Student</v>
      </c>
      <c r="N1140" s="9">
        <v>45213</v>
      </c>
      <c r="O1140" s="1" t="s">
        <v>52</v>
      </c>
      <c r="P1140" s="1" t="s">
        <v>37</v>
      </c>
      <c r="Q1140" s="4">
        <v>0.01</v>
      </c>
      <c r="R1140" s="13">
        <f t="shared" si="228"/>
        <v>1</v>
      </c>
      <c r="S1140" s="6">
        <f t="shared" si="222"/>
        <v>0.01</v>
      </c>
      <c r="T1140" s="1">
        <v>1.5</v>
      </c>
      <c r="U1140" s="1">
        <f t="shared" si="229"/>
        <v>1.5</v>
      </c>
      <c r="V1140" s="1">
        <f t="shared" si="230"/>
        <v>1.1499999999999999</v>
      </c>
      <c r="W1140" s="10" t="str">
        <f t="shared" si="231"/>
        <v>Low</v>
      </c>
      <c r="X1140" s="1" t="s">
        <v>22</v>
      </c>
      <c r="Y1140" s="1" t="str">
        <f t="shared" si="232"/>
        <v>No</v>
      </c>
      <c r="Z1140" s="14">
        <v>2</v>
      </c>
      <c r="AA1140" s="18">
        <f t="shared" si="233"/>
        <v>2</v>
      </c>
      <c r="AB1140" s="18" t="str">
        <f t="shared" si="234"/>
        <v>No</v>
      </c>
      <c r="AC1140" s="9" t="s">
        <v>4445</v>
      </c>
      <c r="AD1140">
        <f>IF(AC1140="",0,LEN(AC1140)-LEN(SUBSTITUTE(AC1140,",",""))+1)</f>
        <v>4</v>
      </c>
    </row>
    <row r="1141" spans="1:30" ht="12.5" x14ac:dyDescent="0.25">
      <c r="A1141" s="1" t="s">
        <v>4446</v>
      </c>
      <c r="B1141" s="1" t="s">
        <v>4447</v>
      </c>
      <c r="C1141" s="1" t="str">
        <v>Kathryn Bell</v>
      </c>
      <c r="D1141" s="1" t="s">
        <v>4448</v>
      </c>
      <c r="E1141" s="1" t="str">
        <v>ycallahan@hotmail.com</v>
      </c>
      <c r="F1141" t="str">
        <f t="shared" si="223"/>
        <v>Valid</v>
      </c>
      <c r="G1141" s="1" t="s">
        <v>109</v>
      </c>
      <c r="H1141" s="1" t="str">
        <f t="shared" si="224"/>
        <v>Male</v>
      </c>
      <c r="I1141" s="1" t="s">
        <v>136</v>
      </c>
      <c r="J1141" t="str">
        <f t="shared" si="225"/>
        <v>UK</v>
      </c>
      <c r="K1141" s="14">
        <v>21</v>
      </c>
      <c r="L1141" s="1">
        <f t="shared" si="226"/>
        <v>21</v>
      </c>
      <c r="M1141" s="1" t="str">
        <f t="shared" si="227"/>
        <v>Student</v>
      </c>
      <c r="N1141" s="9">
        <v>45613</v>
      </c>
      <c r="O1141" s="1" t="s">
        <v>19</v>
      </c>
      <c r="P1141" s="1" t="s">
        <v>20</v>
      </c>
      <c r="Q1141" s="4">
        <v>0.61</v>
      </c>
      <c r="R1141" s="13">
        <f t="shared" si="228"/>
        <v>61</v>
      </c>
      <c r="S1141" s="6">
        <f t="shared" si="222"/>
        <v>0.61</v>
      </c>
      <c r="T1141" s="1">
        <v>1.5</v>
      </c>
      <c r="U1141" s="1">
        <f t="shared" si="229"/>
        <v>1.5</v>
      </c>
      <c r="V1141" s="1">
        <f t="shared" si="230"/>
        <v>43.15</v>
      </c>
      <c r="W1141" s="10" t="str">
        <f t="shared" si="231"/>
        <v>Medium</v>
      </c>
      <c r="X1141" s="1" t="s">
        <v>32</v>
      </c>
      <c r="Y1141" s="1" t="str">
        <f t="shared" si="232"/>
        <v>Yes</v>
      </c>
      <c r="Z1141" s="14">
        <v>6</v>
      </c>
      <c r="AA1141" s="18">
        <f t="shared" si="233"/>
        <v>6</v>
      </c>
      <c r="AB1141" s="18" t="str">
        <f t="shared" si="234"/>
        <v>High Performer</v>
      </c>
      <c r="AC1141" s="9" t="s">
        <v>4449</v>
      </c>
      <c r="AD1141">
        <f>IF(AC1141="",0,LEN(AC1141)-LEN(SUBSTITUTE(AC1141,",",""))+1)</f>
        <v>3</v>
      </c>
    </row>
    <row r="1142" spans="1:30" ht="12.5" x14ac:dyDescent="0.25">
      <c r="A1142" s="1" t="s">
        <v>4450</v>
      </c>
      <c r="B1142" s="1" t="s">
        <v>4451</v>
      </c>
      <c r="C1142" s="1" t="str">
        <v>Tiffany Cohen</v>
      </c>
      <c r="D1142" s="1" t="s">
        <v>4452</v>
      </c>
      <c r="E1142" s="1" t="str">
        <v>fjohnson@wells.com</v>
      </c>
      <c r="F1142" t="str">
        <f t="shared" si="223"/>
        <v>Valid</v>
      </c>
      <c r="G1142" s="1" t="s">
        <v>57</v>
      </c>
      <c r="H1142" s="1" t="str">
        <f t="shared" si="224"/>
        <v>Female</v>
      </c>
      <c r="I1142" s="1" t="s">
        <v>156</v>
      </c>
      <c r="J1142" t="str">
        <f t="shared" si="225"/>
        <v>IN</v>
      </c>
      <c r="K1142" s="14">
        <v>34</v>
      </c>
      <c r="L1142" s="1">
        <f t="shared" si="226"/>
        <v>34</v>
      </c>
      <c r="M1142" s="1" t="str">
        <f t="shared" si="227"/>
        <v>Mid Career</v>
      </c>
      <c r="N1142" s="2">
        <v>44721</v>
      </c>
      <c r="O1142" s="1" t="s">
        <v>30</v>
      </c>
      <c r="P1142" s="1" t="s">
        <v>31</v>
      </c>
      <c r="Q1142" s="4">
        <v>33</v>
      </c>
      <c r="R1142" s="13">
        <f t="shared" si="228"/>
        <v>33</v>
      </c>
      <c r="S1142" s="6">
        <f t="shared" si="222"/>
        <v>0.33</v>
      </c>
      <c r="T1142" s="1" t="s">
        <v>64</v>
      </c>
      <c r="U1142" s="1">
        <f t="shared" si="229"/>
        <v>2</v>
      </c>
      <c r="V1142" s="1">
        <f t="shared" si="230"/>
        <v>23.7</v>
      </c>
      <c r="W1142" s="10" t="str">
        <f t="shared" si="231"/>
        <v>Low</v>
      </c>
      <c r="X1142" s="1">
        <v>0</v>
      </c>
      <c r="Y1142" s="1" t="str">
        <f t="shared" si="232"/>
        <v>No</v>
      </c>
      <c r="Z1142" s="14">
        <v>5</v>
      </c>
      <c r="AA1142" s="18">
        <f t="shared" si="233"/>
        <v>5</v>
      </c>
      <c r="AB1142" s="18" t="str">
        <f t="shared" si="234"/>
        <v>No</v>
      </c>
      <c r="AC1142" s="9" t="s">
        <v>4453</v>
      </c>
      <c r="AD1142">
        <f>IF(AC1142="",0,LEN(AC1142)-LEN(SUBSTITUTE(AC1142,",",""))+1)</f>
        <v>6</v>
      </c>
    </row>
    <row r="1143" spans="1:30" ht="12.5" x14ac:dyDescent="0.25">
      <c r="A1143" s="1" t="s">
        <v>4454</v>
      </c>
      <c r="B1143" s="1" t="s">
        <v>4455</v>
      </c>
      <c r="C1143" s="1" t="str">
        <v>Anna James</v>
      </c>
      <c r="D1143" s="1" t="s">
        <v>4456</v>
      </c>
      <c r="E1143" s="1" t="str">
        <v>cassandraharrison@yahoo.com</v>
      </c>
      <c r="F1143" t="str">
        <f t="shared" si="223"/>
        <v>Valid</v>
      </c>
      <c r="G1143" s="1" t="s">
        <v>27</v>
      </c>
      <c r="H1143" s="1" t="str">
        <f t="shared" si="224"/>
        <v>Male</v>
      </c>
      <c r="I1143" s="1" t="s">
        <v>156</v>
      </c>
      <c r="J1143" t="str">
        <f t="shared" si="225"/>
        <v>IN</v>
      </c>
      <c r="L1143" s="1">
        <f t="shared" si="226"/>
        <v>19</v>
      </c>
      <c r="M1143" s="1" t="str">
        <f t="shared" si="227"/>
        <v>Student</v>
      </c>
      <c r="N1143" s="9">
        <v>44786</v>
      </c>
      <c r="O1143" s="1" t="s">
        <v>30</v>
      </c>
      <c r="P1143" s="1" t="s">
        <v>31</v>
      </c>
      <c r="Q1143" s="4">
        <v>31</v>
      </c>
      <c r="R1143" s="13">
        <f t="shared" si="228"/>
        <v>31</v>
      </c>
      <c r="S1143" s="6">
        <f t="shared" si="222"/>
        <v>0.31</v>
      </c>
      <c r="T1143" s="1">
        <v>45</v>
      </c>
      <c r="U1143" s="1">
        <f t="shared" si="229"/>
        <v>45</v>
      </c>
      <c r="V1143" s="1">
        <f t="shared" si="230"/>
        <v>35.200000000000003</v>
      </c>
      <c r="W1143" s="10" t="str">
        <f t="shared" si="231"/>
        <v>Low</v>
      </c>
      <c r="X1143" s="1">
        <v>0</v>
      </c>
      <c r="Y1143" s="1" t="str">
        <f t="shared" si="232"/>
        <v>No</v>
      </c>
      <c r="Z1143" s="14">
        <v>2</v>
      </c>
      <c r="AA1143" s="18">
        <f t="shared" si="233"/>
        <v>2</v>
      </c>
      <c r="AB1143" s="18" t="str">
        <f t="shared" si="234"/>
        <v>No</v>
      </c>
      <c r="AC1143" s="9" t="s">
        <v>4457</v>
      </c>
      <c r="AD1143">
        <f>IF(AC1143="",0,LEN(AC1143)-LEN(SUBSTITUTE(AC1143,",",""))+1)</f>
        <v>5</v>
      </c>
    </row>
    <row r="1144" spans="1:30" ht="12.5" x14ac:dyDescent="0.25">
      <c r="A1144" s="1" t="s">
        <v>4458</v>
      </c>
      <c r="B1144" s="1" t="s">
        <v>4459</v>
      </c>
      <c r="C1144" s="1" t="str">
        <v>Louis Davis</v>
      </c>
      <c r="D1144" s="1" t="s">
        <v>4460</v>
      </c>
      <c r="E1144" s="1" t="str">
        <v>wallssean@white.net</v>
      </c>
      <c r="F1144" t="str">
        <f t="shared" si="223"/>
        <v>Valid</v>
      </c>
      <c r="G1144" s="1" t="s">
        <v>43</v>
      </c>
      <c r="H1144" s="1" t="str">
        <f t="shared" si="224"/>
        <v>Female</v>
      </c>
      <c r="I1144" s="1" t="s">
        <v>136</v>
      </c>
      <c r="J1144" t="str">
        <f t="shared" si="225"/>
        <v>UK</v>
      </c>
      <c r="K1144" s="14">
        <v>22</v>
      </c>
      <c r="L1144" s="1">
        <f t="shared" si="226"/>
        <v>22</v>
      </c>
      <c r="M1144" s="1" t="str">
        <f t="shared" si="227"/>
        <v>Early Career</v>
      </c>
      <c r="N1144" s="2">
        <v>44934</v>
      </c>
      <c r="O1144" s="1" t="s">
        <v>158</v>
      </c>
      <c r="P1144" s="1" t="s">
        <v>59</v>
      </c>
      <c r="Q1144" s="4">
        <v>0.18</v>
      </c>
      <c r="R1144" s="13">
        <f t="shared" si="228"/>
        <v>18</v>
      </c>
      <c r="S1144" s="6">
        <f t="shared" si="222"/>
        <v>0.18</v>
      </c>
      <c r="T1144" s="1">
        <v>2</v>
      </c>
      <c r="U1144" s="1">
        <f t="shared" si="229"/>
        <v>2</v>
      </c>
      <c r="V1144" s="1">
        <f t="shared" si="230"/>
        <v>13.2</v>
      </c>
      <c r="W1144" s="10" t="str">
        <f t="shared" si="231"/>
        <v>Low</v>
      </c>
      <c r="X1144" s="1">
        <v>1</v>
      </c>
      <c r="Y1144" s="1" t="str">
        <f t="shared" si="232"/>
        <v>Yes</v>
      </c>
      <c r="Z1144" s="14">
        <v>5</v>
      </c>
      <c r="AA1144" s="18">
        <f t="shared" si="233"/>
        <v>5</v>
      </c>
      <c r="AB1144" s="18" t="str">
        <f t="shared" si="234"/>
        <v>High Performer</v>
      </c>
      <c r="AC1144" s="9" t="s">
        <v>4461</v>
      </c>
      <c r="AD1144">
        <f>IF(AC1144="",0,LEN(AC1144)-LEN(SUBSTITUTE(AC1144,",",""))+1)</f>
        <v>5</v>
      </c>
    </row>
    <row r="1145" spans="1:30" ht="12.5" x14ac:dyDescent="0.25">
      <c r="A1145" s="1" t="s">
        <v>4462</v>
      </c>
      <c r="B1145" s="1" t="s">
        <v>4463</v>
      </c>
      <c r="C1145" s="1" t="str">
        <v>Jose Thompson</v>
      </c>
      <c r="D1145" s="1" t="s">
        <v>4464</v>
      </c>
      <c r="E1145" s="1" t="str">
        <v>melissa04@hotmail.com</v>
      </c>
      <c r="F1145" t="str">
        <f t="shared" si="223"/>
        <v>Valid</v>
      </c>
      <c r="G1145" s="1" t="s">
        <v>17</v>
      </c>
      <c r="H1145" s="1" t="str">
        <f t="shared" si="224"/>
        <v>Female</v>
      </c>
      <c r="I1145" s="1" t="s">
        <v>156</v>
      </c>
      <c r="J1145" t="str">
        <f t="shared" si="225"/>
        <v>IN</v>
      </c>
      <c r="L1145" s="1">
        <f t="shared" si="226"/>
        <v>19</v>
      </c>
      <c r="M1145" s="1" t="str">
        <f t="shared" si="227"/>
        <v>Student</v>
      </c>
      <c r="N1145" s="9">
        <v>45673</v>
      </c>
      <c r="O1145" s="1" t="s">
        <v>52</v>
      </c>
      <c r="P1145" s="1" t="s">
        <v>37</v>
      </c>
      <c r="Q1145" s="4">
        <v>0.38</v>
      </c>
      <c r="R1145" s="13">
        <f t="shared" si="228"/>
        <v>38</v>
      </c>
      <c r="S1145" s="6">
        <f t="shared" si="222"/>
        <v>0.38</v>
      </c>
      <c r="T1145" s="1" t="s">
        <v>64</v>
      </c>
      <c r="U1145" s="1">
        <f t="shared" si="229"/>
        <v>2</v>
      </c>
      <c r="V1145" s="1">
        <f t="shared" si="230"/>
        <v>27.2</v>
      </c>
      <c r="W1145" s="10" t="str">
        <f t="shared" si="231"/>
        <v>Low</v>
      </c>
      <c r="X1145" s="1" t="s">
        <v>38</v>
      </c>
      <c r="Y1145" s="1" t="str">
        <f t="shared" si="232"/>
        <v>No</v>
      </c>
      <c r="Z1145" s="14">
        <v>1</v>
      </c>
      <c r="AA1145" s="18">
        <f t="shared" si="233"/>
        <v>1</v>
      </c>
      <c r="AB1145" s="18" t="str">
        <f t="shared" si="234"/>
        <v>No</v>
      </c>
      <c r="AC1145" s="9" t="s">
        <v>4465</v>
      </c>
      <c r="AD1145">
        <f>IF(AC1145="",0,LEN(AC1145)-LEN(SUBSTITUTE(AC1145,",",""))+1)</f>
        <v>7</v>
      </c>
    </row>
    <row r="1146" spans="1:30" ht="12.5" x14ac:dyDescent="0.25">
      <c r="A1146" s="1" t="s">
        <v>4466</v>
      </c>
      <c r="B1146" s="1" t="s">
        <v>4467</v>
      </c>
      <c r="C1146" s="1" t="str">
        <v>Angela Olson</v>
      </c>
      <c r="D1146" s="1" t="s">
        <v>4468</v>
      </c>
      <c r="E1146" s="1" t="str">
        <v>hughesjulie@whitehead.com</v>
      </c>
      <c r="F1146" t="str">
        <f t="shared" si="223"/>
        <v>Valid</v>
      </c>
      <c r="G1146" s="1" t="s">
        <v>119</v>
      </c>
      <c r="H1146" s="1" t="str">
        <f t="shared" si="224"/>
        <v>Female</v>
      </c>
      <c r="I1146" s="1" t="s">
        <v>18</v>
      </c>
      <c r="J1146" t="str">
        <f t="shared" si="225"/>
        <v>US</v>
      </c>
      <c r="K1146" s="14">
        <v>36</v>
      </c>
      <c r="L1146" s="1">
        <f t="shared" si="226"/>
        <v>36</v>
      </c>
      <c r="M1146" s="1" t="str">
        <f t="shared" si="227"/>
        <v>Mid Career</v>
      </c>
      <c r="N1146" s="2">
        <v>44994</v>
      </c>
      <c r="O1146" s="1" t="s">
        <v>170</v>
      </c>
      <c r="P1146" s="1" t="s">
        <v>147</v>
      </c>
      <c r="Q1146" s="4">
        <v>0.47</v>
      </c>
      <c r="R1146" s="13">
        <f t="shared" si="228"/>
        <v>47</v>
      </c>
      <c r="S1146" s="6">
        <f t="shared" si="222"/>
        <v>0.47</v>
      </c>
      <c r="T1146" s="1">
        <v>1.5</v>
      </c>
      <c r="U1146" s="1">
        <f t="shared" si="229"/>
        <v>1.5</v>
      </c>
      <c r="V1146" s="1">
        <f t="shared" si="230"/>
        <v>33.35</v>
      </c>
      <c r="W1146" s="10" t="str">
        <f t="shared" si="231"/>
        <v>Low</v>
      </c>
      <c r="X1146" s="1" t="s">
        <v>22</v>
      </c>
      <c r="Y1146" s="1" t="str">
        <f t="shared" si="232"/>
        <v>No</v>
      </c>
      <c r="Z1146" s="14">
        <v>1</v>
      </c>
      <c r="AA1146" s="18">
        <f t="shared" si="233"/>
        <v>1</v>
      </c>
      <c r="AB1146" s="18" t="str">
        <f t="shared" si="234"/>
        <v>No</v>
      </c>
      <c r="AC1146" s="9" t="s">
        <v>1175</v>
      </c>
      <c r="AD1146">
        <f>IF(AC1146="",0,LEN(AC1146)-LEN(SUBSTITUTE(AC1146,",",""))+1)</f>
        <v>8</v>
      </c>
    </row>
    <row r="1147" spans="1:30" ht="12.5" x14ac:dyDescent="0.25">
      <c r="A1147" s="1" t="s">
        <v>4469</v>
      </c>
      <c r="B1147" s="1" t="s">
        <v>4470</v>
      </c>
      <c r="C1147" s="1" t="str">
        <v>Crystal Wallace</v>
      </c>
      <c r="D1147" s="1" t="s">
        <v>4471</v>
      </c>
      <c r="E1147" s="1" t="str">
        <v>martindavid@hart.biz</v>
      </c>
      <c r="F1147" t="str">
        <f t="shared" si="223"/>
        <v>Valid</v>
      </c>
      <c r="G1147" s="1" t="s">
        <v>17</v>
      </c>
      <c r="H1147" s="1" t="str">
        <f t="shared" si="224"/>
        <v>Female</v>
      </c>
      <c r="I1147" s="1" t="s">
        <v>74</v>
      </c>
      <c r="J1147" t="str">
        <f t="shared" si="225"/>
        <v>USA</v>
      </c>
      <c r="K1147" s="14">
        <v>0</v>
      </c>
      <c r="L1147" s="1">
        <f t="shared" si="226"/>
        <v>19</v>
      </c>
      <c r="M1147" s="1" t="str">
        <f t="shared" si="227"/>
        <v>Student</v>
      </c>
      <c r="N1147" s="9">
        <v>45005</v>
      </c>
      <c r="O1147" s="1" t="s">
        <v>36</v>
      </c>
      <c r="P1147" s="1" t="s">
        <v>37</v>
      </c>
      <c r="Q1147" s="4">
        <v>0.41</v>
      </c>
      <c r="R1147" s="13">
        <f t="shared" si="228"/>
        <v>41</v>
      </c>
      <c r="S1147" s="6">
        <f t="shared" si="222"/>
        <v>0.41</v>
      </c>
      <c r="T1147" s="1">
        <v>2</v>
      </c>
      <c r="U1147" s="1">
        <f t="shared" si="229"/>
        <v>2</v>
      </c>
      <c r="V1147" s="1">
        <f t="shared" si="230"/>
        <v>29.3</v>
      </c>
      <c r="W1147" s="10" t="str">
        <f t="shared" si="231"/>
        <v>Low</v>
      </c>
      <c r="X1147" s="1">
        <v>1</v>
      </c>
      <c r="Y1147" s="1" t="str">
        <f t="shared" si="232"/>
        <v>Yes</v>
      </c>
      <c r="Z1147" s="14">
        <v>5</v>
      </c>
      <c r="AA1147" s="18">
        <f t="shared" si="233"/>
        <v>5</v>
      </c>
      <c r="AB1147" s="18" t="str">
        <f t="shared" si="234"/>
        <v>High Performer</v>
      </c>
      <c r="AC1147" s="9" t="s">
        <v>4472</v>
      </c>
      <c r="AD1147">
        <f>IF(AC1147="",0,LEN(AC1147)-LEN(SUBSTITUTE(AC1147,",",""))+1)</f>
        <v>3</v>
      </c>
    </row>
    <row r="1148" spans="1:30" ht="12.5" x14ac:dyDescent="0.25">
      <c r="A1148" s="1" t="s">
        <v>4473</v>
      </c>
      <c r="B1148" s="1" t="s">
        <v>4474</v>
      </c>
      <c r="C1148" s="1" t="str">
        <v>Joshua Barnes</v>
      </c>
      <c r="D1148" s="1" t="s">
        <v>127</v>
      </c>
      <c r="E1148" s="1" t="str">
        <v>invalid-email</v>
      </c>
      <c r="F1148" t="str">
        <f t="shared" si="223"/>
        <v>Invalid</v>
      </c>
      <c r="G1148" s="1" t="s">
        <v>27</v>
      </c>
      <c r="H1148" s="1" t="str">
        <f t="shared" si="224"/>
        <v>Male</v>
      </c>
      <c r="I1148" s="1" t="s">
        <v>156</v>
      </c>
      <c r="J1148" t="str">
        <f t="shared" si="225"/>
        <v>IN</v>
      </c>
      <c r="K1148" s="14">
        <v>0</v>
      </c>
      <c r="L1148" s="1">
        <f t="shared" si="226"/>
        <v>19</v>
      </c>
      <c r="M1148" s="1" t="str">
        <f t="shared" si="227"/>
        <v>Student</v>
      </c>
      <c r="N1148" s="2">
        <v>44778</v>
      </c>
      <c r="O1148" s="1" t="s">
        <v>58</v>
      </c>
      <c r="P1148" s="1" t="s">
        <v>59</v>
      </c>
      <c r="Q1148" s="4">
        <v>0.06</v>
      </c>
      <c r="R1148" s="13">
        <f t="shared" si="228"/>
        <v>6</v>
      </c>
      <c r="S1148" s="6">
        <f t="shared" si="222"/>
        <v>0.06</v>
      </c>
      <c r="T1148" s="1" t="s">
        <v>46</v>
      </c>
      <c r="U1148" s="1">
        <f t="shared" si="229"/>
        <v>1</v>
      </c>
      <c r="V1148" s="1">
        <f t="shared" si="230"/>
        <v>4.4999999999999991</v>
      </c>
      <c r="W1148" s="10" t="str">
        <f t="shared" si="231"/>
        <v>Low</v>
      </c>
      <c r="X1148" s="1">
        <v>0</v>
      </c>
      <c r="Y1148" s="1" t="str">
        <f t="shared" si="232"/>
        <v>No</v>
      </c>
      <c r="Z1148" s="14">
        <v>1</v>
      </c>
      <c r="AA1148" s="18">
        <f t="shared" si="233"/>
        <v>1</v>
      </c>
      <c r="AB1148" s="18" t="str">
        <f t="shared" si="234"/>
        <v>No</v>
      </c>
      <c r="AC1148" s="9" t="s">
        <v>4475</v>
      </c>
      <c r="AD1148">
        <f>IF(AC1148="",0,LEN(AC1148)-LEN(SUBSTITUTE(AC1148,",",""))+1)</f>
        <v>2</v>
      </c>
    </row>
    <row r="1149" spans="1:30" ht="12.5" x14ac:dyDescent="0.25">
      <c r="A1149" s="1" t="s">
        <v>4476</v>
      </c>
      <c r="B1149" s="1" t="s">
        <v>4477</v>
      </c>
      <c r="C1149" s="1" t="str">
        <v>Austin Baker</v>
      </c>
      <c r="D1149" s="1" t="s">
        <v>4478</v>
      </c>
      <c r="E1149" s="1" t="str">
        <v>pmorales@gmail.com</v>
      </c>
      <c r="F1149" t="str">
        <f t="shared" si="223"/>
        <v>Valid</v>
      </c>
      <c r="G1149" s="1" t="s">
        <v>17</v>
      </c>
      <c r="H1149" s="1" t="str">
        <f t="shared" si="224"/>
        <v>Female</v>
      </c>
      <c r="I1149" s="1" t="s">
        <v>28</v>
      </c>
      <c r="J1149" t="str">
        <f t="shared" si="225"/>
        <v>INDIA</v>
      </c>
      <c r="K1149" s="14">
        <v>37</v>
      </c>
      <c r="L1149" s="1">
        <f t="shared" si="226"/>
        <v>37</v>
      </c>
      <c r="M1149" s="1" t="str">
        <f t="shared" si="227"/>
        <v>Mid Career</v>
      </c>
      <c r="N1149" s="9">
        <v>44710</v>
      </c>
      <c r="O1149" s="1" t="s">
        <v>75</v>
      </c>
      <c r="P1149" s="1" t="s">
        <v>37</v>
      </c>
      <c r="Q1149" s="4">
        <v>0.39</v>
      </c>
      <c r="R1149" s="13">
        <f t="shared" si="228"/>
        <v>39</v>
      </c>
      <c r="S1149" s="6">
        <f t="shared" si="222"/>
        <v>0.39</v>
      </c>
      <c r="T1149" s="1">
        <v>1.5</v>
      </c>
      <c r="U1149" s="1">
        <f t="shared" si="229"/>
        <v>1.5</v>
      </c>
      <c r="V1149" s="1">
        <f t="shared" si="230"/>
        <v>27.749999999999996</v>
      </c>
      <c r="W1149" s="10" t="str">
        <f t="shared" si="231"/>
        <v>Low</v>
      </c>
      <c r="X1149" s="1" t="s">
        <v>22</v>
      </c>
      <c r="Y1149" s="1" t="str">
        <f t="shared" si="232"/>
        <v>No</v>
      </c>
      <c r="Z1149" s="14">
        <v>3</v>
      </c>
      <c r="AA1149" s="18">
        <f t="shared" si="233"/>
        <v>3</v>
      </c>
      <c r="AB1149" s="18" t="str">
        <f t="shared" si="234"/>
        <v>No</v>
      </c>
      <c r="AC1149" s="9" t="s">
        <v>4479</v>
      </c>
      <c r="AD1149">
        <f>IF(AC1149="",0,LEN(AC1149)-LEN(SUBSTITUTE(AC1149,",",""))+1)</f>
        <v>2</v>
      </c>
    </row>
    <row r="1150" spans="1:30" ht="12.5" x14ac:dyDescent="0.25">
      <c r="A1150" s="1" t="s">
        <v>4480</v>
      </c>
      <c r="B1150" s="1" t="s">
        <v>4481</v>
      </c>
      <c r="C1150" s="1" t="str">
        <v>Craig Keller</v>
      </c>
      <c r="D1150" s="1" t="s">
        <v>4482</v>
      </c>
      <c r="E1150" s="1" t="str">
        <v>timothy29@yahoo.com</v>
      </c>
      <c r="F1150" t="str">
        <f t="shared" si="223"/>
        <v>Valid</v>
      </c>
      <c r="G1150" s="1" t="s">
        <v>27</v>
      </c>
      <c r="H1150" s="1" t="str">
        <f t="shared" si="224"/>
        <v>Male</v>
      </c>
      <c r="I1150" s="1" t="s">
        <v>51</v>
      </c>
      <c r="J1150" t="str">
        <f t="shared" si="225"/>
        <v>UK</v>
      </c>
      <c r="L1150" s="1">
        <f t="shared" si="226"/>
        <v>19</v>
      </c>
      <c r="M1150" s="1" t="str">
        <f t="shared" si="227"/>
        <v>Student</v>
      </c>
      <c r="N1150" s="3">
        <v>44875</v>
      </c>
      <c r="O1150" s="1" t="s">
        <v>170</v>
      </c>
      <c r="P1150" s="1" t="s">
        <v>147</v>
      </c>
      <c r="Q1150" s="4">
        <v>0.37</v>
      </c>
      <c r="R1150" s="13">
        <f t="shared" si="228"/>
        <v>37</v>
      </c>
      <c r="S1150" s="6">
        <f t="shared" si="222"/>
        <v>0.37</v>
      </c>
      <c r="T1150" s="1">
        <v>1.5</v>
      </c>
      <c r="U1150" s="1">
        <f t="shared" si="229"/>
        <v>1.5</v>
      </c>
      <c r="V1150" s="1">
        <f t="shared" si="230"/>
        <v>26.349999999999998</v>
      </c>
      <c r="W1150" s="10" t="str">
        <f t="shared" si="231"/>
        <v>Low</v>
      </c>
      <c r="X1150" s="1" t="s">
        <v>32</v>
      </c>
      <c r="Y1150" s="1" t="str">
        <f t="shared" si="232"/>
        <v>Yes</v>
      </c>
      <c r="Z1150" s="14">
        <v>5</v>
      </c>
      <c r="AA1150" s="18">
        <f t="shared" si="233"/>
        <v>5</v>
      </c>
      <c r="AB1150" s="18" t="str">
        <f t="shared" si="234"/>
        <v>High Performer</v>
      </c>
      <c r="AC1150" s="9" t="s">
        <v>4483</v>
      </c>
      <c r="AD1150">
        <f>IF(AC1150="",0,LEN(AC1150)-LEN(SUBSTITUTE(AC1150,",",""))+1)</f>
        <v>8</v>
      </c>
    </row>
    <row r="1151" spans="1:30" ht="12.5" x14ac:dyDescent="0.25">
      <c r="A1151" s="1" t="s">
        <v>4484</v>
      </c>
      <c r="B1151" s="1" t="s">
        <v>4485</v>
      </c>
      <c r="C1151" s="1" t="str">
        <v>Casey Miles</v>
      </c>
      <c r="D1151" s="1" t="s">
        <v>4486</v>
      </c>
      <c r="E1151" s="1" t="str">
        <v>brian01@wade.com</v>
      </c>
      <c r="F1151" t="str">
        <f t="shared" si="223"/>
        <v>Valid</v>
      </c>
      <c r="G1151" s="1" t="s">
        <v>109</v>
      </c>
      <c r="H1151" s="1" t="str">
        <f t="shared" si="224"/>
        <v>Male</v>
      </c>
      <c r="I1151" s="1" t="s">
        <v>136</v>
      </c>
      <c r="J1151" t="str">
        <f t="shared" si="225"/>
        <v>UK</v>
      </c>
      <c r="L1151" s="1">
        <f t="shared" si="226"/>
        <v>19</v>
      </c>
      <c r="M1151" s="1" t="str">
        <f t="shared" si="227"/>
        <v>Student</v>
      </c>
      <c r="N1151" s="2">
        <v>44630</v>
      </c>
      <c r="O1151" s="1" t="s">
        <v>146</v>
      </c>
      <c r="P1151" s="1" t="s">
        <v>147</v>
      </c>
      <c r="Q1151" s="4">
        <v>0.88</v>
      </c>
      <c r="R1151" s="13">
        <f t="shared" si="228"/>
        <v>88</v>
      </c>
      <c r="S1151" s="6">
        <f t="shared" si="222"/>
        <v>0.88</v>
      </c>
      <c r="T1151" s="1" t="s">
        <v>64</v>
      </c>
      <c r="U1151" s="1">
        <f t="shared" si="229"/>
        <v>2</v>
      </c>
      <c r="V1151" s="1">
        <f t="shared" si="230"/>
        <v>62.199999999999996</v>
      </c>
      <c r="W1151" s="10" t="str">
        <f t="shared" si="231"/>
        <v>Medium</v>
      </c>
      <c r="X1151" s="1">
        <v>1</v>
      </c>
      <c r="Y1151" s="1" t="str">
        <f t="shared" si="232"/>
        <v>Yes</v>
      </c>
      <c r="Z1151" s="14">
        <v>3</v>
      </c>
      <c r="AA1151" s="18">
        <f t="shared" si="233"/>
        <v>3</v>
      </c>
      <c r="AB1151" s="18" t="str">
        <f t="shared" si="234"/>
        <v>No</v>
      </c>
      <c r="AC1151" s="9" t="s">
        <v>4487</v>
      </c>
      <c r="AD1151">
        <f>IF(AC1151="",0,LEN(AC1151)-LEN(SUBSTITUTE(AC1151,",",""))+1)</f>
        <v>2</v>
      </c>
    </row>
    <row r="1152" spans="1:30" ht="12.5" x14ac:dyDescent="0.25">
      <c r="A1152" s="1" t="s">
        <v>4488</v>
      </c>
      <c r="B1152" s="1" t="s">
        <v>4489</v>
      </c>
      <c r="C1152" s="1" t="str">
        <v>Chelsea Wells</v>
      </c>
      <c r="D1152" s="1" t="s">
        <v>4490</v>
      </c>
      <c r="E1152" s="1" t="str">
        <v>coryhughes@hotmail.com</v>
      </c>
      <c r="F1152" t="str">
        <f t="shared" si="223"/>
        <v>Valid</v>
      </c>
      <c r="G1152" s="1" t="s">
        <v>57</v>
      </c>
      <c r="H1152" s="1" t="str">
        <f t="shared" si="224"/>
        <v>Female</v>
      </c>
      <c r="I1152" s="1" t="s">
        <v>89</v>
      </c>
      <c r="J1152" t="str">
        <f t="shared" si="225"/>
        <v>GERMANY</v>
      </c>
      <c r="L1152" s="1">
        <f t="shared" si="226"/>
        <v>19</v>
      </c>
      <c r="M1152" s="1" t="str">
        <f t="shared" si="227"/>
        <v>Student</v>
      </c>
      <c r="N1152" s="9">
        <v>45154</v>
      </c>
      <c r="O1152" s="1" t="s">
        <v>52</v>
      </c>
      <c r="P1152" s="1" t="s">
        <v>37</v>
      </c>
      <c r="Q1152" s="4">
        <v>30</v>
      </c>
      <c r="R1152" s="13">
        <f t="shared" si="228"/>
        <v>30</v>
      </c>
      <c r="S1152" s="6">
        <f t="shared" si="222"/>
        <v>0.3</v>
      </c>
      <c r="T1152" s="1" t="s">
        <v>64</v>
      </c>
      <c r="U1152" s="1">
        <f t="shared" si="229"/>
        <v>2</v>
      </c>
      <c r="V1152" s="1">
        <f t="shared" si="230"/>
        <v>21.6</v>
      </c>
      <c r="W1152" s="10" t="str">
        <f t="shared" si="231"/>
        <v>Low</v>
      </c>
      <c r="X1152" s="1" t="s">
        <v>22</v>
      </c>
      <c r="Y1152" s="1" t="str">
        <f t="shared" si="232"/>
        <v>No</v>
      </c>
      <c r="Z1152" s="14">
        <v>6</v>
      </c>
      <c r="AA1152" s="18">
        <f t="shared" si="233"/>
        <v>6</v>
      </c>
      <c r="AB1152" s="18" t="str">
        <f t="shared" si="234"/>
        <v>No</v>
      </c>
      <c r="AC1152" s="9" t="s">
        <v>4491</v>
      </c>
      <c r="AD1152">
        <f>IF(AC1152="",0,LEN(AC1152)-LEN(SUBSTITUTE(AC1152,",",""))+1)</f>
        <v>7</v>
      </c>
    </row>
    <row r="1153" spans="1:30" ht="12.5" x14ac:dyDescent="0.25">
      <c r="A1153" s="1" t="s">
        <v>4492</v>
      </c>
      <c r="B1153" s="1" t="s">
        <v>4493</v>
      </c>
      <c r="C1153" s="1" t="str">
        <v>Cameron Hicks</v>
      </c>
      <c r="D1153" s="1" t="s">
        <v>4494</v>
      </c>
      <c r="E1153" s="1" t="str">
        <v>epalmer@martin.com</v>
      </c>
      <c r="F1153" t="str">
        <f t="shared" si="223"/>
        <v>Valid</v>
      </c>
      <c r="G1153" s="1" t="s">
        <v>17</v>
      </c>
      <c r="H1153" s="1" t="str">
        <f t="shared" si="224"/>
        <v>Female</v>
      </c>
      <c r="I1153" s="1" t="s">
        <v>44</v>
      </c>
      <c r="J1153" t="str">
        <f t="shared" si="225"/>
        <v>CANADA</v>
      </c>
      <c r="L1153" s="1">
        <f t="shared" si="226"/>
        <v>19</v>
      </c>
      <c r="M1153" s="1" t="str">
        <f t="shared" si="227"/>
        <v>Student</v>
      </c>
      <c r="N1153" s="2">
        <v>45455</v>
      </c>
      <c r="O1153" s="1" t="s">
        <v>19</v>
      </c>
      <c r="P1153" s="1" t="s">
        <v>20</v>
      </c>
      <c r="Q1153" s="4">
        <v>18</v>
      </c>
      <c r="R1153" s="13">
        <f t="shared" si="228"/>
        <v>18</v>
      </c>
      <c r="S1153" s="6">
        <f t="shared" si="222"/>
        <v>0.18</v>
      </c>
      <c r="T1153" s="1">
        <v>45</v>
      </c>
      <c r="U1153" s="1">
        <f t="shared" si="229"/>
        <v>45</v>
      </c>
      <c r="V1153" s="1">
        <f t="shared" si="230"/>
        <v>26.1</v>
      </c>
      <c r="W1153" s="10" t="str">
        <f t="shared" si="231"/>
        <v>Low</v>
      </c>
      <c r="X1153" s="1">
        <v>1</v>
      </c>
      <c r="Y1153" s="1" t="str">
        <f t="shared" si="232"/>
        <v>Yes</v>
      </c>
      <c r="Z1153" s="14">
        <v>1</v>
      </c>
      <c r="AA1153" s="18">
        <f t="shared" si="233"/>
        <v>1</v>
      </c>
      <c r="AB1153" s="18" t="str">
        <f t="shared" si="234"/>
        <v>No</v>
      </c>
      <c r="AC1153" s="9">
        <v>45455</v>
      </c>
      <c r="AD1153">
        <f>IF(AC1153="",0,LEN(AC1153)-LEN(SUBSTITUTE(AC1153,",",""))+1)</f>
        <v>1</v>
      </c>
    </row>
    <row r="1154" spans="1:30" ht="12.5" x14ac:dyDescent="0.25">
      <c r="A1154" s="1" t="s">
        <v>4495</v>
      </c>
      <c r="B1154" s="1" t="s">
        <v>4496</v>
      </c>
      <c r="C1154" s="1" t="str">
        <v>Amanda Flores</v>
      </c>
      <c r="D1154" s="1" t="s">
        <v>4497</v>
      </c>
      <c r="E1154" s="1" t="str">
        <v>leejessica@yahoo.com</v>
      </c>
      <c r="F1154" t="str">
        <f t="shared" si="223"/>
        <v>Valid</v>
      </c>
      <c r="G1154" s="1" t="s">
        <v>27</v>
      </c>
      <c r="H1154" s="1" t="str">
        <f t="shared" si="224"/>
        <v>Male</v>
      </c>
      <c r="I1154" s="1" t="s">
        <v>89</v>
      </c>
      <c r="J1154" t="str">
        <f t="shared" si="225"/>
        <v>GERMANY</v>
      </c>
      <c r="K1154" s="14">
        <v>0</v>
      </c>
      <c r="L1154" s="1">
        <f t="shared" si="226"/>
        <v>19</v>
      </c>
      <c r="M1154" s="1" t="str">
        <f t="shared" si="227"/>
        <v>Student</v>
      </c>
      <c r="N1154" s="9">
        <v>45008</v>
      </c>
      <c r="O1154" s="1" t="s">
        <v>146</v>
      </c>
      <c r="P1154" s="1" t="s">
        <v>147</v>
      </c>
      <c r="Q1154" s="4">
        <v>0.82</v>
      </c>
      <c r="R1154" s="13">
        <f t="shared" si="228"/>
        <v>82</v>
      </c>
      <c r="S1154" s="6">
        <f t="shared" ref="S1154:S1217" si="235">R1154/100</f>
        <v>0.82</v>
      </c>
      <c r="T1154" s="1" t="s">
        <v>64</v>
      </c>
      <c r="U1154" s="1">
        <f t="shared" si="229"/>
        <v>2</v>
      </c>
      <c r="V1154" s="1">
        <f t="shared" si="230"/>
        <v>58</v>
      </c>
      <c r="W1154" s="10" t="str">
        <f t="shared" si="231"/>
        <v>Medium</v>
      </c>
      <c r="X1154" s="1" t="s">
        <v>22</v>
      </c>
      <c r="Y1154" s="1" t="str">
        <f t="shared" si="232"/>
        <v>No</v>
      </c>
      <c r="AA1154" s="18" t="str">
        <f t="shared" si="233"/>
        <v>Invalid</v>
      </c>
      <c r="AB1154" s="18" t="str">
        <f t="shared" si="234"/>
        <v>No</v>
      </c>
      <c r="AC1154" s="9" t="s">
        <v>4498</v>
      </c>
      <c r="AD1154">
        <f>IF(AC1154="",0,LEN(AC1154)-LEN(SUBSTITUTE(AC1154,",",""))+1)</f>
        <v>8</v>
      </c>
    </row>
    <row r="1155" spans="1:30" ht="12.5" x14ac:dyDescent="0.25">
      <c r="A1155" s="1" t="s">
        <v>4499</v>
      </c>
      <c r="B1155" s="1" t="s">
        <v>4500</v>
      </c>
      <c r="C1155" s="1" t="str">
        <v>Terry Mendoza</v>
      </c>
      <c r="D1155" s="1" t="s">
        <v>4501</v>
      </c>
      <c r="E1155" s="1" t="str">
        <v>johnboyd@yahoo.com</v>
      </c>
      <c r="F1155" t="str">
        <f t="shared" ref="F1155:F1201" si="236">IF(ISNUMBER(SEARCH("@", E1155)), "Valid", "Invalid")</f>
        <v>Valid</v>
      </c>
      <c r="G1155" s="1" t="s">
        <v>88</v>
      </c>
      <c r="H1155" s="1" t="str">
        <f t="shared" ref="H1155:H1201" si="237">IF(OR(LOWER(G1155)="m", LOWER(G1155)="male"), "Male", IF(OR(LOWER(G1155)="f", LOWER(G1155)="female"), "Female","Other"))</f>
        <v>Male</v>
      </c>
      <c r="I1155" s="1" t="s">
        <v>156</v>
      </c>
      <c r="J1155" t="str">
        <f t="shared" ref="J1155:J1201" si="238">UPPER(TRIM(I1155))</f>
        <v>IN</v>
      </c>
      <c r="K1155" s="14">
        <v>32</v>
      </c>
      <c r="L1155" s="1">
        <f t="shared" ref="L1155:L1201" si="239">IF(OR(K1155=0,K1155&lt;10,K1155&gt;100), $L$1202, K1155)</f>
        <v>32</v>
      </c>
      <c r="M1155" s="1" t="str">
        <f t="shared" ref="M1155:M1201" si="240">IF(K1155&lt;22,"Student",
IF(K1155&lt;=30,"Early Career",
IF(K1155&lt;=40,"Mid Career",
IF(K1155&lt;=50,"Senior","Expert"))))</f>
        <v>Mid Career</v>
      </c>
      <c r="N1155" s="2">
        <v>45058</v>
      </c>
      <c r="O1155" s="1" t="s">
        <v>158</v>
      </c>
      <c r="P1155" s="1" t="s">
        <v>59</v>
      </c>
      <c r="Q1155" s="4">
        <v>0.32</v>
      </c>
      <c r="R1155" s="13">
        <f t="shared" ref="R1155:R1201" si="241">IF(Q1155&lt;=1, Q1155*100, Q1155)</f>
        <v>32</v>
      </c>
      <c r="S1155" s="6">
        <f t="shared" si="235"/>
        <v>0.32</v>
      </c>
      <c r="T1155" s="1">
        <v>1.5</v>
      </c>
      <c r="U1155" s="1">
        <f t="shared" ref="U1155:U1201" si="242">IF(ISNUMBER(T1155), T1155,
IF(ISNUMBER(SEARCH("min", T1155)), VALUE(LEFT(T1155, FIND(" ", T1155)-1))/60,
IF(ISNUMBER(SEARCH("hour", T1155)), VALUE(LEFT(T1155, FIND(" ", T1155)-1)),
"")))</f>
        <v>1.5</v>
      </c>
      <c r="V1155" s="1">
        <f t="shared" ref="V1155:V1201" si="243">MIN( (0.7*R1155 + 0.3*(U1155)), 100 )</f>
        <v>22.849999999999998</v>
      </c>
      <c r="W1155" s="10" t="str">
        <f t="shared" ref="W1155:W1201" si="244">IF(V1155&lt;41,"Low",IF(V1155&lt;71,"Medium","High"))</f>
        <v>Low</v>
      </c>
      <c r="X1155" s="1">
        <v>0</v>
      </c>
      <c r="Y1155" s="1" t="str">
        <f t="shared" ref="Y1155:Y1201" si="245">IF(OR(X1155="Yes", X1155="Y", X1155=1), "Yes", "No")</f>
        <v>No</v>
      </c>
      <c r="Z1155" s="14">
        <v>4</v>
      </c>
      <c r="AA1155" s="18">
        <f t="shared" ref="AA1155:AA1201" si="246">IF(AND(Z1155&gt;=1,Z1155&lt;=6),Z1155,"Invalid")</f>
        <v>4</v>
      </c>
      <c r="AB1155" s="18" t="str">
        <f t="shared" ref="AB1155:AB1201" si="247">IF(AND(Y1155="Yes",AA1155&gt;=4),"High Performer","No")</f>
        <v>No</v>
      </c>
      <c r="AC1155" s="9" t="s">
        <v>4502</v>
      </c>
      <c r="AD1155">
        <f>IF(AC1155="",0,LEN(AC1155)-LEN(SUBSTITUTE(AC1155,",",""))+1)</f>
        <v>6</v>
      </c>
    </row>
    <row r="1156" spans="1:30" ht="12.5" x14ac:dyDescent="0.25">
      <c r="A1156" s="1" t="s">
        <v>4503</v>
      </c>
      <c r="B1156" s="1" t="s">
        <v>4504</v>
      </c>
      <c r="C1156" s="1" t="str">
        <v>Bradley Snow</v>
      </c>
      <c r="D1156" s="1" t="s">
        <v>4505</v>
      </c>
      <c r="E1156" s="1" t="str">
        <v>woodphillip@santos-hatfield.com</v>
      </c>
      <c r="F1156" t="str">
        <f t="shared" si="236"/>
        <v>Valid</v>
      </c>
      <c r="G1156" s="1" t="s">
        <v>27</v>
      </c>
      <c r="H1156" s="1" t="str">
        <f t="shared" si="237"/>
        <v>Male</v>
      </c>
      <c r="I1156" s="1" t="s">
        <v>18</v>
      </c>
      <c r="J1156" t="str">
        <f t="shared" si="238"/>
        <v>US</v>
      </c>
      <c r="L1156" s="1">
        <f t="shared" si="239"/>
        <v>19</v>
      </c>
      <c r="M1156" s="1" t="str">
        <f t="shared" si="240"/>
        <v>Student</v>
      </c>
      <c r="N1156" s="2">
        <v>44569</v>
      </c>
      <c r="O1156" s="1" t="s">
        <v>114</v>
      </c>
      <c r="P1156" s="1" t="s">
        <v>59</v>
      </c>
      <c r="Q1156" s="4">
        <v>23</v>
      </c>
      <c r="R1156" s="13">
        <f t="shared" si="241"/>
        <v>23</v>
      </c>
      <c r="S1156" s="6">
        <f t="shared" si="235"/>
        <v>0.23</v>
      </c>
      <c r="T1156" s="1">
        <v>45</v>
      </c>
      <c r="U1156" s="1">
        <f t="shared" si="242"/>
        <v>45</v>
      </c>
      <c r="V1156" s="1">
        <f t="shared" si="243"/>
        <v>29.599999999999998</v>
      </c>
      <c r="W1156" s="10" t="str">
        <f t="shared" si="244"/>
        <v>Low</v>
      </c>
      <c r="X1156" s="1" t="s">
        <v>32</v>
      </c>
      <c r="Y1156" s="1" t="str">
        <f t="shared" si="245"/>
        <v>Yes</v>
      </c>
      <c r="Z1156" s="14">
        <v>1</v>
      </c>
      <c r="AA1156" s="18">
        <f t="shared" si="246"/>
        <v>1</v>
      </c>
      <c r="AB1156" s="18" t="str">
        <f t="shared" si="247"/>
        <v>No</v>
      </c>
      <c r="AC1156" s="9" t="s">
        <v>4506</v>
      </c>
      <c r="AD1156">
        <f>IF(AC1156="",0,LEN(AC1156)-LEN(SUBSTITUTE(AC1156,",",""))+1)</f>
        <v>6</v>
      </c>
    </row>
    <row r="1157" spans="1:30" ht="12.5" x14ac:dyDescent="0.25">
      <c r="A1157" s="1" t="s">
        <v>4507</v>
      </c>
      <c r="B1157" s="1" t="s">
        <v>4508</v>
      </c>
      <c r="C1157" s="1" t="str">
        <v>Savannah Harrison</v>
      </c>
      <c r="D1157" s="1" t="s">
        <v>4509</v>
      </c>
      <c r="E1157" s="1" t="str">
        <v>stodd@hotmail.com</v>
      </c>
      <c r="F1157" t="str">
        <f t="shared" si="236"/>
        <v>Valid</v>
      </c>
      <c r="G1157" s="1" t="s">
        <v>88</v>
      </c>
      <c r="H1157" s="1" t="str">
        <f t="shared" si="237"/>
        <v>Male</v>
      </c>
      <c r="I1157" s="1" t="s">
        <v>28</v>
      </c>
      <c r="J1157" t="str">
        <f t="shared" si="238"/>
        <v>INDIA</v>
      </c>
      <c r="K1157" s="14">
        <v>42</v>
      </c>
      <c r="L1157" s="1">
        <f t="shared" si="239"/>
        <v>42</v>
      </c>
      <c r="M1157" s="1" t="str">
        <f t="shared" si="240"/>
        <v>Senior</v>
      </c>
      <c r="N1157" s="9">
        <v>45129</v>
      </c>
      <c r="O1157" s="1" t="s">
        <v>235</v>
      </c>
      <c r="P1157" s="1" t="s">
        <v>147</v>
      </c>
      <c r="Q1157" s="4">
        <v>0.63</v>
      </c>
      <c r="R1157" s="13">
        <f t="shared" si="241"/>
        <v>63</v>
      </c>
      <c r="S1157" s="6">
        <f t="shared" si="235"/>
        <v>0.63</v>
      </c>
      <c r="T1157" s="1" t="s">
        <v>21</v>
      </c>
      <c r="U1157" s="1">
        <f t="shared" si="242"/>
        <v>1.5</v>
      </c>
      <c r="V1157" s="1">
        <f t="shared" si="243"/>
        <v>44.55</v>
      </c>
      <c r="W1157" s="10" t="str">
        <f t="shared" si="244"/>
        <v>Medium</v>
      </c>
      <c r="X1157" s="1">
        <v>0</v>
      </c>
      <c r="Y1157" s="1" t="str">
        <f t="shared" si="245"/>
        <v>No</v>
      </c>
      <c r="Z1157" s="14">
        <v>3</v>
      </c>
      <c r="AA1157" s="18">
        <f t="shared" si="246"/>
        <v>3</v>
      </c>
      <c r="AB1157" s="18" t="str">
        <f t="shared" si="247"/>
        <v>No</v>
      </c>
      <c r="AC1157" s="9" t="s">
        <v>4510</v>
      </c>
      <c r="AD1157">
        <f>IF(AC1157="",0,LEN(AC1157)-LEN(SUBSTITUTE(AC1157,",",""))+1)</f>
        <v>3</v>
      </c>
    </row>
    <row r="1158" spans="1:30" ht="12.5" x14ac:dyDescent="0.25">
      <c r="A1158" s="1" t="s">
        <v>4511</v>
      </c>
      <c r="B1158" s="1" t="s">
        <v>4512</v>
      </c>
      <c r="C1158" s="1" t="str">
        <v>Rachel Taylor</v>
      </c>
      <c r="D1158" s="1" t="s">
        <v>4513</v>
      </c>
      <c r="E1158" s="1" t="str">
        <v>holttheresa@hotmail.com</v>
      </c>
      <c r="F1158" t="str">
        <f t="shared" si="236"/>
        <v>Valid</v>
      </c>
      <c r="G1158" s="1" t="s">
        <v>43</v>
      </c>
      <c r="H1158" s="1" t="str">
        <f t="shared" si="237"/>
        <v>Female</v>
      </c>
      <c r="I1158" s="1" t="s">
        <v>51</v>
      </c>
      <c r="J1158" t="str">
        <f t="shared" si="238"/>
        <v>UK</v>
      </c>
      <c r="K1158" s="14">
        <v>0</v>
      </c>
      <c r="L1158" s="1">
        <f t="shared" si="239"/>
        <v>19</v>
      </c>
      <c r="M1158" s="1" t="str">
        <f t="shared" si="240"/>
        <v>Student</v>
      </c>
      <c r="N1158" s="9">
        <v>45738</v>
      </c>
      <c r="O1158" s="1" t="s">
        <v>75</v>
      </c>
      <c r="P1158" s="1" t="s">
        <v>37</v>
      </c>
      <c r="Q1158" s="4">
        <v>0.61</v>
      </c>
      <c r="R1158" s="13">
        <f t="shared" si="241"/>
        <v>61</v>
      </c>
      <c r="S1158" s="6">
        <f t="shared" si="235"/>
        <v>0.61</v>
      </c>
      <c r="T1158" s="1">
        <v>2</v>
      </c>
      <c r="U1158" s="1">
        <f t="shared" si="242"/>
        <v>2</v>
      </c>
      <c r="V1158" s="1">
        <f t="shared" si="243"/>
        <v>43.3</v>
      </c>
      <c r="W1158" s="10" t="str">
        <f t="shared" si="244"/>
        <v>Medium</v>
      </c>
      <c r="X1158" s="1">
        <v>0</v>
      </c>
      <c r="Y1158" s="1" t="str">
        <f t="shared" si="245"/>
        <v>No</v>
      </c>
      <c r="Z1158" s="14">
        <v>6</v>
      </c>
      <c r="AA1158" s="18">
        <f t="shared" si="246"/>
        <v>6</v>
      </c>
      <c r="AB1158" s="18" t="str">
        <f t="shared" si="247"/>
        <v>No</v>
      </c>
      <c r="AC1158" s="9" t="s">
        <v>4514</v>
      </c>
      <c r="AD1158">
        <f>IF(AC1158="",0,LEN(AC1158)-LEN(SUBSTITUTE(AC1158,",",""))+1)</f>
        <v>6</v>
      </c>
    </row>
    <row r="1159" spans="1:30" ht="12.5" x14ac:dyDescent="0.25">
      <c r="A1159" s="1" t="s">
        <v>4515</v>
      </c>
      <c r="B1159" s="1" t="s">
        <v>4516</v>
      </c>
      <c r="C1159" s="1" t="str">
        <v>Taylor Baxter</v>
      </c>
      <c r="D1159" s="1" t="s">
        <v>4517</v>
      </c>
      <c r="E1159" s="1" t="str">
        <v>sara53@lee.com</v>
      </c>
      <c r="F1159" t="str">
        <f t="shared" si="236"/>
        <v>Valid</v>
      </c>
      <c r="G1159" s="1" t="s">
        <v>95</v>
      </c>
      <c r="H1159" s="1" t="str">
        <f t="shared" si="237"/>
        <v>Male</v>
      </c>
      <c r="I1159" s="1" t="s">
        <v>136</v>
      </c>
      <c r="J1159" t="str">
        <f t="shared" si="238"/>
        <v>UK</v>
      </c>
      <c r="K1159" s="14">
        <v>0</v>
      </c>
      <c r="L1159" s="1">
        <f t="shared" si="239"/>
        <v>19</v>
      </c>
      <c r="M1159" s="1" t="str">
        <f t="shared" si="240"/>
        <v>Student</v>
      </c>
      <c r="N1159" s="9">
        <v>45461</v>
      </c>
      <c r="O1159" s="1" t="s">
        <v>69</v>
      </c>
      <c r="P1159" s="1" t="s">
        <v>31</v>
      </c>
      <c r="Q1159" s="4">
        <v>78</v>
      </c>
      <c r="R1159" s="13">
        <f t="shared" si="241"/>
        <v>78</v>
      </c>
      <c r="S1159" s="6">
        <f t="shared" si="235"/>
        <v>0.78</v>
      </c>
      <c r="T1159" s="1">
        <v>45</v>
      </c>
      <c r="U1159" s="1">
        <f t="shared" si="242"/>
        <v>45</v>
      </c>
      <c r="V1159" s="1">
        <f t="shared" si="243"/>
        <v>68.099999999999994</v>
      </c>
      <c r="W1159" s="10" t="str">
        <f t="shared" si="244"/>
        <v>Medium</v>
      </c>
      <c r="X1159" s="1">
        <v>1</v>
      </c>
      <c r="Y1159" s="1" t="str">
        <f t="shared" si="245"/>
        <v>Yes</v>
      </c>
      <c r="Z1159" s="14">
        <v>5</v>
      </c>
      <c r="AA1159" s="18">
        <f t="shared" si="246"/>
        <v>5</v>
      </c>
      <c r="AB1159" s="18" t="str">
        <f t="shared" si="247"/>
        <v>High Performer</v>
      </c>
      <c r="AC1159" s="9" t="s">
        <v>4518</v>
      </c>
      <c r="AD1159">
        <f>IF(AC1159="",0,LEN(AC1159)-LEN(SUBSTITUTE(AC1159,",",""))+1)</f>
        <v>7</v>
      </c>
    </row>
    <row r="1160" spans="1:30" ht="12.5" x14ac:dyDescent="0.25">
      <c r="A1160" s="1" t="s">
        <v>4519</v>
      </c>
      <c r="B1160" s="1" t="s">
        <v>4520</v>
      </c>
      <c r="C1160" s="1" t="str">
        <v>Mckenzie Lopez</v>
      </c>
      <c r="D1160" s="1" t="s">
        <v>4521</v>
      </c>
      <c r="E1160" s="1" t="str">
        <v>james58@morris.com</v>
      </c>
      <c r="F1160" t="str">
        <f t="shared" si="236"/>
        <v>Valid</v>
      </c>
      <c r="G1160" s="1" t="s">
        <v>88</v>
      </c>
      <c r="H1160" s="1" t="str">
        <f t="shared" si="237"/>
        <v>Male</v>
      </c>
      <c r="I1160" s="1" t="s">
        <v>136</v>
      </c>
      <c r="J1160" t="str">
        <f t="shared" si="238"/>
        <v>UK</v>
      </c>
      <c r="K1160" s="14">
        <v>0</v>
      </c>
      <c r="L1160" s="1">
        <f t="shared" si="239"/>
        <v>19</v>
      </c>
      <c r="M1160" s="1" t="str">
        <f t="shared" si="240"/>
        <v>Student</v>
      </c>
      <c r="N1160" s="9">
        <v>45462</v>
      </c>
      <c r="O1160" s="1" t="s">
        <v>158</v>
      </c>
      <c r="P1160" s="1" t="s">
        <v>59</v>
      </c>
      <c r="Q1160" s="4">
        <v>0.75</v>
      </c>
      <c r="R1160" s="13">
        <f t="shared" si="241"/>
        <v>75</v>
      </c>
      <c r="S1160" s="6">
        <f t="shared" si="235"/>
        <v>0.75</v>
      </c>
      <c r="T1160" s="1">
        <v>2</v>
      </c>
      <c r="U1160" s="1">
        <f t="shared" si="242"/>
        <v>2</v>
      </c>
      <c r="V1160" s="1">
        <f t="shared" si="243"/>
        <v>53.1</v>
      </c>
      <c r="W1160" s="10" t="str">
        <f t="shared" si="244"/>
        <v>Medium</v>
      </c>
      <c r="X1160" s="1" t="s">
        <v>32</v>
      </c>
      <c r="Y1160" s="1" t="str">
        <f t="shared" si="245"/>
        <v>Yes</v>
      </c>
      <c r="AA1160" s="18" t="str">
        <f t="shared" si="246"/>
        <v>Invalid</v>
      </c>
      <c r="AB1160" s="18" t="str">
        <f t="shared" si="247"/>
        <v>High Performer</v>
      </c>
      <c r="AC1160" s="9" t="s">
        <v>4522</v>
      </c>
      <c r="AD1160">
        <f>IF(AC1160="",0,LEN(AC1160)-LEN(SUBSTITUTE(AC1160,",",""))+1)</f>
        <v>5</v>
      </c>
    </row>
    <row r="1161" spans="1:30" ht="12.5" x14ac:dyDescent="0.25">
      <c r="A1161" s="1" t="s">
        <v>4523</v>
      </c>
      <c r="B1161" s="1" t="s">
        <v>4524</v>
      </c>
      <c r="C1161" s="1" t="str">
        <v>Christine Tyler</v>
      </c>
      <c r="D1161" s="1" t="s">
        <v>4525</v>
      </c>
      <c r="E1161" s="1" t="str">
        <v>paigepacheco@yahoo.com</v>
      </c>
      <c r="F1161" t="str">
        <f t="shared" si="236"/>
        <v>Valid</v>
      </c>
      <c r="G1161" s="1" t="s">
        <v>27</v>
      </c>
      <c r="H1161" s="1" t="str">
        <f t="shared" si="237"/>
        <v>Male</v>
      </c>
      <c r="I1161" s="1" t="s">
        <v>18</v>
      </c>
      <c r="J1161" t="str">
        <f t="shared" si="238"/>
        <v>US</v>
      </c>
      <c r="K1161" s="14">
        <v>26</v>
      </c>
      <c r="L1161" s="1">
        <f t="shared" si="239"/>
        <v>26</v>
      </c>
      <c r="M1161" s="1" t="str">
        <f t="shared" si="240"/>
        <v>Early Career</v>
      </c>
      <c r="N1161" s="2">
        <v>44722</v>
      </c>
      <c r="O1161" s="1" t="s">
        <v>90</v>
      </c>
      <c r="P1161" s="1" t="s">
        <v>31</v>
      </c>
      <c r="Q1161" s="4">
        <v>0.83</v>
      </c>
      <c r="R1161" s="13">
        <f t="shared" si="241"/>
        <v>83</v>
      </c>
      <c r="S1161" s="6">
        <f t="shared" si="235"/>
        <v>0.83</v>
      </c>
      <c r="T1161" s="1">
        <v>2</v>
      </c>
      <c r="U1161" s="1">
        <f t="shared" si="242"/>
        <v>2</v>
      </c>
      <c r="V1161" s="1">
        <f t="shared" si="243"/>
        <v>58.699999999999996</v>
      </c>
      <c r="W1161" s="10" t="str">
        <f t="shared" si="244"/>
        <v>Medium</v>
      </c>
      <c r="X1161" s="1" t="s">
        <v>76</v>
      </c>
      <c r="Y1161" s="1" t="str">
        <f t="shared" si="245"/>
        <v>Yes</v>
      </c>
      <c r="Z1161" s="14">
        <v>6</v>
      </c>
      <c r="AA1161" s="18">
        <f t="shared" si="246"/>
        <v>6</v>
      </c>
      <c r="AB1161" s="18" t="str">
        <f t="shared" si="247"/>
        <v>High Performer</v>
      </c>
      <c r="AC1161" s="9" t="s">
        <v>4526</v>
      </c>
      <c r="AD1161">
        <f>IF(AC1161="",0,LEN(AC1161)-LEN(SUBSTITUTE(AC1161,",",""))+1)</f>
        <v>8</v>
      </c>
    </row>
    <row r="1162" spans="1:30" ht="12.5" x14ac:dyDescent="0.25">
      <c r="A1162" s="1" t="s">
        <v>4527</v>
      </c>
      <c r="B1162" s="1" t="s">
        <v>4528</v>
      </c>
      <c r="C1162" s="1" t="str">
        <v>Judy Peterson</v>
      </c>
      <c r="D1162" s="1" t="s">
        <v>4529</v>
      </c>
      <c r="E1162" s="1" t="str">
        <v>kingtammy@hotmail.com</v>
      </c>
      <c r="F1162" t="str">
        <f t="shared" si="236"/>
        <v>Valid</v>
      </c>
      <c r="G1162" s="1" t="s">
        <v>88</v>
      </c>
      <c r="H1162" s="1" t="str">
        <f t="shared" si="237"/>
        <v>Male</v>
      </c>
      <c r="I1162" s="1" t="s">
        <v>28</v>
      </c>
      <c r="J1162" t="str">
        <f t="shared" si="238"/>
        <v>INDIA</v>
      </c>
      <c r="K1162" s="14">
        <v>0</v>
      </c>
      <c r="L1162" s="1">
        <f t="shared" si="239"/>
        <v>19</v>
      </c>
      <c r="M1162" s="1" t="str">
        <f t="shared" si="240"/>
        <v>Student</v>
      </c>
      <c r="N1162" s="9">
        <v>45039</v>
      </c>
      <c r="O1162" s="1" t="s">
        <v>170</v>
      </c>
      <c r="P1162" s="1" t="s">
        <v>147</v>
      </c>
      <c r="Q1162" s="4">
        <v>0.06</v>
      </c>
      <c r="R1162" s="13">
        <f t="shared" si="241"/>
        <v>6</v>
      </c>
      <c r="S1162" s="6">
        <f t="shared" si="235"/>
        <v>0.06</v>
      </c>
      <c r="T1162" s="1" t="s">
        <v>64</v>
      </c>
      <c r="U1162" s="1">
        <f t="shared" si="242"/>
        <v>2</v>
      </c>
      <c r="V1162" s="1">
        <f t="shared" si="243"/>
        <v>4.7999999999999989</v>
      </c>
      <c r="W1162" s="10" t="str">
        <f t="shared" si="244"/>
        <v>Low</v>
      </c>
      <c r="X1162" s="1">
        <v>0</v>
      </c>
      <c r="Y1162" s="1" t="str">
        <f t="shared" si="245"/>
        <v>No</v>
      </c>
      <c r="Z1162" s="14">
        <v>1</v>
      </c>
      <c r="AA1162" s="18">
        <f t="shared" si="246"/>
        <v>1</v>
      </c>
      <c r="AB1162" s="18" t="str">
        <f t="shared" si="247"/>
        <v>No</v>
      </c>
      <c r="AC1162" s="9" t="s">
        <v>4530</v>
      </c>
      <c r="AD1162">
        <f>IF(AC1162="",0,LEN(AC1162)-LEN(SUBSTITUTE(AC1162,",",""))+1)</f>
        <v>4</v>
      </c>
    </row>
    <row r="1163" spans="1:30" ht="12.5" x14ac:dyDescent="0.25">
      <c r="A1163" s="1" t="s">
        <v>4531</v>
      </c>
      <c r="B1163" s="1" t="s">
        <v>4532</v>
      </c>
      <c r="C1163" s="1" t="str">
        <v>Tanya Gibson</v>
      </c>
      <c r="D1163" s="1" t="s">
        <v>4533</v>
      </c>
      <c r="E1163" s="1" t="str">
        <v>dgonzalez@yahoo.com</v>
      </c>
      <c r="F1163" t="str">
        <f t="shared" si="236"/>
        <v>Valid</v>
      </c>
      <c r="G1163" s="1" t="s">
        <v>17</v>
      </c>
      <c r="H1163" s="1" t="str">
        <f t="shared" si="237"/>
        <v>Female</v>
      </c>
      <c r="I1163" s="1" t="s">
        <v>89</v>
      </c>
      <c r="J1163" t="str">
        <f t="shared" si="238"/>
        <v>GERMANY</v>
      </c>
      <c r="K1163" s="14">
        <v>0</v>
      </c>
      <c r="L1163" s="1">
        <f t="shared" si="239"/>
        <v>19</v>
      </c>
      <c r="M1163" s="1" t="str">
        <f t="shared" si="240"/>
        <v>Student</v>
      </c>
      <c r="N1163" s="2">
        <v>45150</v>
      </c>
      <c r="O1163" s="1" t="s">
        <v>75</v>
      </c>
      <c r="P1163" s="1" t="s">
        <v>37</v>
      </c>
      <c r="Q1163" s="4">
        <v>27</v>
      </c>
      <c r="R1163" s="13">
        <f t="shared" si="241"/>
        <v>27</v>
      </c>
      <c r="S1163" s="6">
        <f t="shared" si="235"/>
        <v>0.27</v>
      </c>
      <c r="T1163" s="1" t="s">
        <v>64</v>
      </c>
      <c r="U1163" s="1">
        <f t="shared" si="242"/>
        <v>2</v>
      </c>
      <c r="V1163" s="1">
        <f t="shared" si="243"/>
        <v>19.5</v>
      </c>
      <c r="W1163" s="10" t="str">
        <f t="shared" si="244"/>
        <v>Low</v>
      </c>
      <c r="X1163" s="1" t="s">
        <v>22</v>
      </c>
      <c r="Y1163" s="1" t="str">
        <f t="shared" si="245"/>
        <v>No</v>
      </c>
      <c r="Z1163" s="14">
        <v>5</v>
      </c>
      <c r="AA1163" s="18">
        <f t="shared" si="246"/>
        <v>5</v>
      </c>
      <c r="AB1163" s="18" t="str">
        <f t="shared" si="247"/>
        <v>No</v>
      </c>
      <c r="AC1163" s="9">
        <v>45150</v>
      </c>
      <c r="AD1163">
        <f>IF(AC1163="",0,LEN(AC1163)-LEN(SUBSTITUTE(AC1163,",",""))+1)</f>
        <v>1</v>
      </c>
    </row>
    <row r="1164" spans="1:30" ht="12.5" x14ac:dyDescent="0.25">
      <c r="A1164" s="1" t="s">
        <v>4534</v>
      </c>
      <c r="B1164" s="1" t="s">
        <v>879</v>
      </c>
      <c r="C1164" s="1" t="str">
        <v>James Wilson</v>
      </c>
      <c r="D1164" s="1" t="s">
        <v>4535</v>
      </c>
      <c r="E1164" s="1" t="str">
        <v>wardlaurie@williams.com</v>
      </c>
      <c r="F1164" t="str">
        <f t="shared" si="236"/>
        <v>Valid</v>
      </c>
      <c r="G1164" s="1" t="s">
        <v>95</v>
      </c>
      <c r="H1164" s="1" t="str">
        <f t="shared" si="237"/>
        <v>Male</v>
      </c>
      <c r="I1164" s="1" t="s">
        <v>74</v>
      </c>
      <c r="J1164" t="str">
        <f t="shared" si="238"/>
        <v>USA</v>
      </c>
      <c r="K1164" s="14">
        <v>0</v>
      </c>
      <c r="L1164" s="1">
        <f t="shared" si="239"/>
        <v>19</v>
      </c>
      <c r="M1164" s="1" t="str">
        <f t="shared" si="240"/>
        <v>Student</v>
      </c>
      <c r="N1164" s="2">
        <v>45485</v>
      </c>
      <c r="O1164" s="1" t="s">
        <v>30</v>
      </c>
      <c r="P1164" s="1" t="s">
        <v>31</v>
      </c>
      <c r="Q1164" s="4">
        <v>0.1</v>
      </c>
      <c r="R1164" s="13">
        <f t="shared" si="241"/>
        <v>10</v>
      </c>
      <c r="S1164" s="6">
        <f t="shared" si="235"/>
        <v>0.1</v>
      </c>
      <c r="T1164" s="1">
        <v>1.5</v>
      </c>
      <c r="U1164" s="1">
        <f t="shared" si="242"/>
        <v>1.5</v>
      </c>
      <c r="V1164" s="1">
        <f t="shared" si="243"/>
        <v>7.45</v>
      </c>
      <c r="W1164" s="10" t="str">
        <f t="shared" si="244"/>
        <v>Low</v>
      </c>
      <c r="X1164" s="1" t="s">
        <v>22</v>
      </c>
      <c r="Y1164" s="1" t="str">
        <f t="shared" si="245"/>
        <v>No</v>
      </c>
      <c r="Z1164" s="14">
        <v>3</v>
      </c>
      <c r="AA1164" s="18">
        <f t="shared" si="246"/>
        <v>3</v>
      </c>
      <c r="AB1164" s="18" t="str">
        <f t="shared" si="247"/>
        <v>No</v>
      </c>
      <c r="AC1164" s="9" t="s">
        <v>4536</v>
      </c>
      <c r="AD1164">
        <f>IF(AC1164="",0,LEN(AC1164)-LEN(SUBSTITUTE(AC1164,",",""))+1)</f>
        <v>4</v>
      </c>
    </row>
    <row r="1165" spans="1:30" ht="12.5" x14ac:dyDescent="0.25">
      <c r="A1165" s="1" t="s">
        <v>4537</v>
      </c>
      <c r="B1165" s="1" t="s">
        <v>4538</v>
      </c>
      <c r="C1165" s="1" t="str">
        <v>Tammy Mcdaniel</v>
      </c>
      <c r="D1165" s="1" t="s">
        <v>4539</v>
      </c>
      <c r="E1165" s="1" t="str">
        <v>vanceashley@rodriguez.com</v>
      </c>
      <c r="F1165" t="str">
        <f t="shared" si="236"/>
        <v>Valid</v>
      </c>
      <c r="G1165" s="1" t="s">
        <v>27</v>
      </c>
      <c r="H1165" s="1" t="str">
        <f t="shared" si="237"/>
        <v>Male</v>
      </c>
      <c r="I1165" s="1" t="s">
        <v>44</v>
      </c>
      <c r="J1165" t="str">
        <f t="shared" si="238"/>
        <v>CANADA</v>
      </c>
      <c r="K1165" s="14">
        <v>0</v>
      </c>
      <c r="L1165" s="1">
        <f t="shared" si="239"/>
        <v>19</v>
      </c>
      <c r="M1165" s="1" t="str">
        <f t="shared" si="240"/>
        <v>Student</v>
      </c>
      <c r="N1165" s="9">
        <v>44824</v>
      </c>
      <c r="O1165" s="1" t="s">
        <v>75</v>
      </c>
      <c r="P1165" s="1" t="s">
        <v>37</v>
      </c>
      <c r="Q1165" s="4">
        <v>0.54</v>
      </c>
      <c r="R1165" s="13">
        <f t="shared" si="241"/>
        <v>54</v>
      </c>
      <c r="S1165" s="6">
        <f t="shared" si="235"/>
        <v>0.54</v>
      </c>
      <c r="T1165" s="1" t="s">
        <v>64</v>
      </c>
      <c r="U1165" s="1">
        <f t="shared" si="242"/>
        <v>2</v>
      </c>
      <c r="V1165" s="1">
        <f t="shared" si="243"/>
        <v>38.4</v>
      </c>
      <c r="W1165" s="10" t="str">
        <f t="shared" si="244"/>
        <v>Low</v>
      </c>
      <c r="X1165" s="1" t="s">
        <v>76</v>
      </c>
      <c r="Y1165" s="1" t="str">
        <f t="shared" si="245"/>
        <v>Yes</v>
      </c>
      <c r="Z1165" s="14">
        <v>2</v>
      </c>
      <c r="AA1165" s="18">
        <f t="shared" si="246"/>
        <v>2</v>
      </c>
      <c r="AB1165" s="18" t="str">
        <f t="shared" si="247"/>
        <v>No</v>
      </c>
      <c r="AC1165" s="9" t="s">
        <v>4540</v>
      </c>
      <c r="AD1165">
        <f>IF(AC1165="",0,LEN(AC1165)-LEN(SUBSTITUTE(AC1165,",",""))+1)</f>
        <v>5</v>
      </c>
    </row>
    <row r="1166" spans="1:30" ht="12.5" x14ac:dyDescent="0.25">
      <c r="A1166" s="1" t="s">
        <v>4541</v>
      </c>
      <c r="B1166" s="1" t="s">
        <v>4542</v>
      </c>
      <c r="C1166" s="1" t="str">
        <v>Laura Adams</v>
      </c>
      <c r="D1166" s="1" t="s">
        <v>4543</v>
      </c>
      <c r="E1166" s="1" t="str">
        <v>edwardspencer@yahoo.com</v>
      </c>
      <c r="F1166" t="str">
        <f t="shared" si="236"/>
        <v>Valid</v>
      </c>
      <c r="G1166" s="1" t="s">
        <v>27</v>
      </c>
      <c r="H1166" s="1" t="str">
        <f t="shared" si="237"/>
        <v>Male</v>
      </c>
      <c r="I1166" s="1" t="s">
        <v>51</v>
      </c>
      <c r="J1166" t="str">
        <f t="shared" si="238"/>
        <v>UK</v>
      </c>
      <c r="L1166" s="1">
        <f t="shared" si="239"/>
        <v>19</v>
      </c>
      <c r="M1166" s="1" t="str">
        <f t="shared" si="240"/>
        <v>Student</v>
      </c>
      <c r="N1166" s="9">
        <v>45099</v>
      </c>
      <c r="O1166" s="1" t="s">
        <v>19</v>
      </c>
      <c r="P1166" s="1" t="s">
        <v>20</v>
      </c>
      <c r="Q1166" s="4">
        <v>8</v>
      </c>
      <c r="R1166" s="13">
        <f t="shared" si="241"/>
        <v>8</v>
      </c>
      <c r="S1166" s="6">
        <f t="shared" si="235"/>
        <v>0.08</v>
      </c>
      <c r="T1166" s="1">
        <v>1.5</v>
      </c>
      <c r="U1166" s="1">
        <f t="shared" si="242"/>
        <v>1.5</v>
      </c>
      <c r="V1166" s="1">
        <f t="shared" si="243"/>
        <v>6.05</v>
      </c>
      <c r="W1166" s="10" t="str">
        <f t="shared" si="244"/>
        <v>Low</v>
      </c>
      <c r="X1166" s="1">
        <v>1</v>
      </c>
      <c r="Y1166" s="1" t="str">
        <f t="shared" si="245"/>
        <v>Yes</v>
      </c>
      <c r="Z1166" s="14">
        <v>6</v>
      </c>
      <c r="AA1166" s="18">
        <f t="shared" si="246"/>
        <v>6</v>
      </c>
      <c r="AB1166" s="18" t="str">
        <f t="shared" si="247"/>
        <v>High Performer</v>
      </c>
      <c r="AC1166" s="9" t="s">
        <v>4544</v>
      </c>
      <c r="AD1166">
        <f>IF(AC1166="",0,LEN(AC1166)-LEN(SUBSTITUTE(AC1166,",",""))+1)</f>
        <v>2</v>
      </c>
    </row>
    <row r="1167" spans="1:30" ht="12.5" x14ac:dyDescent="0.25">
      <c r="A1167" s="1" t="s">
        <v>4545</v>
      </c>
      <c r="B1167" s="1" t="s">
        <v>4546</v>
      </c>
      <c r="C1167" s="1" t="str">
        <v>Joshua Smith</v>
      </c>
      <c r="D1167" s="1" t="s">
        <v>4547</v>
      </c>
      <c r="E1167" s="1" t="str">
        <v>duncanchristina@pacheco-martinez.com</v>
      </c>
      <c r="F1167" t="str">
        <f t="shared" si="236"/>
        <v>Valid</v>
      </c>
      <c r="G1167" s="1" t="s">
        <v>57</v>
      </c>
      <c r="H1167" s="1" t="str">
        <f t="shared" si="237"/>
        <v>Female</v>
      </c>
      <c r="I1167" s="1" t="s">
        <v>51</v>
      </c>
      <c r="J1167" t="str">
        <f t="shared" si="238"/>
        <v>UK</v>
      </c>
      <c r="K1167" s="14">
        <v>30</v>
      </c>
      <c r="L1167" s="1">
        <f t="shared" si="239"/>
        <v>30</v>
      </c>
      <c r="M1167" s="1" t="str">
        <f t="shared" si="240"/>
        <v>Early Career</v>
      </c>
      <c r="N1167" s="9">
        <v>44999</v>
      </c>
      <c r="O1167" s="1" t="s">
        <v>69</v>
      </c>
      <c r="P1167" s="1" t="s">
        <v>31</v>
      </c>
      <c r="Q1167" s="4">
        <v>0.35</v>
      </c>
      <c r="R1167" s="13">
        <f t="shared" si="241"/>
        <v>35</v>
      </c>
      <c r="S1167" s="6">
        <f t="shared" si="235"/>
        <v>0.35</v>
      </c>
      <c r="T1167" s="1" t="s">
        <v>64</v>
      </c>
      <c r="U1167" s="1">
        <f t="shared" si="242"/>
        <v>2</v>
      </c>
      <c r="V1167" s="1">
        <f t="shared" si="243"/>
        <v>25.1</v>
      </c>
      <c r="W1167" s="10" t="str">
        <f t="shared" si="244"/>
        <v>Low</v>
      </c>
      <c r="X1167" s="1" t="s">
        <v>32</v>
      </c>
      <c r="Y1167" s="1" t="str">
        <f t="shared" si="245"/>
        <v>Yes</v>
      </c>
      <c r="Z1167" s="14">
        <v>6</v>
      </c>
      <c r="AA1167" s="18">
        <f t="shared" si="246"/>
        <v>6</v>
      </c>
      <c r="AB1167" s="18" t="str">
        <f t="shared" si="247"/>
        <v>High Performer</v>
      </c>
      <c r="AC1167" s="9" t="s">
        <v>4548</v>
      </c>
      <c r="AD1167">
        <f>IF(AC1167="",0,LEN(AC1167)-LEN(SUBSTITUTE(AC1167,",",""))+1)</f>
        <v>2</v>
      </c>
    </row>
    <row r="1168" spans="1:30" ht="12.5" x14ac:dyDescent="0.25">
      <c r="A1168" s="1" t="s">
        <v>4549</v>
      </c>
      <c r="B1168" s="1" t="s">
        <v>4550</v>
      </c>
      <c r="C1168" s="1" t="str">
        <v>Christopher Robinson</v>
      </c>
      <c r="D1168" s="1" t="s">
        <v>4551</v>
      </c>
      <c r="E1168" s="1" t="str">
        <v>allenkyle@valencia.com</v>
      </c>
      <c r="F1168" t="str">
        <f t="shared" si="236"/>
        <v>Valid</v>
      </c>
      <c r="G1168" s="1" t="s">
        <v>43</v>
      </c>
      <c r="H1168" s="1" t="str">
        <f t="shared" si="237"/>
        <v>Female</v>
      </c>
      <c r="I1168" s="1" t="s">
        <v>136</v>
      </c>
      <c r="J1168" t="str">
        <f t="shared" si="238"/>
        <v>UK</v>
      </c>
      <c r="K1168" s="14">
        <v>0</v>
      </c>
      <c r="L1168" s="1">
        <f t="shared" si="239"/>
        <v>19</v>
      </c>
      <c r="M1168" s="1" t="str">
        <f t="shared" si="240"/>
        <v>Student</v>
      </c>
      <c r="N1168" s="9">
        <v>45289</v>
      </c>
      <c r="O1168" s="1" t="s">
        <v>45</v>
      </c>
      <c r="P1168" s="1" t="s">
        <v>20</v>
      </c>
      <c r="Q1168" s="4">
        <v>0.43</v>
      </c>
      <c r="R1168" s="13">
        <f t="shared" si="241"/>
        <v>43</v>
      </c>
      <c r="S1168" s="6">
        <f t="shared" si="235"/>
        <v>0.43</v>
      </c>
      <c r="T1168" s="1">
        <v>1.5</v>
      </c>
      <c r="U1168" s="1">
        <f t="shared" si="242"/>
        <v>1.5</v>
      </c>
      <c r="V1168" s="1">
        <f t="shared" si="243"/>
        <v>30.549999999999997</v>
      </c>
      <c r="W1168" s="10" t="str">
        <f t="shared" si="244"/>
        <v>Low</v>
      </c>
      <c r="X1168" s="1" t="s">
        <v>32</v>
      </c>
      <c r="Y1168" s="1" t="str">
        <f t="shared" si="245"/>
        <v>Yes</v>
      </c>
      <c r="Z1168" s="14">
        <v>2</v>
      </c>
      <c r="AA1168" s="18">
        <f t="shared" si="246"/>
        <v>2</v>
      </c>
      <c r="AB1168" s="18" t="str">
        <f t="shared" si="247"/>
        <v>No</v>
      </c>
      <c r="AC1168" s="9" t="s">
        <v>4552</v>
      </c>
      <c r="AD1168">
        <f>IF(AC1168="",0,LEN(AC1168)-LEN(SUBSTITUTE(AC1168,",",""))+1)</f>
        <v>2</v>
      </c>
    </row>
    <row r="1169" spans="1:30" ht="12.5" x14ac:dyDescent="0.25">
      <c r="A1169" s="1" t="s">
        <v>4553</v>
      </c>
      <c r="B1169" s="1" t="s">
        <v>4554</v>
      </c>
      <c r="C1169" s="1" t="str">
        <v>Chris Beasley</v>
      </c>
      <c r="D1169" s="1" t="s">
        <v>4555</v>
      </c>
      <c r="E1169" s="1" t="str">
        <v>weaverjoseph@hotmail.com</v>
      </c>
      <c r="F1169" t="str">
        <f t="shared" si="236"/>
        <v>Valid</v>
      </c>
      <c r="G1169" s="1" t="s">
        <v>119</v>
      </c>
      <c r="H1169" s="1" t="str">
        <f t="shared" si="237"/>
        <v>Female</v>
      </c>
      <c r="I1169" s="1" t="s">
        <v>74</v>
      </c>
      <c r="J1169" t="str">
        <f t="shared" si="238"/>
        <v>USA</v>
      </c>
      <c r="K1169" s="14">
        <v>41</v>
      </c>
      <c r="L1169" s="1">
        <f t="shared" si="239"/>
        <v>41</v>
      </c>
      <c r="M1169" s="1" t="str">
        <f t="shared" si="240"/>
        <v>Senior</v>
      </c>
      <c r="N1169" s="2">
        <v>44813</v>
      </c>
      <c r="O1169" s="1" t="s">
        <v>58</v>
      </c>
      <c r="P1169" s="1" t="s">
        <v>59</v>
      </c>
      <c r="Q1169" s="4">
        <v>51</v>
      </c>
      <c r="R1169" s="13">
        <f t="shared" si="241"/>
        <v>51</v>
      </c>
      <c r="S1169" s="6">
        <f t="shared" si="235"/>
        <v>0.51</v>
      </c>
      <c r="T1169" s="1">
        <v>45</v>
      </c>
      <c r="U1169" s="1">
        <f t="shared" si="242"/>
        <v>45</v>
      </c>
      <c r="V1169" s="1">
        <f t="shared" si="243"/>
        <v>49.199999999999996</v>
      </c>
      <c r="W1169" s="10" t="str">
        <f t="shared" si="244"/>
        <v>Medium</v>
      </c>
      <c r="X1169" s="1" t="s">
        <v>38</v>
      </c>
      <c r="Y1169" s="1" t="str">
        <f t="shared" si="245"/>
        <v>No</v>
      </c>
      <c r="Z1169" s="14">
        <v>2</v>
      </c>
      <c r="AA1169" s="18">
        <f t="shared" si="246"/>
        <v>2</v>
      </c>
      <c r="AB1169" s="18" t="str">
        <f t="shared" si="247"/>
        <v>No</v>
      </c>
      <c r="AC1169" s="9" t="s">
        <v>1353</v>
      </c>
      <c r="AD1169">
        <f>IF(AC1169="",0,LEN(AC1169)-LEN(SUBSTITUTE(AC1169,",",""))+1)</f>
        <v>2</v>
      </c>
    </row>
    <row r="1170" spans="1:30" ht="12.5" x14ac:dyDescent="0.25">
      <c r="A1170" s="1" t="s">
        <v>4556</v>
      </c>
      <c r="B1170" s="1" t="s">
        <v>4557</v>
      </c>
      <c r="C1170" s="1" t="str">
        <v>Alex Romero</v>
      </c>
      <c r="D1170" s="1" t="s">
        <v>4558</v>
      </c>
      <c r="E1170" s="1" t="str">
        <v>xobrien@gmail.com</v>
      </c>
      <c r="F1170" t="str">
        <f t="shared" si="236"/>
        <v>Valid</v>
      </c>
      <c r="G1170" s="1" t="s">
        <v>57</v>
      </c>
      <c r="H1170" s="1" t="str">
        <f t="shared" si="237"/>
        <v>Female</v>
      </c>
      <c r="I1170" s="1" t="s">
        <v>28</v>
      </c>
      <c r="J1170" t="str">
        <f t="shared" si="238"/>
        <v>INDIA</v>
      </c>
      <c r="L1170" s="1">
        <f t="shared" si="239"/>
        <v>19</v>
      </c>
      <c r="M1170" s="1" t="str">
        <f t="shared" si="240"/>
        <v>Student</v>
      </c>
      <c r="N1170" s="2">
        <v>45540</v>
      </c>
      <c r="O1170" s="1" t="s">
        <v>69</v>
      </c>
      <c r="P1170" s="1" t="s">
        <v>31</v>
      </c>
      <c r="Q1170" s="4">
        <v>0.25</v>
      </c>
      <c r="R1170" s="13">
        <f t="shared" si="241"/>
        <v>25</v>
      </c>
      <c r="S1170" s="6">
        <f t="shared" si="235"/>
        <v>0.25</v>
      </c>
      <c r="T1170" s="1">
        <v>2</v>
      </c>
      <c r="U1170" s="1">
        <f t="shared" si="242"/>
        <v>2</v>
      </c>
      <c r="V1170" s="1">
        <f t="shared" si="243"/>
        <v>18.100000000000001</v>
      </c>
      <c r="W1170" s="10" t="str">
        <f t="shared" si="244"/>
        <v>Low</v>
      </c>
      <c r="X1170" s="1" t="s">
        <v>38</v>
      </c>
      <c r="Y1170" s="1" t="str">
        <f t="shared" si="245"/>
        <v>No</v>
      </c>
      <c r="Z1170" s="14">
        <v>1</v>
      </c>
      <c r="AA1170" s="18">
        <f t="shared" si="246"/>
        <v>1</v>
      </c>
      <c r="AB1170" s="18" t="str">
        <f t="shared" si="247"/>
        <v>No</v>
      </c>
      <c r="AC1170" s="9" t="s">
        <v>4559</v>
      </c>
      <c r="AD1170">
        <f>IF(AC1170="",0,LEN(AC1170)-LEN(SUBSTITUTE(AC1170,",",""))+1)</f>
        <v>7</v>
      </c>
    </row>
    <row r="1171" spans="1:30" ht="12.5" x14ac:dyDescent="0.25">
      <c r="A1171" s="1" t="s">
        <v>4560</v>
      </c>
      <c r="B1171" s="1" t="s">
        <v>4561</v>
      </c>
      <c r="C1171" s="1" t="str">
        <v>Caroline Powell</v>
      </c>
      <c r="D1171" s="1" t="s">
        <v>4562</v>
      </c>
      <c r="E1171" s="1" t="str">
        <v>michael43@roberts.info</v>
      </c>
      <c r="F1171" t="str">
        <f t="shared" si="236"/>
        <v>Valid</v>
      </c>
      <c r="G1171" s="1" t="s">
        <v>109</v>
      </c>
      <c r="H1171" s="1" t="str">
        <f t="shared" si="237"/>
        <v>Male</v>
      </c>
      <c r="I1171" s="1" t="s">
        <v>136</v>
      </c>
      <c r="J1171" t="str">
        <f t="shared" si="238"/>
        <v>UK</v>
      </c>
      <c r="K1171" s="14">
        <v>0</v>
      </c>
      <c r="L1171" s="1">
        <f t="shared" si="239"/>
        <v>19</v>
      </c>
      <c r="M1171" s="1" t="str">
        <f t="shared" si="240"/>
        <v>Student</v>
      </c>
      <c r="N1171" s="2">
        <v>45720</v>
      </c>
      <c r="O1171" s="1" t="s">
        <v>301</v>
      </c>
      <c r="P1171" s="1" t="s">
        <v>20</v>
      </c>
      <c r="Q1171" s="4">
        <v>0.12</v>
      </c>
      <c r="R1171" s="13">
        <f t="shared" si="241"/>
        <v>12</v>
      </c>
      <c r="S1171" s="6">
        <f t="shared" si="235"/>
        <v>0.12</v>
      </c>
      <c r="T1171" s="1">
        <v>1.5</v>
      </c>
      <c r="U1171" s="1">
        <f t="shared" si="242"/>
        <v>1.5</v>
      </c>
      <c r="V1171" s="1">
        <f t="shared" si="243"/>
        <v>8.8499999999999979</v>
      </c>
      <c r="W1171" s="10" t="str">
        <f t="shared" si="244"/>
        <v>Low</v>
      </c>
      <c r="X1171" s="1">
        <v>0</v>
      </c>
      <c r="Y1171" s="1" t="str">
        <f t="shared" si="245"/>
        <v>No</v>
      </c>
      <c r="Z1171" s="14">
        <v>5</v>
      </c>
      <c r="AA1171" s="18">
        <f t="shared" si="246"/>
        <v>5</v>
      </c>
      <c r="AB1171" s="18" t="str">
        <f t="shared" si="247"/>
        <v>No</v>
      </c>
      <c r="AC1171" s="9" t="s">
        <v>4563</v>
      </c>
      <c r="AD1171">
        <f>IF(AC1171="",0,LEN(AC1171)-LEN(SUBSTITUTE(AC1171,",",""))+1)</f>
        <v>8</v>
      </c>
    </row>
    <row r="1172" spans="1:30" ht="12.5" x14ac:dyDescent="0.25">
      <c r="A1172" s="1" t="s">
        <v>4564</v>
      </c>
      <c r="B1172" s="1" t="s">
        <v>4565</v>
      </c>
      <c r="C1172" s="1" t="str">
        <v>Amy Marquez</v>
      </c>
      <c r="D1172" s="1" t="s">
        <v>4566</v>
      </c>
      <c r="E1172" s="1" t="str">
        <v>xarmstrong@smith-graham.info</v>
      </c>
      <c r="F1172" t="str">
        <f t="shared" si="236"/>
        <v>Valid</v>
      </c>
      <c r="G1172" s="1" t="s">
        <v>17</v>
      </c>
      <c r="H1172" s="1" t="str">
        <f t="shared" si="237"/>
        <v>Female</v>
      </c>
      <c r="I1172" s="1" t="s">
        <v>28</v>
      </c>
      <c r="J1172" t="str">
        <f t="shared" si="238"/>
        <v>INDIA</v>
      </c>
      <c r="K1172" s="14">
        <v>0</v>
      </c>
      <c r="L1172" s="1">
        <f t="shared" si="239"/>
        <v>19</v>
      </c>
      <c r="M1172" s="1" t="str">
        <f t="shared" si="240"/>
        <v>Student</v>
      </c>
      <c r="N1172" s="9">
        <v>44695</v>
      </c>
      <c r="O1172" s="1" t="s">
        <v>36</v>
      </c>
      <c r="P1172" s="1" t="s">
        <v>37</v>
      </c>
      <c r="Q1172" s="4">
        <v>0.39</v>
      </c>
      <c r="R1172" s="13">
        <f t="shared" si="241"/>
        <v>39</v>
      </c>
      <c r="S1172" s="6">
        <f t="shared" si="235"/>
        <v>0.39</v>
      </c>
      <c r="T1172" s="1" t="s">
        <v>46</v>
      </c>
      <c r="U1172" s="1">
        <f t="shared" si="242"/>
        <v>1</v>
      </c>
      <c r="V1172" s="1">
        <f t="shared" si="243"/>
        <v>27.599999999999998</v>
      </c>
      <c r="W1172" s="10" t="str">
        <f t="shared" si="244"/>
        <v>Low</v>
      </c>
      <c r="X1172" s="1" t="s">
        <v>22</v>
      </c>
      <c r="Y1172" s="1" t="str">
        <f t="shared" si="245"/>
        <v>No</v>
      </c>
      <c r="Z1172" s="14">
        <v>5</v>
      </c>
      <c r="AA1172" s="18">
        <f t="shared" si="246"/>
        <v>5</v>
      </c>
      <c r="AB1172" s="18" t="str">
        <f t="shared" si="247"/>
        <v>No</v>
      </c>
      <c r="AC1172" s="9" t="s">
        <v>4355</v>
      </c>
      <c r="AD1172">
        <f>IF(AC1172="",0,LEN(AC1172)-LEN(SUBSTITUTE(AC1172,",",""))+1)</f>
        <v>1</v>
      </c>
    </row>
    <row r="1173" spans="1:30" ht="12.5" x14ac:dyDescent="0.25">
      <c r="A1173" s="1" t="s">
        <v>4567</v>
      </c>
      <c r="B1173" s="1" t="s">
        <v>4568</v>
      </c>
      <c r="C1173" s="1" t="str">
        <v>Jacob Osborn</v>
      </c>
      <c r="D1173" s="1" t="s">
        <v>4569</v>
      </c>
      <c r="E1173" s="1" t="str">
        <v>garynash@hotmail.com</v>
      </c>
      <c r="F1173" t="str">
        <f t="shared" si="236"/>
        <v>Valid</v>
      </c>
      <c r="G1173" s="1" t="s">
        <v>119</v>
      </c>
      <c r="H1173" s="1" t="str">
        <f t="shared" si="237"/>
        <v>Female</v>
      </c>
      <c r="I1173" s="1" t="s">
        <v>44</v>
      </c>
      <c r="J1173" t="str">
        <f t="shared" si="238"/>
        <v>CANADA</v>
      </c>
      <c r="L1173" s="1">
        <f t="shared" si="239"/>
        <v>19</v>
      </c>
      <c r="M1173" s="1" t="str">
        <f t="shared" si="240"/>
        <v>Student</v>
      </c>
      <c r="N1173" s="9">
        <v>45316</v>
      </c>
      <c r="O1173" s="1" t="s">
        <v>52</v>
      </c>
      <c r="P1173" s="1" t="s">
        <v>37</v>
      </c>
      <c r="Q1173" s="4">
        <v>0.52</v>
      </c>
      <c r="R1173" s="13">
        <f t="shared" si="241"/>
        <v>52</v>
      </c>
      <c r="S1173" s="6">
        <f t="shared" si="235"/>
        <v>0.52</v>
      </c>
      <c r="T1173" s="1">
        <v>2</v>
      </c>
      <c r="U1173" s="1">
        <f t="shared" si="242"/>
        <v>2</v>
      </c>
      <c r="V1173" s="1">
        <f t="shared" si="243"/>
        <v>37</v>
      </c>
      <c r="W1173" s="10" t="str">
        <f t="shared" si="244"/>
        <v>Low</v>
      </c>
      <c r="X1173" s="1" t="s">
        <v>76</v>
      </c>
      <c r="Y1173" s="1" t="str">
        <f t="shared" si="245"/>
        <v>Yes</v>
      </c>
      <c r="Z1173" s="14">
        <v>1</v>
      </c>
      <c r="AA1173" s="18">
        <f t="shared" si="246"/>
        <v>1</v>
      </c>
      <c r="AB1173" s="18" t="str">
        <f t="shared" si="247"/>
        <v>No</v>
      </c>
      <c r="AC1173" s="9" t="s">
        <v>4570</v>
      </c>
      <c r="AD1173">
        <f>IF(AC1173="",0,LEN(AC1173)-LEN(SUBSTITUTE(AC1173,",",""))+1)</f>
        <v>3</v>
      </c>
    </row>
    <row r="1174" spans="1:30" ht="12.5" x14ac:dyDescent="0.25">
      <c r="A1174" s="1" t="s">
        <v>4571</v>
      </c>
      <c r="B1174" s="1" t="s">
        <v>4572</v>
      </c>
      <c r="C1174" s="1" t="str">
        <v>Veronica Diaz</v>
      </c>
      <c r="D1174" s="1" t="s">
        <v>4573</v>
      </c>
      <c r="E1174" s="1" t="str">
        <v>mannerik@dominguez.com</v>
      </c>
      <c r="F1174" t="str">
        <f t="shared" si="236"/>
        <v>Valid</v>
      </c>
      <c r="G1174" s="1" t="s">
        <v>57</v>
      </c>
      <c r="H1174" s="1" t="str">
        <f t="shared" si="237"/>
        <v>Female</v>
      </c>
      <c r="I1174" s="1" t="s">
        <v>74</v>
      </c>
      <c r="J1174" t="str">
        <f t="shared" si="238"/>
        <v>USA</v>
      </c>
      <c r="L1174" s="1">
        <f t="shared" si="239"/>
        <v>19</v>
      </c>
      <c r="M1174" s="1" t="str">
        <f t="shared" si="240"/>
        <v>Student</v>
      </c>
      <c r="N1174" s="9">
        <v>45461</v>
      </c>
      <c r="O1174" s="1" t="s">
        <v>52</v>
      </c>
      <c r="P1174" s="1" t="s">
        <v>37</v>
      </c>
      <c r="Q1174" s="4">
        <v>0.17</v>
      </c>
      <c r="R1174" s="13">
        <f t="shared" si="241"/>
        <v>17</v>
      </c>
      <c r="S1174" s="6">
        <f t="shared" si="235"/>
        <v>0.17</v>
      </c>
      <c r="T1174" s="1" t="s">
        <v>46</v>
      </c>
      <c r="U1174" s="1">
        <f t="shared" si="242"/>
        <v>1</v>
      </c>
      <c r="V1174" s="1">
        <f t="shared" si="243"/>
        <v>12.2</v>
      </c>
      <c r="W1174" s="10" t="str">
        <f t="shared" si="244"/>
        <v>Low</v>
      </c>
      <c r="X1174" s="1" t="s">
        <v>32</v>
      </c>
      <c r="Y1174" s="1" t="str">
        <f t="shared" si="245"/>
        <v>Yes</v>
      </c>
      <c r="Z1174" s="14">
        <v>5</v>
      </c>
      <c r="AA1174" s="18">
        <f t="shared" si="246"/>
        <v>5</v>
      </c>
      <c r="AB1174" s="18" t="str">
        <f t="shared" si="247"/>
        <v>High Performer</v>
      </c>
      <c r="AC1174" s="9" t="s">
        <v>4574</v>
      </c>
      <c r="AD1174">
        <f>IF(AC1174="",0,LEN(AC1174)-LEN(SUBSTITUTE(AC1174,",",""))+1)</f>
        <v>3</v>
      </c>
    </row>
    <row r="1175" spans="1:30" ht="12.5" x14ac:dyDescent="0.25">
      <c r="A1175" s="1" t="s">
        <v>4575</v>
      </c>
      <c r="B1175" s="1" t="s">
        <v>4576</v>
      </c>
      <c r="C1175" s="1" t="str">
        <v>Seth Lopez</v>
      </c>
      <c r="D1175" s="1" t="s">
        <v>4577</v>
      </c>
      <c r="E1175" s="1" t="str">
        <v>garrett13@gmail.com</v>
      </c>
      <c r="F1175" t="str">
        <f t="shared" si="236"/>
        <v>Valid</v>
      </c>
      <c r="G1175" s="1" t="s">
        <v>17</v>
      </c>
      <c r="H1175" s="1" t="str">
        <f t="shared" si="237"/>
        <v>Female</v>
      </c>
      <c r="I1175" s="1" t="s">
        <v>96</v>
      </c>
      <c r="J1175" t="str">
        <f t="shared" si="238"/>
        <v>INDIA</v>
      </c>
      <c r="K1175" s="14">
        <v>0</v>
      </c>
      <c r="L1175" s="1">
        <f t="shared" si="239"/>
        <v>19</v>
      </c>
      <c r="M1175" s="1" t="str">
        <f t="shared" si="240"/>
        <v>Student</v>
      </c>
      <c r="N1175" s="2">
        <v>45568</v>
      </c>
      <c r="O1175" s="1" t="s">
        <v>19</v>
      </c>
      <c r="P1175" s="1" t="s">
        <v>20</v>
      </c>
      <c r="Q1175" s="4">
        <v>29</v>
      </c>
      <c r="R1175" s="13">
        <f t="shared" si="241"/>
        <v>29</v>
      </c>
      <c r="S1175" s="6">
        <f t="shared" si="235"/>
        <v>0.28999999999999998</v>
      </c>
      <c r="T1175" s="1">
        <v>45</v>
      </c>
      <c r="U1175" s="1">
        <f t="shared" si="242"/>
        <v>45</v>
      </c>
      <c r="V1175" s="1">
        <f t="shared" si="243"/>
        <v>33.799999999999997</v>
      </c>
      <c r="W1175" s="10" t="str">
        <f t="shared" si="244"/>
        <v>Low</v>
      </c>
      <c r="X1175" s="1">
        <v>1</v>
      </c>
      <c r="Y1175" s="1" t="str">
        <f t="shared" si="245"/>
        <v>Yes</v>
      </c>
      <c r="Z1175" s="14">
        <v>1</v>
      </c>
      <c r="AA1175" s="18">
        <f t="shared" si="246"/>
        <v>1</v>
      </c>
      <c r="AB1175" s="18" t="str">
        <f t="shared" si="247"/>
        <v>No</v>
      </c>
      <c r="AC1175" s="9" t="s">
        <v>4578</v>
      </c>
      <c r="AD1175">
        <f>IF(AC1175="",0,LEN(AC1175)-LEN(SUBSTITUTE(AC1175,",",""))+1)</f>
        <v>4</v>
      </c>
    </row>
    <row r="1176" spans="1:30" ht="12.5" x14ac:dyDescent="0.25">
      <c r="A1176" s="1" t="s">
        <v>4579</v>
      </c>
      <c r="B1176" s="1" t="s">
        <v>4580</v>
      </c>
      <c r="C1176" s="1" t="str">
        <v>Tiffany David</v>
      </c>
      <c r="D1176" s="1" t="s">
        <v>4581</v>
      </c>
      <c r="E1176" s="1" t="str">
        <v>amy62@smith.org</v>
      </c>
      <c r="F1176" t="str">
        <f t="shared" si="236"/>
        <v>Valid</v>
      </c>
      <c r="G1176" s="1" t="s">
        <v>95</v>
      </c>
      <c r="H1176" s="1" t="str">
        <f t="shared" si="237"/>
        <v>Male</v>
      </c>
      <c r="I1176" s="1" t="s">
        <v>51</v>
      </c>
      <c r="J1176" t="str">
        <f t="shared" si="238"/>
        <v>UK</v>
      </c>
      <c r="K1176" s="14">
        <v>20</v>
      </c>
      <c r="L1176" s="1">
        <f t="shared" si="239"/>
        <v>20</v>
      </c>
      <c r="M1176" s="1" t="str">
        <f t="shared" si="240"/>
        <v>Student</v>
      </c>
      <c r="N1176" s="9">
        <v>45622</v>
      </c>
      <c r="O1176" s="1" t="s">
        <v>36</v>
      </c>
      <c r="P1176" s="1" t="s">
        <v>37</v>
      </c>
      <c r="Q1176" s="4">
        <v>0.53</v>
      </c>
      <c r="R1176" s="13">
        <f t="shared" si="241"/>
        <v>53</v>
      </c>
      <c r="S1176" s="6">
        <f t="shared" si="235"/>
        <v>0.53</v>
      </c>
      <c r="T1176" s="1">
        <v>1.5</v>
      </c>
      <c r="U1176" s="1">
        <f t="shared" si="242"/>
        <v>1.5</v>
      </c>
      <c r="V1176" s="1">
        <f t="shared" si="243"/>
        <v>37.549999999999997</v>
      </c>
      <c r="W1176" s="10" t="str">
        <f t="shared" si="244"/>
        <v>Low</v>
      </c>
      <c r="X1176" s="1">
        <v>1</v>
      </c>
      <c r="Y1176" s="1" t="str">
        <f t="shared" si="245"/>
        <v>Yes</v>
      </c>
      <c r="Z1176" s="14">
        <v>1</v>
      </c>
      <c r="AA1176" s="18">
        <f t="shared" si="246"/>
        <v>1</v>
      </c>
      <c r="AB1176" s="18" t="str">
        <f t="shared" si="247"/>
        <v>No</v>
      </c>
      <c r="AC1176" s="9" t="s">
        <v>4582</v>
      </c>
      <c r="AD1176">
        <f>IF(AC1176="",0,LEN(AC1176)-LEN(SUBSTITUTE(AC1176,",",""))+1)</f>
        <v>7</v>
      </c>
    </row>
    <row r="1177" spans="1:30" ht="12.5" x14ac:dyDescent="0.25">
      <c r="A1177" s="1" t="s">
        <v>4583</v>
      </c>
      <c r="B1177" s="1" t="s">
        <v>4584</v>
      </c>
      <c r="C1177" s="1" t="str">
        <v>Cassandra Martinez</v>
      </c>
      <c r="D1177" s="1" t="s">
        <v>4585</v>
      </c>
      <c r="E1177" s="1" t="str">
        <v>jennifer28@gmail.com</v>
      </c>
      <c r="F1177" t="str">
        <f t="shared" si="236"/>
        <v>Valid</v>
      </c>
      <c r="G1177" s="1" t="s">
        <v>43</v>
      </c>
      <c r="H1177" s="1" t="str">
        <f t="shared" si="237"/>
        <v>Female</v>
      </c>
      <c r="I1177" s="1" t="s">
        <v>74</v>
      </c>
      <c r="J1177" t="str">
        <f t="shared" si="238"/>
        <v>USA</v>
      </c>
      <c r="K1177" s="14">
        <v>28</v>
      </c>
      <c r="L1177" s="1">
        <f t="shared" si="239"/>
        <v>28</v>
      </c>
      <c r="M1177" s="1" t="str">
        <f t="shared" si="240"/>
        <v>Early Career</v>
      </c>
      <c r="N1177" s="2">
        <v>44659</v>
      </c>
      <c r="O1177" s="1" t="s">
        <v>19</v>
      </c>
      <c r="P1177" s="1" t="s">
        <v>20</v>
      </c>
      <c r="Q1177" s="4">
        <v>0.46</v>
      </c>
      <c r="R1177" s="13">
        <f t="shared" si="241"/>
        <v>46</v>
      </c>
      <c r="S1177" s="6">
        <f t="shared" si="235"/>
        <v>0.46</v>
      </c>
      <c r="T1177" s="1">
        <v>1.5</v>
      </c>
      <c r="U1177" s="1">
        <f t="shared" si="242"/>
        <v>1.5</v>
      </c>
      <c r="V1177" s="1">
        <f t="shared" si="243"/>
        <v>32.65</v>
      </c>
      <c r="W1177" s="10" t="str">
        <f t="shared" si="244"/>
        <v>Low</v>
      </c>
      <c r="X1177" s="1">
        <v>1</v>
      </c>
      <c r="Y1177" s="1" t="str">
        <f t="shared" si="245"/>
        <v>Yes</v>
      </c>
      <c r="Z1177" s="14">
        <v>4</v>
      </c>
      <c r="AA1177" s="18">
        <f t="shared" si="246"/>
        <v>4</v>
      </c>
      <c r="AB1177" s="18" t="str">
        <f t="shared" si="247"/>
        <v>High Performer</v>
      </c>
      <c r="AC1177" s="9" t="s">
        <v>4586</v>
      </c>
      <c r="AD1177">
        <f>IF(AC1177="",0,LEN(AC1177)-LEN(SUBSTITUTE(AC1177,",",""))+1)</f>
        <v>8</v>
      </c>
    </row>
    <row r="1178" spans="1:30" ht="12.5" x14ac:dyDescent="0.25">
      <c r="A1178" s="1" t="s">
        <v>4587</v>
      </c>
      <c r="B1178" s="1" t="s">
        <v>4588</v>
      </c>
      <c r="C1178" s="1" t="str">
        <v>Dominic Li</v>
      </c>
      <c r="D1178" s="1" t="s">
        <v>4589</v>
      </c>
      <c r="E1178" s="1" t="str">
        <v>dtaylor@moore-anderson.org</v>
      </c>
      <c r="F1178" t="str">
        <f t="shared" si="236"/>
        <v>Valid</v>
      </c>
      <c r="G1178" s="1" t="s">
        <v>43</v>
      </c>
      <c r="H1178" s="1" t="str">
        <f t="shared" si="237"/>
        <v>Female</v>
      </c>
      <c r="I1178" s="1" t="s">
        <v>18</v>
      </c>
      <c r="J1178" t="str">
        <f t="shared" si="238"/>
        <v>US</v>
      </c>
      <c r="K1178" s="14">
        <v>0</v>
      </c>
      <c r="L1178" s="1">
        <f t="shared" si="239"/>
        <v>19</v>
      </c>
      <c r="M1178" s="1" t="str">
        <f t="shared" si="240"/>
        <v>Student</v>
      </c>
      <c r="N1178" s="9">
        <v>45039</v>
      </c>
      <c r="O1178" s="1" t="s">
        <v>45</v>
      </c>
      <c r="P1178" s="1" t="s">
        <v>20</v>
      </c>
      <c r="Q1178" s="4">
        <v>0.9</v>
      </c>
      <c r="R1178" s="13">
        <f t="shared" si="241"/>
        <v>90</v>
      </c>
      <c r="S1178" s="6">
        <f t="shared" si="235"/>
        <v>0.9</v>
      </c>
      <c r="T1178" s="1" t="s">
        <v>64</v>
      </c>
      <c r="U1178" s="1">
        <f t="shared" si="242"/>
        <v>2</v>
      </c>
      <c r="V1178" s="1">
        <f t="shared" si="243"/>
        <v>63.599999999999994</v>
      </c>
      <c r="W1178" s="10" t="str">
        <f t="shared" si="244"/>
        <v>Medium</v>
      </c>
      <c r="X1178" s="1" t="s">
        <v>32</v>
      </c>
      <c r="Y1178" s="1" t="str">
        <f t="shared" si="245"/>
        <v>Yes</v>
      </c>
      <c r="Z1178" s="14">
        <v>2</v>
      </c>
      <c r="AA1178" s="18">
        <f t="shared" si="246"/>
        <v>2</v>
      </c>
      <c r="AB1178" s="18" t="str">
        <f t="shared" si="247"/>
        <v>No</v>
      </c>
      <c r="AC1178" s="9" t="s">
        <v>4074</v>
      </c>
      <c r="AD1178">
        <f>IF(AC1178="",0,LEN(AC1178)-LEN(SUBSTITUTE(AC1178,",",""))+1)</f>
        <v>1</v>
      </c>
    </row>
    <row r="1179" spans="1:30" ht="12.5" x14ac:dyDescent="0.25">
      <c r="A1179" s="1" t="s">
        <v>4590</v>
      </c>
      <c r="B1179" s="1" t="s">
        <v>4591</v>
      </c>
      <c r="C1179" s="1" t="str">
        <v>Christopher Rodriguez</v>
      </c>
      <c r="D1179" s="1" t="s">
        <v>4592</v>
      </c>
      <c r="E1179" s="1" t="str">
        <v>daniellewebster@mcgrath.com</v>
      </c>
      <c r="F1179" t="str">
        <f t="shared" si="236"/>
        <v>Valid</v>
      </c>
      <c r="G1179" s="1" t="s">
        <v>43</v>
      </c>
      <c r="H1179" s="1" t="str">
        <f t="shared" si="237"/>
        <v>Female</v>
      </c>
      <c r="I1179" s="1" t="s">
        <v>96</v>
      </c>
      <c r="J1179" t="str">
        <f t="shared" si="238"/>
        <v>INDIA</v>
      </c>
      <c r="L1179" s="1">
        <f t="shared" si="239"/>
        <v>19</v>
      </c>
      <c r="M1179" s="1" t="str">
        <f t="shared" si="240"/>
        <v>Student</v>
      </c>
      <c r="N1179" s="9">
        <v>45228</v>
      </c>
      <c r="O1179" s="1" t="s">
        <v>30</v>
      </c>
      <c r="P1179" s="1" t="s">
        <v>31</v>
      </c>
      <c r="Q1179" s="4">
        <v>7.0000000000000007E-2</v>
      </c>
      <c r="R1179" s="13">
        <f t="shared" si="241"/>
        <v>7.0000000000000009</v>
      </c>
      <c r="S1179" s="6">
        <f t="shared" si="235"/>
        <v>7.0000000000000007E-2</v>
      </c>
      <c r="T1179" s="1" t="s">
        <v>64</v>
      </c>
      <c r="U1179" s="1">
        <f t="shared" si="242"/>
        <v>2</v>
      </c>
      <c r="V1179" s="1">
        <f t="shared" si="243"/>
        <v>5.5</v>
      </c>
      <c r="W1179" s="10" t="str">
        <f t="shared" si="244"/>
        <v>Low</v>
      </c>
      <c r="X1179" s="1">
        <v>1</v>
      </c>
      <c r="Y1179" s="1" t="str">
        <f t="shared" si="245"/>
        <v>Yes</v>
      </c>
      <c r="Z1179" s="14">
        <v>4</v>
      </c>
      <c r="AA1179" s="18">
        <f t="shared" si="246"/>
        <v>4</v>
      </c>
      <c r="AB1179" s="18" t="str">
        <f t="shared" si="247"/>
        <v>High Performer</v>
      </c>
      <c r="AC1179" s="9" t="s">
        <v>4593</v>
      </c>
      <c r="AD1179">
        <f>IF(AC1179="",0,LEN(AC1179)-LEN(SUBSTITUTE(AC1179,",",""))+1)</f>
        <v>4</v>
      </c>
    </row>
    <row r="1180" spans="1:30" ht="12.5" x14ac:dyDescent="0.25">
      <c r="A1180" s="1" t="s">
        <v>4594</v>
      </c>
      <c r="B1180" s="1" t="s">
        <v>4595</v>
      </c>
      <c r="C1180" s="1" t="str">
        <v>Jennifer Weaver</v>
      </c>
      <c r="D1180" s="1" t="s">
        <v>4596</v>
      </c>
      <c r="E1180" s="1" t="str">
        <v>hhayden@yahoo.com</v>
      </c>
      <c r="F1180" t="str">
        <f t="shared" si="236"/>
        <v>Valid</v>
      </c>
      <c r="G1180" s="1" t="s">
        <v>119</v>
      </c>
      <c r="H1180" s="1" t="str">
        <f t="shared" si="237"/>
        <v>Female</v>
      </c>
      <c r="I1180" s="1" t="s">
        <v>28</v>
      </c>
      <c r="J1180" t="str">
        <f t="shared" si="238"/>
        <v>INDIA</v>
      </c>
      <c r="L1180" s="1">
        <f t="shared" si="239"/>
        <v>19</v>
      </c>
      <c r="M1180" s="1" t="str">
        <f t="shared" si="240"/>
        <v>Student</v>
      </c>
      <c r="N1180" s="9">
        <v>45104</v>
      </c>
      <c r="O1180" s="1" t="s">
        <v>114</v>
      </c>
      <c r="P1180" s="1" t="s">
        <v>59</v>
      </c>
      <c r="Q1180" s="4">
        <v>0.15</v>
      </c>
      <c r="R1180" s="13">
        <f t="shared" si="241"/>
        <v>15</v>
      </c>
      <c r="S1180" s="6">
        <f t="shared" si="235"/>
        <v>0.15</v>
      </c>
      <c r="T1180" s="1">
        <v>2</v>
      </c>
      <c r="U1180" s="1">
        <f t="shared" si="242"/>
        <v>2</v>
      </c>
      <c r="V1180" s="1">
        <f t="shared" si="243"/>
        <v>11.1</v>
      </c>
      <c r="W1180" s="10" t="str">
        <f t="shared" si="244"/>
        <v>Low</v>
      </c>
      <c r="X1180" s="1">
        <v>0</v>
      </c>
      <c r="Y1180" s="1" t="str">
        <f t="shared" si="245"/>
        <v>No</v>
      </c>
      <c r="AA1180" s="18" t="str">
        <f t="shared" si="246"/>
        <v>Invalid</v>
      </c>
      <c r="AB1180" s="18" t="str">
        <f t="shared" si="247"/>
        <v>No</v>
      </c>
      <c r="AC1180" s="9" t="s">
        <v>4597</v>
      </c>
      <c r="AD1180">
        <f>IF(AC1180="",0,LEN(AC1180)-LEN(SUBSTITUTE(AC1180,",",""))+1)</f>
        <v>5</v>
      </c>
    </row>
    <row r="1181" spans="1:30" ht="12.5" x14ac:dyDescent="0.25">
      <c r="A1181" s="1" t="s">
        <v>4598</v>
      </c>
      <c r="B1181" s="1" t="s">
        <v>4599</v>
      </c>
      <c r="C1181" s="1" t="str">
        <v>David Giles</v>
      </c>
      <c r="D1181" s="1" t="s">
        <v>4600</v>
      </c>
      <c r="E1181" s="1" t="str">
        <v>cmartinez@jones.com</v>
      </c>
      <c r="F1181" t="str">
        <f t="shared" si="236"/>
        <v>Valid</v>
      </c>
      <c r="G1181" s="1" t="s">
        <v>109</v>
      </c>
      <c r="H1181" s="1" t="str">
        <f t="shared" si="237"/>
        <v>Male</v>
      </c>
      <c r="I1181" s="1" t="s">
        <v>28</v>
      </c>
      <c r="J1181" t="str">
        <f t="shared" si="238"/>
        <v>INDIA</v>
      </c>
      <c r="K1181" s="14">
        <v>25</v>
      </c>
      <c r="L1181" s="1">
        <f t="shared" si="239"/>
        <v>25</v>
      </c>
      <c r="M1181" s="1" t="str">
        <f t="shared" si="240"/>
        <v>Early Career</v>
      </c>
      <c r="N1181" s="2">
        <v>45333</v>
      </c>
      <c r="O1181" s="1" t="s">
        <v>75</v>
      </c>
      <c r="P1181" s="1" t="s">
        <v>37</v>
      </c>
      <c r="Q1181" s="4">
        <v>0.82</v>
      </c>
      <c r="R1181" s="13">
        <f t="shared" si="241"/>
        <v>82</v>
      </c>
      <c r="S1181" s="6">
        <f t="shared" si="235"/>
        <v>0.82</v>
      </c>
      <c r="T1181" s="1">
        <v>45</v>
      </c>
      <c r="U1181" s="1">
        <f t="shared" si="242"/>
        <v>45</v>
      </c>
      <c r="V1181" s="1">
        <f t="shared" si="243"/>
        <v>70.900000000000006</v>
      </c>
      <c r="W1181" s="10" t="str">
        <f t="shared" si="244"/>
        <v>Medium</v>
      </c>
      <c r="X1181" s="1">
        <v>0</v>
      </c>
      <c r="Y1181" s="1" t="str">
        <f t="shared" si="245"/>
        <v>No</v>
      </c>
      <c r="Z1181" s="14">
        <v>5</v>
      </c>
      <c r="AA1181" s="18">
        <f t="shared" si="246"/>
        <v>5</v>
      </c>
      <c r="AB1181" s="18" t="str">
        <f t="shared" si="247"/>
        <v>No</v>
      </c>
      <c r="AC1181" s="9" t="s">
        <v>1209</v>
      </c>
      <c r="AD1181">
        <f>IF(AC1181="",0,LEN(AC1181)-LEN(SUBSTITUTE(AC1181,",",""))+1)</f>
        <v>3</v>
      </c>
    </row>
    <row r="1182" spans="1:30" ht="12.5" x14ac:dyDescent="0.25">
      <c r="A1182" s="1" t="s">
        <v>4601</v>
      </c>
      <c r="B1182" s="1" t="s">
        <v>4602</v>
      </c>
      <c r="C1182" s="1" t="str">
        <v>James Edwards</v>
      </c>
      <c r="D1182" s="1" t="s">
        <v>4603</v>
      </c>
      <c r="E1182" s="1" t="str">
        <v>lewiskimberly@cole.com</v>
      </c>
      <c r="F1182" t="str">
        <f t="shared" si="236"/>
        <v>Valid</v>
      </c>
      <c r="G1182" s="1" t="s">
        <v>17</v>
      </c>
      <c r="H1182" s="1" t="str">
        <f t="shared" si="237"/>
        <v>Female</v>
      </c>
      <c r="I1182" s="1" t="s">
        <v>28</v>
      </c>
      <c r="J1182" t="str">
        <f t="shared" si="238"/>
        <v>INDIA</v>
      </c>
      <c r="K1182" s="14">
        <v>31</v>
      </c>
      <c r="L1182" s="1">
        <f t="shared" si="239"/>
        <v>31</v>
      </c>
      <c r="M1182" s="1" t="str">
        <f t="shared" si="240"/>
        <v>Mid Career</v>
      </c>
      <c r="N1182" s="2">
        <v>44630</v>
      </c>
      <c r="O1182" s="1" t="s">
        <v>45</v>
      </c>
      <c r="P1182" s="1" t="s">
        <v>20</v>
      </c>
      <c r="Q1182" s="4">
        <v>35</v>
      </c>
      <c r="R1182" s="13">
        <f t="shared" si="241"/>
        <v>35</v>
      </c>
      <c r="S1182" s="6">
        <f t="shared" si="235"/>
        <v>0.35</v>
      </c>
      <c r="T1182" s="1" t="s">
        <v>21</v>
      </c>
      <c r="U1182" s="1">
        <f t="shared" si="242"/>
        <v>1.5</v>
      </c>
      <c r="V1182" s="1">
        <f t="shared" si="243"/>
        <v>24.95</v>
      </c>
      <c r="W1182" s="10" t="str">
        <f t="shared" si="244"/>
        <v>Low</v>
      </c>
      <c r="X1182" s="1" t="s">
        <v>38</v>
      </c>
      <c r="Y1182" s="1" t="str">
        <f t="shared" si="245"/>
        <v>No</v>
      </c>
      <c r="Z1182" s="14">
        <v>1</v>
      </c>
      <c r="AA1182" s="18">
        <f t="shared" si="246"/>
        <v>1</v>
      </c>
      <c r="AB1182" s="18" t="str">
        <f t="shared" si="247"/>
        <v>No</v>
      </c>
      <c r="AC1182" s="9" t="s">
        <v>4604</v>
      </c>
      <c r="AD1182">
        <f>IF(AC1182="",0,LEN(AC1182)-LEN(SUBSTITUTE(AC1182,",",""))+1)</f>
        <v>7</v>
      </c>
    </row>
    <row r="1183" spans="1:30" ht="12.5" x14ac:dyDescent="0.25">
      <c r="A1183" s="1" t="s">
        <v>4605</v>
      </c>
      <c r="B1183" s="1" t="s">
        <v>4606</v>
      </c>
      <c r="C1183" s="1" t="str">
        <v>Steven Mckee</v>
      </c>
      <c r="D1183" s="1" t="s">
        <v>4607</v>
      </c>
      <c r="E1183" s="1" t="str">
        <v>tross@yahoo.com</v>
      </c>
      <c r="F1183" t="str">
        <f t="shared" si="236"/>
        <v>Valid</v>
      </c>
      <c r="G1183" s="1" t="s">
        <v>119</v>
      </c>
      <c r="H1183" s="1" t="str">
        <f t="shared" si="237"/>
        <v>Female</v>
      </c>
      <c r="I1183" s="1" t="s">
        <v>89</v>
      </c>
      <c r="J1183" t="str">
        <f t="shared" si="238"/>
        <v>GERMANY</v>
      </c>
      <c r="K1183" s="14">
        <v>0</v>
      </c>
      <c r="L1183" s="1">
        <f t="shared" si="239"/>
        <v>19</v>
      </c>
      <c r="M1183" s="1" t="str">
        <f t="shared" si="240"/>
        <v>Student</v>
      </c>
      <c r="N1183" s="2">
        <v>45901</v>
      </c>
      <c r="O1183" s="1" t="s">
        <v>235</v>
      </c>
      <c r="P1183" s="1" t="s">
        <v>147</v>
      </c>
      <c r="Q1183" s="4">
        <v>0.52</v>
      </c>
      <c r="R1183" s="13">
        <f t="shared" si="241"/>
        <v>52</v>
      </c>
      <c r="S1183" s="6">
        <f t="shared" si="235"/>
        <v>0.52</v>
      </c>
      <c r="T1183" s="1">
        <v>2</v>
      </c>
      <c r="U1183" s="1">
        <f t="shared" si="242"/>
        <v>2</v>
      </c>
      <c r="V1183" s="1">
        <f t="shared" si="243"/>
        <v>37</v>
      </c>
      <c r="W1183" s="10" t="str">
        <f t="shared" si="244"/>
        <v>Low</v>
      </c>
      <c r="X1183" s="1" t="s">
        <v>38</v>
      </c>
      <c r="Y1183" s="1" t="str">
        <f t="shared" si="245"/>
        <v>No</v>
      </c>
      <c r="Z1183" s="14">
        <v>4</v>
      </c>
      <c r="AA1183" s="18">
        <f t="shared" si="246"/>
        <v>4</v>
      </c>
      <c r="AB1183" s="18" t="str">
        <f t="shared" si="247"/>
        <v>No</v>
      </c>
      <c r="AC1183" s="9" t="s">
        <v>4608</v>
      </c>
      <c r="AD1183">
        <f>IF(AC1183="",0,LEN(AC1183)-LEN(SUBSTITUTE(AC1183,",",""))+1)</f>
        <v>2</v>
      </c>
    </row>
    <row r="1184" spans="1:30" ht="12.5" x14ac:dyDescent="0.25">
      <c r="A1184" s="1" t="s">
        <v>4609</v>
      </c>
      <c r="B1184" s="1" t="s">
        <v>4610</v>
      </c>
      <c r="C1184" s="1" t="str">
        <v>Anthony Gould</v>
      </c>
      <c r="D1184" s="1" t="s">
        <v>127</v>
      </c>
      <c r="E1184" s="1" t="str">
        <v>invalid-email</v>
      </c>
      <c r="F1184" t="str">
        <f t="shared" si="236"/>
        <v>Invalid</v>
      </c>
      <c r="G1184" s="1" t="s">
        <v>119</v>
      </c>
      <c r="H1184" s="1" t="str">
        <f t="shared" si="237"/>
        <v>Female</v>
      </c>
      <c r="I1184" s="1" t="s">
        <v>51</v>
      </c>
      <c r="J1184" t="str">
        <f t="shared" si="238"/>
        <v>UK</v>
      </c>
      <c r="K1184" s="14">
        <v>19</v>
      </c>
      <c r="L1184" s="1">
        <f t="shared" si="239"/>
        <v>19</v>
      </c>
      <c r="M1184" s="1" t="str">
        <f t="shared" si="240"/>
        <v>Student</v>
      </c>
      <c r="N1184" s="2">
        <v>45057</v>
      </c>
      <c r="O1184" s="1" t="s">
        <v>36</v>
      </c>
      <c r="P1184" s="1" t="s">
        <v>37</v>
      </c>
      <c r="Q1184" s="4">
        <v>0.35</v>
      </c>
      <c r="R1184" s="13">
        <f t="shared" si="241"/>
        <v>35</v>
      </c>
      <c r="S1184" s="6">
        <f t="shared" si="235"/>
        <v>0.35</v>
      </c>
      <c r="T1184" s="1" t="s">
        <v>64</v>
      </c>
      <c r="U1184" s="1">
        <f t="shared" si="242"/>
        <v>2</v>
      </c>
      <c r="V1184" s="1">
        <f t="shared" si="243"/>
        <v>25.1</v>
      </c>
      <c r="W1184" s="10" t="str">
        <f t="shared" si="244"/>
        <v>Low</v>
      </c>
      <c r="X1184" s="1">
        <v>1</v>
      </c>
      <c r="Y1184" s="1" t="str">
        <f t="shared" si="245"/>
        <v>Yes</v>
      </c>
      <c r="Z1184" s="14">
        <v>4</v>
      </c>
      <c r="AA1184" s="18">
        <f t="shared" si="246"/>
        <v>4</v>
      </c>
      <c r="AB1184" s="18" t="str">
        <f t="shared" si="247"/>
        <v>High Performer</v>
      </c>
      <c r="AC1184" s="9" t="s">
        <v>4611</v>
      </c>
      <c r="AD1184">
        <f>IF(AC1184="",0,LEN(AC1184)-LEN(SUBSTITUTE(AC1184,",",""))+1)</f>
        <v>4</v>
      </c>
    </row>
    <row r="1185" spans="1:30" ht="12.5" x14ac:dyDescent="0.25">
      <c r="A1185" s="1" t="s">
        <v>4612</v>
      </c>
      <c r="B1185" s="1" t="s">
        <v>4613</v>
      </c>
      <c r="C1185" s="1" t="str">
        <v>John Hughes</v>
      </c>
      <c r="D1185" s="1" t="s">
        <v>4614</v>
      </c>
      <c r="E1185" s="1" t="str">
        <v>georgemichael@hotmail.com</v>
      </c>
      <c r="F1185" t="str">
        <f t="shared" si="236"/>
        <v>Valid</v>
      </c>
      <c r="G1185" s="1" t="s">
        <v>95</v>
      </c>
      <c r="H1185" s="1" t="str">
        <f t="shared" si="237"/>
        <v>Male</v>
      </c>
      <c r="I1185" s="1" t="s">
        <v>136</v>
      </c>
      <c r="J1185" t="str">
        <f t="shared" si="238"/>
        <v>UK</v>
      </c>
      <c r="K1185" s="14">
        <v>0</v>
      </c>
      <c r="L1185" s="1">
        <f t="shared" si="239"/>
        <v>19</v>
      </c>
      <c r="M1185" s="1" t="str">
        <f t="shared" si="240"/>
        <v>Student</v>
      </c>
      <c r="N1185" s="9">
        <v>45652</v>
      </c>
      <c r="O1185" s="1" t="s">
        <v>36</v>
      </c>
      <c r="P1185" s="1" t="s">
        <v>37</v>
      </c>
      <c r="Q1185" s="4">
        <v>18</v>
      </c>
      <c r="R1185" s="13">
        <f t="shared" si="241"/>
        <v>18</v>
      </c>
      <c r="S1185" s="6">
        <f t="shared" si="235"/>
        <v>0.18</v>
      </c>
      <c r="T1185" s="1">
        <v>1.5</v>
      </c>
      <c r="U1185" s="1">
        <f t="shared" si="242"/>
        <v>1.5</v>
      </c>
      <c r="V1185" s="1">
        <f t="shared" si="243"/>
        <v>13.049999999999999</v>
      </c>
      <c r="W1185" s="10" t="str">
        <f t="shared" si="244"/>
        <v>Low</v>
      </c>
      <c r="X1185" s="1" t="s">
        <v>38</v>
      </c>
      <c r="Y1185" s="1" t="str">
        <f t="shared" si="245"/>
        <v>No</v>
      </c>
      <c r="Z1185" s="14">
        <v>3</v>
      </c>
      <c r="AA1185" s="18">
        <f t="shared" si="246"/>
        <v>3</v>
      </c>
      <c r="AB1185" s="18" t="str">
        <f t="shared" si="247"/>
        <v>No</v>
      </c>
      <c r="AC1185" s="9" t="s">
        <v>4615</v>
      </c>
      <c r="AD1185">
        <f>IF(AC1185="",0,LEN(AC1185)-LEN(SUBSTITUTE(AC1185,",",""))+1)</f>
        <v>7</v>
      </c>
    </row>
    <row r="1186" spans="1:30" ht="12.5" x14ac:dyDescent="0.25">
      <c r="A1186" s="1" t="s">
        <v>4616</v>
      </c>
      <c r="B1186" s="1" t="s">
        <v>4617</v>
      </c>
      <c r="C1186" s="1" t="str">
        <v>Karen Gomez</v>
      </c>
      <c r="D1186" s="1" t="s">
        <v>4618</v>
      </c>
      <c r="E1186" s="1" t="str">
        <v>sandra20@thomas.net</v>
      </c>
      <c r="F1186" t="str">
        <f t="shared" si="236"/>
        <v>Valid</v>
      </c>
      <c r="G1186" s="1" t="s">
        <v>109</v>
      </c>
      <c r="H1186" s="1" t="str">
        <f t="shared" si="237"/>
        <v>Male</v>
      </c>
      <c r="I1186" s="1" t="s">
        <v>136</v>
      </c>
      <c r="J1186" t="str">
        <f t="shared" si="238"/>
        <v>UK</v>
      </c>
      <c r="L1186" s="1">
        <f t="shared" si="239"/>
        <v>19</v>
      </c>
      <c r="M1186" s="1" t="str">
        <f t="shared" si="240"/>
        <v>Student</v>
      </c>
      <c r="N1186" s="2">
        <v>45573</v>
      </c>
      <c r="O1186" s="1" t="s">
        <v>52</v>
      </c>
      <c r="P1186" s="1" t="s">
        <v>37</v>
      </c>
      <c r="Q1186" s="4">
        <v>0.35</v>
      </c>
      <c r="R1186" s="13">
        <f t="shared" si="241"/>
        <v>35</v>
      </c>
      <c r="S1186" s="6">
        <f t="shared" si="235"/>
        <v>0.35</v>
      </c>
      <c r="T1186" s="1" t="s">
        <v>64</v>
      </c>
      <c r="U1186" s="1">
        <f t="shared" si="242"/>
        <v>2</v>
      </c>
      <c r="V1186" s="1">
        <f t="shared" si="243"/>
        <v>25.1</v>
      </c>
      <c r="W1186" s="10" t="str">
        <f t="shared" si="244"/>
        <v>Low</v>
      </c>
      <c r="X1186" s="1" t="s">
        <v>76</v>
      </c>
      <c r="Y1186" s="1" t="str">
        <f t="shared" si="245"/>
        <v>Yes</v>
      </c>
      <c r="Z1186" s="14">
        <v>6</v>
      </c>
      <c r="AA1186" s="18">
        <f t="shared" si="246"/>
        <v>6</v>
      </c>
      <c r="AB1186" s="18" t="str">
        <f t="shared" si="247"/>
        <v>High Performer</v>
      </c>
      <c r="AC1186" s="9" t="s">
        <v>4619</v>
      </c>
      <c r="AD1186">
        <f>IF(AC1186="",0,LEN(AC1186)-LEN(SUBSTITUTE(AC1186,",",""))+1)</f>
        <v>4</v>
      </c>
    </row>
    <row r="1187" spans="1:30" ht="12.5" x14ac:dyDescent="0.25">
      <c r="A1187" s="1" t="s">
        <v>4620</v>
      </c>
      <c r="B1187" s="1" t="s">
        <v>4621</v>
      </c>
      <c r="C1187" s="1" t="str">
        <v>Jacqueline West</v>
      </c>
      <c r="D1187" s="1" t="s">
        <v>4622</v>
      </c>
      <c r="E1187" s="1" t="str">
        <v>ureed@yahoo.com</v>
      </c>
      <c r="F1187" t="str">
        <f t="shared" si="236"/>
        <v>Valid</v>
      </c>
      <c r="G1187" s="1" t="s">
        <v>27</v>
      </c>
      <c r="H1187" s="1" t="str">
        <f t="shared" si="237"/>
        <v>Male</v>
      </c>
      <c r="I1187" s="1" t="s">
        <v>156</v>
      </c>
      <c r="J1187" t="str">
        <f t="shared" si="238"/>
        <v>IN</v>
      </c>
      <c r="L1187" s="1">
        <f t="shared" si="239"/>
        <v>19</v>
      </c>
      <c r="M1187" s="1" t="str">
        <f t="shared" si="240"/>
        <v>Student</v>
      </c>
      <c r="N1187" s="9">
        <v>45076</v>
      </c>
      <c r="O1187" s="1" t="s">
        <v>146</v>
      </c>
      <c r="P1187" s="1" t="s">
        <v>147</v>
      </c>
      <c r="Q1187" s="4">
        <v>0.7</v>
      </c>
      <c r="R1187" s="13">
        <f t="shared" si="241"/>
        <v>70</v>
      </c>
      <c r="S1187" s="6">
        <f t="shared" si="235"/>
        <v>0.7</v>
      </c>
      <c r="T1187" s="1" t="s">
        <v>64</v>
      </c>
      <c r="U1187" s="1">
        <f t="shared" si="242"/>
        <v>2</v>
      </c>
      <c r="V1187" s="1">
        <f t="shared" si="243"/>
        <v>49.6</v>
      </c>
      <c r="W1187" s="10" t="str">
        <f t="shared" si="244"/>
        <v>Medium</v>
      </c>
      <c r="X1187" s="1" t="s">
        <v>32</v>
      </c>
      <c r="Y1187" s="1" t="str">
        <f t="shared" si="245"/>
        <v>Yes</v>
      </c>
      <c r="Z1187" s="14">
        <v>5</v>
      </c>
      <c r="AA1187" s="18">
        <f t="shared" si="246"/>
        <v>5</v>
      </c>
      <c r="AB1187" s="18" t="str">
        <f t="shared" si="247"/>
        <v>High Performer</v>
      </c>
      <c r="AC1187" s="9" t="s">
        <v>4623</v>
      </c>
      <c r="AD1187">
        <f>IF(AC1187="",0,LEN(AC1187)-LEN(SUBSTITUTE(AC1187,",",""))+1)</f>
        <v>8</v>
      </c>
    </row>
    <row r="1188" spans="1:30" ht="12.5" x14ac:dyDescent="0.25">
      <c r="A1188" s="1" t="s">
        <v>4624</v>
      </c>
      <c r="B1188" s="1" t="s">
        <v>4625</v>
      </c>
      <c r="C1188" s="1" t="str">
        <v>Jeffrey Freeman</v>
      </c>
      <c r="D1188" s="1" t="s">
        <v>4626</v>
      </c>
      <c r="E1188" s="1" t="str">
        <v>lutzeric@rivera-klein.com</v>
      </c>
      <c r="F1188" t="str">
        <f t="shared" si="236"/>
        <v>Valid</v>
      </c>
      <c r="G1188" s="1" t="s">
        <v>43</v>
      </c>
      <c r="H1188" s="1" t="str">
        <f t="shared" si="237"/>
        <v>Female</v>
      </c>
      <c r="I1188" s="1" t="s">
        <v>96</v>
      </c>
      <c r="J1188" t="str">
        <f t="shared" si="238"/>
        <v>INDIA</v>
      </c>
      <c r="K1188" s="14">
        <v>0</v>
      </c>
      <c r="L1188" s="1">
        <f t="shared" si="239"/>
        <v>19</v>
      </c>
      <c r="M1188" s="1" t="str">
        <f t="shared" si="240"/>
        <v>Student</v>
      </c>
      <c r="N1188" s="9">
        <v>45229</v>
      </c>
      <c r="O1188" s="1" t="s">
        <v>69</v>
      </c>
      <c r="P1188" s="1" t="s">
        <v>31</v>
      </c>
      <c r="Q1188" s="4">
        <v>0.13</v>
      </c>
      <c r="R1188" s="13">
        <f t="shared" si="241"/>
        <v>13</v>
      </c>
      <c r="S1188" s="6">
        <f t="shared" si="235"/>
        <v>0.13</v>
      </c>
      <c r="T1188" s="1">
        <v>1.5</v>
      </c>
      <c r="U1188" s="1">
        <f t="shared" si="242"/>
        <v>1.5</v>
      </c>
      <c r="V1188" s="1">
        <f t="shared" si="243"/>
        <v>9.5499999999999989</v>
      </c>
      <c r="W1188" s="10" t="str">
        <f t="shared" si="244"/>
        <v>Low</v>
      </c>
      <c r="X1188" s="1">
        <v>1</v>
      </c>
      <c r="Y1188" s="1" t="str">
        <f t="shared" si="245"/>
        <v>Yes</v>
      </c>
      <c r="Z1188" s="14">
        <v>2</v>
      </c>
      <c r="AA1188" s="18">
        <f t="shared" si="246"/>
        <v>2</v>
      </c>
      <c r="AB1188" s="18" t="str">
        <f t="shared" si="247"/>
        <v>No</v>
      </c>
      <c r="AC1188" s="9" t="s">
        <v>4627</v>
      </c>
      <c r="AD1188">
        <f>IF(AC1188="",0,LEN(AC1188)-LEN(SUBSTITUTE(AC1188,",",""))+1)</f>
        <v>7</v>
      </c>
    </row>
    <row r="1189" spans="1:30" ht="12.5" x14ac:dyDescent="0.25">
      <c r="A1189" s="1" t="s">
        <v>4628</v>
      </c>
      <c r="B1189" s="1" t="s">
        <v>4629</v>
      </c>
      <c r="C1189" s="1" t="str">
        <v>James Foster</v>
      </c>
      <c r="D1189" s="1" t="s">
        <v>4630</v>
      </c>
      <c r="E1189" s="1" t="str">
        <v>turnerstephanie@barnes.biz</v>
      </c>
      <c r="F1189" t="str">
        <f t="shared" si="236"/>
        <v>Valid</v>
      </c>
      <c r="G1189" s="1" t="s">
        <v>88</v>
      </c>
      <c r="H1189" s="1" t="str">
        <f t="shared" si="237"/>
        <v>Male</v>
      </c>
      <c r="I1189" s="1" t="s">
        <v>156</v>
      </c>
      <c r="J1189" t="str">
        <f t="shared" si="238"/>
        <v>IN</v>
      </c>
      <c r="L1189" s="1">
        <f t="shared" si="239"/>
        <v>19</v>
      </c>
      <c r="M1189" s="1" t="str">
        <f t="shared" si="240"/>
        <v>Student</v>
      </c>
      <c r="N1189" s="9">
        <v>44881</v>
      </c>
      <c r="O1189" s="1" t="s">
        <v>146</v>
      </c>
      <c r="P1189" s="1" t="s">
        <v>147</v>
      </c>
      <c r="Q1189" s="4">
        <v>0.02</v>
      </c>
      <c r="R1189" s="13">
        <f t="shared" si="241"/>
        <v>2</v>
      </c>
      <c r="S1189" s="6">
        <f t="shared" si="235"/>
        <v>0.02</v>
      </c>
      <c r="T1189" s="1">
        <v>45</v>
      </c>
      <c r="U1189" s="1">
        <f t="shared" si="242"/>
        <v>45</v>
      </c>
      <c r="V1189" s="1">
        <f t="shared" si="243"/>
        <v>14.9</v>
      </c>
      <c r="W1189" s="10" t="str">
        <f t="shared" si="244"/>
        <v>Low</v>
      </c>
      <c r="X1189" s="1" t="s">
        <v>76</v>
      </c>
      <c r="Y1189" s="1" t="str">
        <f t="shared" si="245"/>
        <v>Yes</v>
      </c>
      <c r="Z1189" s="14">
        <v>3</v>
      </c>
      <c r="AA1189" s="18">
        <f t="shared" si="246"/>
        <v>3</v>
      </c>
      <c r="AB1189" s="18" t="str">
        <f t="shared" si="247"/>
        <v>No</v>
      </c>
      <c r="AC1189" s="9" t="s">
        <v>4631</v>
      </c>
      <c r="AD1189">
        <f>IF(AC1189="",0,LEN(AC1189)-LEN(SUBSTITUTE(AC1189,",",""))+1)</f>
        <v>8</v>
      </c>
    </row>
    <row r="1190" spans="1:30" ht="12.5" x14ac:dyDescent="0.25">
      <c r="A1190" s="1" t="s">
        <v>4632</v>
      </c>
      <c r="B1190" s="1" t="s">
        <v>4633</v>
      </c>
      <c r="C1190" s="1" t="str">
        <v>Christine Ritter Md</v>
      </c>
      <c r="D1190" s="1" t="s">
        <v>4634</v>
      </c>
      <c r="E1190" s="1" t="str">
        <v>jessica13@herman-martin.info</v>
      </c>
      <c r="F1190" t="str">
        <f t="shared" si="236"/>
        <v>Valid</v>
      </c>
      <c r="G1190" s="1" t="s">
        <v>57</v>
      </c>
      <c r="H1190" s="1" t="str">
        <f t="shared" si="237"/>
        <v>Female</v>
      </c>
      <c r="I1190" s="1" t="s">
        <v>74</v>
      </c>
      <c r="J1190" t="str">
        <f t="shared" si="238"/>
        <v>USA</v>
      </c>
      <c r="L1190" s="1">
        <f t="shared" si="239"/>
        <v>19</v>
      </c>
      <c r="M1190" s="1" t="str">
        <f t="shared" si="240"/>
        <v>Student</v>
      </c>
      <c r="N1190" s="9">
        <v>44893</v>
      </c>
      <c r="O1190" s="1" t="s">
        <v>75</v>
      </c>
      <c r="P1190" s="1" t="s">
        <v>37</v>
      </c>
      <c r="Q1190" s="4">
        <v>0.34</v>
      </c>
      <c r="R1190" s="13">
        <f t="shared" si="241"/>
        <v>34</v>
      </c>
      <c r="S1190" s="6">
        <f t="shared" si="235"/>
        <v>0.34</v>
      </c>
      <c r="T1190" s="1">
        <v>2</v>
      </c>
      <c r="U1190" s="1">
        <f t="shared" si="242"/>
        <v>2</v>
      </c>
      <c r="V1190" s="1">
        <f t="shared" si="243"/>
        <v>24.4</v>
      </c>
      <c r="W1190" s="10" t="str">
        <f t="shared" si="244"/>
        <v>Low</v>
      </c>
      <c r="X1190" s="1" t="s">
        <v>22</v>
      </c>
      <c r="Y1190" s="1" t="str">
        <f t="shared" si="245"/>
        <v>No</v>
      </c>
      <c r="Z1190" s="14">
        <v>5</v>
      </c>
      <c r="AA1190" s="18">
        <f t="shared" si="246"/>
        <v>5</v>
      </c>
      <c r="AB1190" s="18" t="str">
        <f t="shared" si="247"/>
        <v>No</v>
      </c>
      <c r="AC1190" s="9" t="s">
        <v>4635</v>
      </c>
      <c r="AD1190">
        <f>IF(AC1190="",0,LEN(AC1190)-LEN(SUBSTITUTE(AC1190,",",""))+1)</f>
        <v>7</v>
      </c>
    </row>
    <row r="1191" spans="1:30" ht="12.5" x14ac:dyDescent="0.25">
      <c r="A1191" s="1" t="s">
        <v>4636</v>
      </c>
      <c r="B1191" s="1" t="s">
        <v>4637</v>
      </c>
      <c r="C1191" s="1" t="str">
        <v>Lisa Krause</v>
      </c>
      <c r="D1191" s="1" t="s">
        <v>4638</v>
      </c>
      <c r="E1191" s="1" t="str">
        <v>barbara85@hotmail.com</v>
      </c>
      <c r="F1191" t="str">
        <f t="shared" si="236"/>
        <v>Valid</v>
      </c>
      <c r="G1191" s="1" t="s">
        <v>95</v>
      </c>
      <c r="H1191" s="1" t="str">
        <f t="shared" si="237"/>
        <v>Male</v>
      </c>
      <c r="I1191" s="1" t="s">
        <v>74</v>
      </c>
      <c r="J1191" t="str">
        <f t="shared" si="238"/>
        <v>USA</v>
      </c>
      <c r="K1191" s="14">
        <v>0</v>
      </c>
      <c r="L1191" s="1">
        <f t="shared" si="239"/>
        <v>19</v>
      </c>
      <c r="M1191" s="1" t="str">
        <f t="shared" si="240"/>
        <v>Student</v>
      </c>
      <c r="N1191" s="2">
        <v>44571</v>
      </c>
      <c r="O1191" s="1" t="s">
        <v>36</v>
      </c>
      <c r="P1191" s="1" t="s">
        <v>37</v>
      </c>
      <c r="Q1191" s="4">
        <v>0.3</v>
      </c>
      <c r="R1191" s="13">
        <f t="shared" si="241"/>
        <v>30</v>
      </c>
      <c r="S1191" s="6">
        <f t="shared" si="235"/>
        <v>0.3</v>
      </c>
      <c r="T1191" s="1">
        <v>2</v>
      </c>
      <c r="U1191" s="1">
        <f t="shared" si="242"/>
        <v>2</v>
      </c>
      <c r="V1191" s="1">
        <f t="shared" si="243"/>
        <v>21.6</v>
      </c>
      <c r="W1191" s="10" t="str">
        <f t="shared" si="244"/>
        <v>Low</v>
      </c>
      <c r="X1191" s="1" t="s">
        <v>22</v>
      </c>
      <c r="Y1191" s="1" t="str">
        <f t="shared" si="245"/>
        <v>No</v>
      </c>
      <c r="Z1191" s="14">
        <v>5</v>
      </c>
      <c r="AA1191" s="18">
        <f t="shared" si="246"/>
        <v>5</v>
      </c>
      <c r="AB1191" s="18" t="str">
        <f t="shared" si="247"/>
        <v>No</v>
      </c>
      <c r="AC1191" s="9" t="s">
        <v>4639</v>
      </c>
      <c r="AD1191">
        <f>IF(AC1191="",0,LEN(AC1191)-LEN(SUBSTITUTE(AC1191,",",""))+1)</f>
        <v>6</v>
      </c>
    </row>
    <row r="1192" spans="1:30" ht="12.5" x14ac:dyDescent="0.25">
      <c r="A1192" s="1" t="s">
        <v>4640</v>
      </c>
      <c r="B1192" s="1" t="s">
        <v>4641</v>
      </c>
      <c r="C1192" s="1" t="str">
        <v>Michelle Meyer</v>
      </c>
      <c r="D1192" s="1" t="s">
        <v>4642</v>
      </c>
      <c r="E1192" s="1" t="str">
        <v>jeremyjohnson@yahoo.com</v>
      </c>
      <c r="F1192" t="str">
        <f t="shared" si="236"/>
        <v>Valid</v>
      </c>
      <c r="G1192" s="1" t="s">
        <v>119</v>
      </c>
      <c r="H1192" s="1" t="str">
        <f t="shared" si="237"/>
        <v>Female</v>
      </c>
      <c r="I1192" s="1" t="s">
        <v>51</v>
      </c>
      <c r="J1192" t="str">
        <f t="shared" si="238"/>
        <v>UK</v>
      </c>
      <c r="K1192" s="14">
        <v>0</v>
      </c>
      <c r="L1192" s="1">
        <f t="shared" si="239"/>
        <v>19</v>
      </c>
      <c r="M1192" s="1" t="str">
        <f t="shared" si="240"/>
        <v>Student</v>
      </c>
      <c r="N1192" s="2">
        <v>45690</v>
      </c>
      <c r="O1192" s="1" t="s">
        <v>158</v>
      </c>
      <c r="P1192" s="1" t="s">
        <v>59</v>
      </c>
      <c r="Q1192" s="4">
        <v>0.94</v>
      </c>
      <c r="R1192" s="13">
        <f t="shared" si="241"/>
        <v>94</v>
      </c>
      <c r="S1192" s="6">
        <f t="shared" si="235"/>
        <v>0.94</v>
      </c>
      <c r="T1192" s="1" t="s">
        <v>64</v>
      </c>
      <c r="U1192" s="1">
        <f t="shared" si="242"/>
        <v>2</v>
      </c>
      <c r="V1192" s="1">
        <f t="shared" si="243"/>
        <v>66.399999999999991</v>
      </c>
      <c r="W1192" s="10" t="str">
        <f t="shared" si="244"/>
        <v>Medium</v>
      </c>
      <c r="X1192" s="1" t="s">
        <v>32</v>
      </c>
      <c r="Y1192" s="1" t="str">
        <f t="shared" si="245"/>
        <v>Yes</v>
      </c>
      <c r="Z1192" s="14">
        <v>1</v>
      </c>
      <c r="AA1192" s="18">
        <f t="shared" si="246"/>
        <v>1</v>
      </c>
      <c r="AB1192" s="18" t="str">
        <f t="shared" si="247"/>
        <v>No</v>
      </c>
      <c r="AC1192" s="9" t="s">
        <v>4643</v>
      </c>
      <c r="AD1192">
        <f>IF(AC1192="",0,LEN(AC1192)-LEN(SUBSTITUTE(AC1192,",",""))+1)</f>
        <v>4</v>
      </c>
    </row>
    <row r="1193" spans="1:30" ht="12.5" x14ac:dyDescent="0.25">
      <c r="A1193" s="1" t="s">
        <v>4644</v>
      </c>
      <c r="B1193" s="1" t="s">
        <v>4645</v>
      </c>
      <c r="C1193" s="1" t="str">
        <v>Dr. Jared Crane Md</v>
      </c>
      <c r="D1193" s="1" t="s">
        <v>4646</v>
      </c>
      <c r="E1193" s="1" t="str">
        <v>hollowayangela@gmail.com</v>
      </c>
      <c r="F1193" t="str">
        <f t="shared" si="236"/>
        <v>Valid</v>
      </c>
      <c r="G1193" s="1" t="s">
        <v>119</v>
      </c>
      <c r="H1193" s="1" t="str">
        <f t="shared" si="237"/>
        <v>Female</v>
      </c>
      <c r="I1193" s="1" t="s">
        <v>89</v>
      </c>
      <c r="J1193" t="str">
        <f t="shared" si="238"/>
        <v>GERMANY</v>
      </c>
      <c r="L1193" s="1">
        <f t="shared" si="239"/>
        <v>19</v>
      </c>
      <c r="M1193" s="1" t="str">
        <f t="shared" si="240"/>
        <v>Student</v>
      </c>
      <c r="N1193" s="2">
        <v>44991</v>
      </c>
      <c r="O1193" s="1" t="s">
        <v>19</v>
      </c>
      <c r="P1193" s="1" t="s">
        <v>20</v>
      </c>
      <c r="Q1193" s="4">
        <v>52</v>
      </c>
      <c r="R1193" s="13">
        <f t="shared" si="241"/>
        <v>52</v>
      </c>
      <c r="S1193" s="6">
        <f t="shared" si="235"/>
        <v>0.52</v>
      </c>
      <c r="T1193" s="1">
        <v>1.5</v>
      </c>
      <c r="U1193" s="1">
        <f t="shared" si="242"/>
        <v>1.5</v>
      </c>
      <c r="V1193" s="1">
        <f t="shared" si="243"/>
        <v>36.85</v>
      </c>
      <c r="W1193" s="10" t="str">
        <f t="shared" si="244"/>
        <v>Low</v>
      </c>
      <c r="X1193" s="1">
        <v>1</v>
      </c>
      <c r="Y1193" s="1" t="str">
        <f t="shared" si="245"/>
        <v>Yes</v>
      </c>
      <c r="Z1193" s="14">
        <v>1</v>
      </c>
      <c r="AA1193" s="18">
        <f t="shared" si="246"/>
        <v>1</v>
      </c>
      <c r="AB1193" s="18" t="str">
        <f t="shared" si="247"/>
        <v>No</v>
      </c>
      <c r="AC1193" s="9" t="s">
        <v>4647</v>
      </c>
      <c r="AD1193">
        <f>IF(AC1193="",0,LEN(AC1193)-LEN(SUBSTITUTE(AC1193,",",""))+1)</f>
        <v>5</v>
      </c>
    </row>
    <row r="1194" spans="1:30" ht="12.5" x14ac:dyDescent="0.25">
      <c r="A1194" s="1" t="s">
        <v>4648</v>
      </c>
      <c r="B1194" s="1" t="s">
        <v>4649</v>
      </c>
      <c r="C1194" s="1" t="str">
        <v>Joshua Cox</v>
      </c>
      <c r="D1194" s="1" t="s">
        <v>4650</v>
      </c>
      <c r="E1194" s="1" t="str">
        <v>tknight@gmail.com</v>
      </c>
      <c r="F1194" t="str">
        <f t="shared" si="236"/>
        <v>Valid</v>
      </c>
      <c r="G1194" s="1" t="s">
        <v>27</v>
      </c>
      <c r="H1194" s="1" t="str">
        <f t="shared" si="237"/>
        <v>Male</v>
      </c>
      <c r="I1194" s="1" t="s">
        <v>96</v>
      </c>
      <c r="J1194" t="str">
        <f t="shared" si="238"/>
        <v>INDIA</v>
      </c>
      <c r="K1194" s="14">
        <v>0</v>
      </c>
      <c r="L1194" s="1">
        <f t="shared" si="239"/>
        <v>19</v>
      </c>
      <c r="M1194" s="1" t="str">
        <f t="shared" si="240"/>
        <v>Student</v>
      </c>
      <c r="N1194" s="9">
        <v>45044</v>
      </c>
      <c r="O1194" s="1" t="s">
        <v>19</v>
      </c>
      <c r="P1194" s="1" t="s">
        <v>20</v>
      </c>
      <c r="Q1194" s="4">
        <v>0.8</v>
      </c>
      <c r="R1194" s="13">
        <f t="shared" si="241"/>
        <v>80</v>
      </c>
      <c r="S1194" s="6">
        <f t="shared" si="235"/>
        <v>0.8</v>
      </c>
      <c r="T1194" s="1">
        <v>45</v>
      </c>
      <c r="U1194" s="1">
        <f t="shared" si="242"/>
        <v>45</v>
      </c>
      <c r="V1194" s="1">
        <f t="shared" si="243"/>
        <v>69.5</v>
      </c>
      <c r="W1194" s="10" t="str">
        <f t="shared" si="244"/>
        <v>Medium</v>
      </c>
      <c r="X1194" s="1">
        <v>0</v>
      </c>
      <c r="Y1194" s="1" t="str">
        <f t="shared" si="245"/>
        <v>No</v>
      </c>
      <c r="Z1194" s="14">
        <v>6</v>
      </c>
      <c r="AA1194" s="18">
        <f t="shared" si="246"/>
        <v>6</v>
      </c>
      <c r="AB1194" s="18" t="str">
        <f t="shared" si="247"/>
        <v>No</v>
      </c>
      <c r="AC1194" s="9" t="s">
        <v>4651</v>
      </c>
      <c r="AD1194">
        <f>IF(AC1194="",0,LEN(AC1194)-LEN(SUBSTITUTE(AC1194,",",""))+1)</f>
        <v>5</v>
      </c>
    </row>
    <row r="1195" spans="1:30" ht="12.5" x14ac:dyDescent="0.25">
      <c r="A1195" s="1" t="s">
        <v>4652</v>
      </c>
      <c r="B1195" s="1" t="s">
        <v>4653</v>
      </c>
      <c r="C1195" s="1" t="str">
        <v>Andrea Edwards</v>
      </c>
      <c r="D1195" s="1" t="s">
        <v>4654</v>
      </c>
      <c r="E1195" s="1" t="str">
        <v>bsullivan@perry.com</v>
      </c>
      <c r="F1195" t="str">
        <f t="shared" si="236"/>
        <v>Valid</v>
      </c>
      <c r="G1195" s="1" t="s">
        <v>27</v>
      </c>
      <c r="H1195" s="1" t="str">
        <f t="shared" si="237"/>
        <v>Male</v>
      </c>
      <c r="I1195" s="1" t="s">
        <v>28</v>
      </c>
      <c r="J1195" t="str">
        <f t="shared" si="238"/>
        <v>INDIA</v>
      </c>
      <c r="K1195" s="14">
        <v>0</v>
      </c>
      <c r="L1195" s="1">
        <f t="shared" si="239"/>
        <v>19</v>
      </c>
      <c r="M1195" s="1" t="str">
        <f t="shared" si="240"/>
        <v>Student</v>
      </c>
      <c r="N1195" s="9">
        <v>45034</v>
      </c>
      <c r="O1195" s="1" t="s">
        <v>301</v>
      </c>
      <c r="P1195" s="1" t="s">
        <v>20</v>
      </c>
      <c r="Q1195" s="4">
        <v>12</v>
      </c>
      <c r="R1195" s="13">
        <f t="shared" si="241"/>
        <v>12</v>
      </c>
      <c r="S1195" s="6">
        <f t="shared" si="235"/>
        <v>0.12</v>
      </c>
      <c r="T1195" s="1" t="s">
        <v>64</v>
      </c>
      <c r="U1195" s="1">
        <f t="shared" si="242"/>
        <v>2</v>
      </c>
      <c r="V1195" s="1">
        <f t="shared" si="243"/>
        <v>8.9999999999999982</v>
      </c>
      <c r="W1195" s="10" t="str">
        <f t="shared" si="244"/>
        <v>Low</v>
      </c>
      <c r="X1195" s="1" t="s">
        <v>32</v>
      </c>
      <c r="Y1195" s="1" t="str">
        <f t="shared" si="245"/>
        <v>Yes</v>
      </c>
      <c r="Z1195" s="14">
        <v>1</v>
      </c>
      <c r="AA1195" s="18">
        <f t="shared" si="246"/>
        <v>1</v>
      </c>
      <c r="AB1195" s="18" t="str">
        <f t="shared" si="247"/>
        <v>No</v>
      </c>
      <c r="AC1195" s="9" t="s">
        <v>4655</v>
      </c>
      <c r="AD1195">
        <f>IF(AC1195="",0,LEN(AC1195)-LEN(SUBSTITUTE(AC1195,",",""))+1)</f>
        <v>4</v>
      </c>
    </row>
    <row r="1196" spans="1:30" ht="12.5" x14ac:dyDescent="0.25">
      <c r="A1196" s="1" t="s">
        <v>4656</v>
      </c>
      <c r="B1196" s="1" t="s">
        <v>4657</v>
      </c>
      <c r="C1196" s="1" t="str">
        <v>Katherine Mullen</v>
      </c>
      <c r="D1196" s="1" t="s">
        <v>4658</v>
      </c>
      <c r="E1196" s="1" t="str">
        <v>pjordan@sanchez-ballard.com</v>
      </c>
      <c r="F1196" t="str">
        <f t="shared" si="236"/>
        <v>Valid</v>
      </c>
      <c r="G1196" s="1" t="s">
        <v>109</v>
      </c>
      <c r="H1196" s="1" t="str">
        <f t="shared" si="237"/>
        <v>Male</v>
      </c>
      <c r="I1196" s="1" t="s">
        <v>51</v>
      </c>
      <c r="J1196" t="str">
        <f t="shared" si="238"/>
        <v>UK</v>
      </c>
      <c r="K1196" s="14">
        <v>0</v>
      </c>
      <c r="L1196" s="1">
        <f t="shared" si="239"/>
        <v>19</v>
      </c>
      <c r="M1196" s="1" t="str">
        <f t="shared" si="240"/>
        <v>Student</v>
      </c>
      <c r="N1196" s="2">
        <v>44996</v>
      </c>
      <c r="O1196" s="1" t="s">
        <v>114</v>
      </c>
      <c r="P1196" s="1" t="s">
        <v>59</v>
      </c>
      <c r="Q1196" s="4">
        <v>80</v>
      </c>
      <c r="R1196" s="13">
        <f t="shared" si="241"/>
        <v>80</v>
      </c>
      <c r="S1196" s="6">
        <f t="shared" si="235"/>
        <v>0.8</v>
      </c>
      <c r="T1196" s="1">
        <v>1.5</v>
      </c>
      <c r="U1196" s="1">
        <f t="shared" si="242"/>
        <v>1.5</v>
      </c>
      <c r="V1196" s="1">
        <f t="shared" si="243"/>
        <v>56.45</v>
      </c>
      <c r="W1196" s="10" t="str">
        <f t="shared" si="244"/>
        <v>Medium</v>
      </c>
      <c r="X1196" s="1" t="s">
        <v>22</v>
      </c>
      <c r="Y1196" s="1" t="str">
        <f t="shared" si="245"/>
        <v>No</v>
      </c>
      <c r="Z1196" s="14">
        <v>5</v>
      </c>
      <c r="AA1196" s="18">
        <f t="shared" si="246"/>
        <v>5</v>
      </c>
      <c r="AB1196" s="18" t="str">
        <f t="shared" si="247"/>
        <v>No</v>
      </c>
      <c r="AC1196" s="9" t="s">
        <v>4659</v>
      </c>
      <c r="AD1196">
        <f>IF(AC1196="",0,LEN(AC1196)-LEN(SUBSTITUTE(AC1196,",",""))+1)</f>
        <v>3</v>
      </c>
    </row>
    <row r="1197" spans="1:30" ht="12.5" x14ac:dyDescent="0.25">
      <c r="A1197" s="1" t="s">
        <v>4660</v>
      </c>
      <c r="B1197" s="1" t="s">
        <v>4661</v>
      </c>
      <c r="C1197" s="1" t="str">
        <v>Ashlee Miller</v>
      </c>
      <c r="D1197" s="1" t="s">
        <v>4662</v>
      </c>
      <c r="E1197" s="1" t="str">
        <v>ambervasquez@michael.com</v>
      </c>
      <c r="F1197" t="str">
        <f t="shared" si="236"/>
        <v>Valid</v>
      </c>
      <c r="G1197" s="1" t="s">
        <v>95</v>
      </c>
      <c r="H1197" s="1" t="str">
        <f t="shared" si="237"/>
        <v>Male</v>
      </c>
      <c r="I1197" s="1" t="s">
        <v>74</v>
      </c>
      <c r="J1197" t="str">
        <f t="shared" si="238"/>
        <v>USA</v>
      </c>
      <c r="K1197" s="14">
        <v>0</v>
      </c>
      <c r="L1197" s="1">
        <f t="shared" si="239"/>
        <v>19</v>
      </c>
      <c r="M1197" s="1" t="str">
        <f t="shared" si="240"/>
        <v>Student</v>
      </c>
      <c r="N1197" s="3">
        <v>44846</v>
      </c>
      <c r="O1197" s="1" t="s">
        <v>235</v>
      </c>
      <c r="P1197" s="1" t="s">
        <v>147</v>
      </c>
      <c r="Q1197" s="4">
        <v>7.0000000000000007E-2</v>
      </c>
      <c r="R1197" s="13">
        <f t="shared" si="241"/>
        <v>7.0000000000000009</v>
      </c>
      <c r="S1197" s="6">
        <f t="shared" si="235"/>
        <v>7.0000000000000007E-2</v>
      </c>
      <c r="T1197" s="1" t="s">
        <v>21</v>
      </c>
      <c r="U1197" s="1">
        <f t="shared" si="242"/>
        <v>1.5</v>
      </c>
      <c r="V1197" s="1">
        <f t="shared" si="243"/>
        <v>5.3500000000000005</v>
      </c>
      <c r="W1197" s="10" t="str">
        <f t="shared" si="244"/>
        <v>Low</v>
      </c>
      <c r="X1197" s="1">
        <v>0</v>
      </c>
      <c r="Y1197" s="1" t="str">
        <f t="shared" si="245"/>
        <v>No</v>
      </c>
      <c r="AA1197" s="18" t="str">
        <f t="shared" si="246"/>
        <v>Invalid</v>
      </c>
      <c r="AB1197" s="18" t="str">
        <f t="shared" si="247"/>
        <v>No</v>
      </c>
      <c r="AC1197" s="9" t="s">
        <v>4663</v>
      </c>
      <c r="AD1197">
        <f>IF(AC1197="",0,LEN(AC1197)-LEN(SUBSTITUTE(AC1197,",",""))+1)</f>
        <v>4</v>
      </c>
    </row>
    <row r="1198" spans="1:30" ht="12.5" x14ac:dyDescent="0.25">
      <c r="A1198" s="1" t="s">
        <v>4664</v>
      </c>
      <c r="B1198" s="1" t="s">
        <v>4665</v>
      </c>
      <c r="C1198" s="1" t="str">
        <v>William Richardson</v>
      </c>
      <c r="D1198" s="1" t="s">
        <v>4666</v>
      </c>
      <c r="E1198" s="1" t="str">
        <v>williamspatricia@yahoo.com</v>
      </c>
      <c r="F1198" t="str">
        <f t="shared" si="236"/>
        <v>Valid</v>
      </c>
      <c r="G1198" s="1" t="s">
        <v>95</v>
      </c>
      <c r="H1198" s="1" t="str">
        <f t="shared" si="237"/>
        <v>Male</v>
      </c>
      <c r="I1198" s="1" t="s">
        <v>96</v>
      </c>
      <c r="J1198" t="str">
        <f t="shared" si="238"/>
        <v>INDIA</v>
      </c>
      <c r="K1198" s="14">
        <v>0</v>
      </c>
      <c r="L1198" s="1">
        <f t="shared" si="239"/>
        <v>19</v>
      </c>
      <c r="M1198" s="1" t="str">
        <f t="shared" si="240"/>
        <v>Student</v>
      </c>
      <c r="N1198" s="9">
        <v>44737</v>
      </c>
      <c r="O1198" s="1" t="s">
        <v>75</v>
      </c>
      <c r="P1198" s="1" t="s">
        <v>37</v>
      </c>
      <c r="Q1198" s="4">
        <v>0.2</v>
      </c>
      <c r="R1198" s="13">
        <f t="shared" si="241"/>
        <v>20</v>
      </c>
      <c r="S1198" s="6">
        <f t="shared" si="235"/>
        <v>0.2</v>
      </c>
      <c r="T1198" s="1" t="s">
        <v>21</v>
      </c>
      <c r="U1198" s="1">
        <f t="shared" si="242"/>
        <v>1.5</v>
      </c>
      <c r="V1198" s="1">
        <f t="shared" si="243"/>
        <v>14.45</v>
      </c>
      <c r="W1198" s="10" t="str">
        <f t="shared" si="244"/>
        <v>Low</v>
      </c>
      <c r="X1198" s="1" t="s">
        <v>38</v>
      </c>
      <c r="Y1198" s="1" t="str">
        <f t="shared" si="245"/>
        <v>No</v>
      </c>
      <c r="Z1198" s="14">
        <v>4</v>
      </c>
      <c r="AA1198" s="18">
        <f t="shared" si="246"/>
        <v>4</v>
      </c>
      <c r="AB1198" s="18" t="str">
        <f t="shared" si="247"/>
        <v>No</v>
      </c>
      <c r="AC1198" s="9" t="s">
        <v>4667</v>
      </c>
      <c r="AD1198">
        <f>IF(AC1198="",0,LEN(AC1198)-LEN(SUBSTITUTE(AC1198,",",""))+1)</f>
        <v>7</v>
      </c>
    </row>
    <row r="1199" spans="1:30" ht="12.5" x14ac:dyDescent="0.25">
      <c r="A1199" s="1" t="s">
        <v>4668</v>
      </c>
      <c r="B1199" s="1" t="s">
        <v>4669</v>
      </c>
      <c r="C1199" s="1" t="str">
        <v>Lisa Underwood Md</v>
      </c>
      <c r="D1199" s="1" t="s">
        <v>4670</v>
      </c>
      <c r="E1199" s="1" t="str">
        <v>fholloway@adams.org</v>
      </c>
      <c r="F1199" t="str">
        <f t="shared" si="236"/>
        <v>Valid</v>
      </c>
      <c r="G1199" s="1" t="s">
        <v>109</v>
      </c>
      <c r="H1199" s="1" t="str">
        <f t="shared" si="237"/>
        <v>Male</v>
      </c>
      <c r="I1199" s="1" t="s">
        <v>44</v>
      </c>
      <c r="J1199" t="str">
        <f t="shared" si="238"/>
        <v>CANADA</v>
      </c>
      <c r="K1199" s="14">
        <v>0</v>
      </c>
      <c r="L1199" s="1">
        <f t="shared" si="239"/>
        <v>19</v>
      </c>
      <c r="M1199" s="1" t="str">
        <f t="shared" si="240"/>
        <v>Student</v>
      </c>
      <c r="N1199" s="2">
        <v>44813</v>
      </c>
      <c r="O1199" s="1" t="s">
        <v>19</v>
      </c>
      <c r="P1199" s="1" t="s">
        <v>20</v>
      </c>
      <c r="Q1199" s="4">
        <v>0.53</v>
      </c>
      <c r="R1199" s="13">
        <f t="shared" si="241"/>
        <v>53</v>
      </c>
      <c r="S1199" s="6">
        <f t="shared" si="235"/>
        <v>0.53</v>
      </c>
      <c r="T1199" s="1" t="s">
        <v>21</v>
      </c>
      <c r="U1199" s="1">
        <f t="shared" si="242"/>
        <v>1.5</v>
      </c>
      <c r="V1199" s="1">
        <f t="shared" si="243"/>
        <v>37.549999999999997</v>
      </c>
      <c r="W1199" s="10" t="str">
        <f t="shared" si="244"/>
        <v>Low</v>
      </c>
      <c r="X1199" s="1">
        <v>0</v>
      </c>
      <c r="Y1199" s="1" t="str">
        <f t="shared" si="245"/>
        <v>No</v>
      </c>
      <c r="Z1199" s="14">
        <v>1</v>
      </c>
      <c r="AA1199" s="18">
        <f t="shared" si="246"/>
        <v>1</v>
      </c>
      <c r="AB1199" s="18" t="str">
        <f t="shared" si="247"/>
        <v>No</v>
      </c>
      <c r="AC1199" s="9" t="s">
        <v>4671</v>
      </c>
      <c r="AD1199">
        <f>IF(AC1199="",0,LEN(AC1199)-LEN(SUBSTITUTE(AC1199,",",""))+1)</f>
        <v>3</v>
      </c>
    </row>
    <row r="1200" spans="1:30" ht="12.5" x14ac:dyDescent="0.25">
      <c r="A1200" s="1" t="s">
        <v>4672</v>
      </c>
      <c r="B1200" s="1" t="s">
        <v>4673</v>
      </c>
      <c r="C1200" s="1" t="str">
        <v>Joel Phelps</v>
      </c>
      <c r="D1200" s="1" t="s">
        <v>4674</v>
      </c>
      <c r="E1200" s="1" t="str">
        <v>crawfordjeffrey@johnson-phelps.com</v>
      </c>
      <c r="F1200" t="str">
        <f t="shared" si="236"/>
        <v>Valid</v>
      </c>
      <c r="G1200" s="1" t="s">
        <v>119</v>
      </c>
      <c r="H1200" s="1" t="str">
        <f t="shared" si="237"/>
        <v>Female</v>
      </c>
      <c r="I1200" s="1" t="s">
        <v>18</v>
      </c>
      <c r="J1200" t="str">
        <f t="shared" si="238"/>
        <v>US</v>
      </c>
      <c r="K1200" s="14">
        <v>0</v>
      </c>
      <c r="L1200" s="1">
        <f t="shared" si="239"/>
        <v>19</v>
      </c>
      <c r="M1200" s="1" t="str">
        <f t="shared" si="240"/>
        <v>Student</v>
      </c>
      <c r="N1200" s="2">
        <v>45329</v>
      </c>
      <c r="O1200" s="1" t="s">
        <v>30</v>
      </c>
      <c r="P1200" s="1" t="s">
        <v>31</v>
      </c>
      <c r="Q1200" s="4">
        <v>0.76</v>
      </c>
      <c r="R1200" s="13">
        <f t="shared" si="241"/>
        <v>76</v>
      </c>
      <c r="S1200" s="6">
        <f t="shared" si="235"/>
        <v>0.76</v>
      </c>
      <c r="T1200" s="1" t="s">
        <v>64</v>
      </c>
      <c r="U1200" s="1">
        <f t="shared" si="242"/>
        <v>2</v>
      </c>
      <c r="V1200" s="1">
        <f t="shared" si="243"/>
        <v>53.8</v>
      </c>
      <c r="W1200" s="10" t="str">
        <f t="shared" si="244"/>
        <v>Medium</v>
      </c>
      <c r="X1200" s="1" t="s">
        <v>38</v>
      </c>
      <c r="Y1200" s="1" t="str">
        <f t="shared" si="245"/>
        <v>No</v>
      </c>
      <c r="Z1200" s="14">
        <v>5</v>
      </c>
      <c r="AA1200" s="18">
        <f t="shared" si="246"/>
        <v>5</v>
      </c>
      <c r="AB1200" s="18" t="str">
        <f t="shared" si="247"/>
        <v>No</v>
      </c>
      <c r="AC1200" s="9" t="s">
        <v>4675</v>
      </c>
      <c r="AD1200">
        <f>IF(AC1200="",0,LEN(AC1200)-LEN(SUBSTITUTE(AC1200,",",""))+1)</f>
        <v>6</v>
      </c>
    </row>
    <row r="1201" spans="1:30" ht="12.5" x14ac:dyDescent="0.25">
      <c r="A1201" s="1" t="s">
        <v>4676</v>
      </c>
      <c r="B1201" s="1" t="s">
        <v>4677</v>
      </c>
      <c r="C1201" s="1" t="str">
        <v>Elizabeth Valdez</v>
      </c>
      <c r="D1201" s="1" t="s">
        <v>127</v>
      </c>
      <c r="E1201" s="1" t="str">
        <v>invalid-email</v>
      </c>
      <c r="F1201" t="str">
        <f t="shared" si="236"/>
        <v>Invalid</v>
      </c>
      <c r="G1201" s="1" t="s">
        <v>88</v>
      </c>
      <c r="H1201" s="1" t="str">
        <f t="shared" si="237"/>
        <v>Male</v>
      </c>
      <c r="I1201" s="1" t="s">
        <v>44</v>
      </c>
      <c r="J1201" t="str">
        <f t="shared" si="238"/>
        <v>CANADA</v>
      </c>
      <c r="K1201" s="14">
        <v>0</v>
      </c>
      <c r="L1201" s="1">
        <f t="shared" si="239"/>
        <v>19</v>
      </c>
      <c r="M1201" s="1" t="str">
        <f t="shared" si="240"/>
        <v>Student</v>
      </c>
      <c r="N1201" s="9">
        <v>45737</v>
      </c>
      <c r="O1201" s="1" t="s">
        <v>52</v>
      </c>
      <c r="P1201" s="1" t="s">
        <v>37</v>
      </c>
      <c r="Q1201" s="4">
        <v>0.93</v>
      </c>
      <c r="R1201" s="13">
        <f t="shared" si="241"/>
        <v>93</v>
      </c>
      <c r="S1201" s="6">
        <f t="shared" si="235"/>
        <v>0.93</v>
      </c>
      <c r="T1201" s="1">
        <v>45</v>
      </c>
      <c r="U1201" s="1">
        <f t="shared" si="242"/>
        <v>45</v>
      </c>
      <c r="V1201" s="1">
        <f t="shared" si="243"/>
        <v>78.599999999999994</v>
      </c>
      <c r="W1201" s="10" t="str">
        <f t="shared" si="244"/>
        <v>High</v>
      </c>
      <c r="X1201" s="1" t="s">
        <v>76</v>
      </c>
      <c r="Y1201" s="1" t="str">
        <f t="shared" si="245"/>
        <v>Yes</v>
      </c>
      <c r="Z1201" s="14">
        <v>6</v>
      </c>
      <c r="AA1201" s="18">
        <f t="shared" si="246"/>
        <v>6</v>
      </c>
      <c r="AB1201" s="18" t="str">
        <f t="shared" si="247"/>
        <v>High Performer</v>
      </c>
      <c r="AC1201" s="9" t="s">
        <v>4678</v>
      </c>
      <c r="AD1201">
        <f>IF(AC1201="",0,LEN(AC1201)-LEN(SUBSTITUTE(AC1201,",",""))+1)</f>
        <v>5</v>
      </c>
    </row>
    <row r="1202" spans="1:30" ht="15.75" customHeight="1" x14ac:dyDescent="0.25">
      <c r="K1202" s="20" t="s">
        <v>4693</v>
      </c>
      <c r="L1202" s="19" cm="1">
        <f t="array" ref="L1202">MEDIAN(IF((K2:K1201&gt;0)*(K2:K1201&lt;=100),K2))</f>
        <v>19</v>
      </c>
      <c r="M1202" s="19"/>
    </row>
  </sheetData>
  <conditionalFormatting sqref="A1:A1048576">
    <cfRule type="duplicateValues" dxfId="1" priority="1"/>
  </conditionalFormatting>
  <conditionalFormatting sqref="E2">
    <cfRule type="duplicateValues" dxfId="0" priority="4"/>
  </conditionalFormatting>
  <conditionalFormatting sqref="W1:W104857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2:W120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online_course_student_data_1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Siyara Sathar</dc:creator>
  <cp:lastModifiedBy>Siyara Sathar</cp:lastModifiedBy>
  <dcterms:created xsi:type="dcterms:W3CDTF">2025-11-04T07:51:35Z</dcterms:created>
  <dcterms:modified xsi:type="dcterms:W3CDTF">2025-11-04T11:54:10Z</dcterms:modified>
</cp:coreProperties>
</file>